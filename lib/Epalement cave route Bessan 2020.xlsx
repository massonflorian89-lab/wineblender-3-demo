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escavesrichemer-my.sharepoint.com/personal/fmasson_richemer_fr/Documents/Bureau/📁 Travaux en cours/Wineblender - Travail prompt application assemblage/Application/Wineblender v.41/Wineblender v.41/WineBlender 3/lib/"/>
    </mc:Choice>
  </mc:AlternateContent>
  <xr:revisionPtr revIDLastSave="2973" documentId="8_{55FEB747-2540-42D8-9478-046AF53CA4A7}" xr6:coauthVersionLast="47" xr6:coauthVersionMax="47" xr10:uidLastSave="{A74430C9-7397-4EDD-9745-9C7C4045D254}"/>
  <bookViews>
    <workbookView xWindow="14317" yWindow="0" windowWidth="14565" windowHeight="17363" tabRatio="739" firstSheet="18" activeTab="22" xr2:uid="{00000000-000D-0000-FFFF-FFFF00000000}"/>
  </bookViews>
  <sheets>
    <sheet name="275 ROUGE 1er ét." sheetId="20" r:id="rId1"/>
    <sheet name="345 ROUGE 2nd ét." sheetId="28" r:id="rId2"/>
    <sheet name="265 ROUGE 3ème ét." sheetId="29" r:id="rId3"/>
    <sheet name="365 hl ROUGE 1er ét." sheetId="19" r:id="rId4"/>
    <sheet name="450hL ROUGE 2nd ét." sheetId="16" r:id="rId5"/>
    <sheet name="330 hl Rouge 3em ét." sheetId="18" r:id="rId6"/>
    <sheet name="190 hL comp bas ROUGE" sheetId="14" r:id="rId7"/>
    <sheet name="240 hL comp ROUGE 2nd ét." sheetId="30" r:id="rId8"/>
    <sheet name="190 hl Rouge 3em ét." sheetId="27" r:id="rId9"/>
    <sheet name="625 hL comp bas" sheetId="8" r:id="rId10"/>
    <sheet name="335 hL comp haut" sheetId="11" r:id="rId11"/>
    <sheet name="300 hL comp haut" sheetId="6" r:id="rId12"/>
    <sheet name="300 hL comp bas" sheetId="5" r:id="rId13"/>
    <sheet name="455 hL comp haut" sheetId="9" r:id="rId14"/>
    <sheet name="465 hL comp bas" sheetId="7" r:id="rId15"/>
    <sheet name="500 hl sur pied" sheetId="15" r:id="rId16"/>
    <sheet name="1250 hL comp bas" sheetId="22" r:id="rId17"/>
    <sheet name="1250 hL comp bas ISOTHERMES" sheetId="4" r:id="rId18"/>
    <sheet name="625 hL comp bas ISOTHERMES" sheetId="23" r:id="rId19"/>
    <sheet name="625 hL comp haut" sheetId="10" r:id="rId20"/>
    <sheet name="2415 hL" sheetId="1" r:id="rId21"/>
    <sheet name="850 hL" sheetId="24" r:id="rId22"/>
    <sheet name="Grille" sheetId="3" r:id="rId23"/>
    <sheet name="Barriques" sheetId="26" r:id="rId24"/>
    <sheet name="Feuil1" sheetId="25" r:id="rId25"/>
  </sheets>
  <definedNames>
    <definedName name="_xlnm._FilterDatabase" localSheetId="22" hidden="1">Grille!$A$1:$N$171</definedName>
    <definedName name="a" localSheetId="8">'190 hl Rouge 3em ét.'!#REF!</definedName>
    <definedName name="a">#REF!</definedName>
    <definedName name="b" localSheetId="8">'190 hl Rouge 3em ét.'!#REF!</definedName>
    <definedName name="b">#REF!</definedName>
    <definedName name="d" localSheetId="8">'190 hl Rouge 3em ét.'!#REF!</definedName>
    <definedName name="d">#REF!</definedName>
    <definedName name="E">#REF!</definedName>
    <definedName name="_xlnm.Print_Area" localSheetId="8">'190 hl Rouge 3em ét.'!#REF!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7" i="22" l="1"/>
  <c r="D568" i="22"/>
  <c r="D569" i="22"/>
  <c r="D570" i="22"/>
  <c r="D571" i="22"/>
  <c r="D572" i="22"/>
  <c r="D573" i="22"/>
  <c r="D574" i="22"/>
  <c r="D575" i="22"/>
  <c r="D576" i="22"/>
  <c r="D577" i="22"/>
  <c r="D578" i="22"/>
  <c r="D579" i="22"/>
  <c r="D580" i="22"/>
  <c r="D581" i="22"/>
  <c r="D582" i="22"/>
  <c r="D583" i="22"/>
  <c r="D584" i="22"/>
  <c r="D585" i="22"/>
  <c r="D586" i="22"/>
  <c r="D587" i="22"/>
  <c r="D588" i="22"/>
  <c r="D589" i="22"/>
  <c r="D590" i="22"/>
  <c r="D591" i="22"/>
  <c r="D592" i="22"/>
  <c r="D593" i="22"/>
  <c r="D594" i="22"/>
  <c r="D595" i="22"/>
  <c r="D596" i="22"/>
  <c r="D597" i="22"/>
  <c r="D598" i="22"/>
  <c r="D599" i="22"/>
  <c r="D600" i="22"/>
  <c r="D21" i="28" l="1"/>
  <c r="D22" i="28"/>
  <c r="D23" i="28"/>
  <c r="D24" i="28"/>
  <c r="D25" i="28"/>
  <c r="D26" i="28"/>
  <c r="D27" i="28"/>
  <c r="D28" i="28"/>
  <c r="D29" i="28"/>
  <c r="D30" i="28"/>
  <c r="D31" i="28"/>
  <c r="D46" i="30" l="1"/>
  <c r="D47" i="30"/>
  <c r="D48" i="30"/>
  <c r="D49" i="30"/>
  <c r="D50" i="30"/>
  <c r="D51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J210" i="3" l="1"/>
  <c r="J205" i="3"/>
  <c r="J198" i="3"/>
  <c r="K189" i="3"/>
  <c r="G189" i="3"/>
  <c r="K187" i="3"/>
  <c r="G187" i="3"/>
  <c r="K185" i="3"/>
  <c r="G185" i="3"/>
  <c r="K183" i="3"/>
  <c r="G183" i="3"/>
  <c r="K181" i="3"/>
  <c r="G181" i="3"/>
  <c r="K179" i="3"/>
  <c r="G179" i="3"/>
  <c r="K177" i="3"/>
  <c r="G177" i="3"/>
  <c r="K175" i="3"/>
  <c r="G175" i="3"/>
  <c r="J172" i="3"/>
  <c r="K173" i="3"/>
  <c r="G173" i="3"/>
  <c r="J208" i="3"/>
  <c r="J204" i="3"/>
  <c r="J200" i="3"/>
  <c r="J196" i="3"/>
  <c r="J186" i="3"/>
  <c r="J180" i="3"/>
  <c r="J176" i="3"/>
  <c r="E211" i="3"/>
  <c r="G211" i="3"/>
  <c r="E220" i="3"/>
  <c r="K220" i="3"/>
  <c r="E219" i="3"/>
  <c r="K219" i="3"/>
  <c r="E218" i="3"/>
  <c r="K218" i="3"/>
  <c r="E217" i="3"/>
  <c r="K217" i="3"/>
  <c r="E216" i="3"/>
  <c r="G216" i="3"/>
  <c r="E215" i="3"/>
  <c r="K215" i="3"/>
  <c r="E214" i="3"/>
  <c r="K214" i="3"/>
  <c r="E213" i="3"/>
  <c r="K213" i="3"/>
  <c r="E212" i="3"/>
  <c r="K212" i="3"/>
  <c r="K216" i="3"/>
  <c r="K211" i="3"/>
  <c r="G220" i="3"/>
  <c r="G219" i="3"/>
  <c r="G218" i="3"/>
  <c r="G217" i="3"/>
  <c r="G215" i="3"/>
  <c r="G214" i="3"/>
  <c r="G213" i="3"/>
  <c r="G212" i="3"/>
  <c r="J174" i="3"/>
  <c r="J188" i="3"/>
  <c r="J207" i="3"/>
  <c r="K55" i="3"/>
  <c r="K144" i="3"/>
  <c r="K5" i="3"/>
  <c r="J190" i="3"/>
  <c r="K190" i="3"/>
  <c r="K208" i="3"/>
  <c r="K161" i="3"/>
  <c r="K159" i="3"/>
  <c r="K158" i="3"/>
  <c r="D328" i="30"/>
  <c r="D329" i="30"/>
  <c r="D330" i="30"/>
  <c r="D331" i="30"/>
  <c r="D332" i="30"/>
  <c r="D333" i="30"/>
  <c r="D334" i="30"/>
  <c r="D335" i="30"/>
  <c r="D336" i="30"/>
  <c r="D337" i="30"/>
  <c r="D338" i="30"/>
  <c r="D339" i="30"/>
  <c r="D340" i="30"/>
  <c r="D341" i="30"/>
  <c r="D342" i="30"/>
  <c r="D343" i="30"/>
  <c r="D344" i="30"/>
  <c r="D345" i="30"/>
  <c r="D346" i="30"/>
  <c r="D347" i="30"/>
  <c r="D348" i="30"/>
  <c r="D349" i="30"/>
  <c r="D350" i="30"/>
  <c r="D351" i="30"/>
  <c r="D352" i="30"/>
  <c r="D353" i="30"/>
  <c r="D354" i="30"/>
  <c r="D355" i="30"/>
  <c r="D356" i="30"/>
  <c r="D357" i="30"/>
  <c r="D358" i="30"/>
  <c r="D359" i="30"/>
  <c r="D360" i="30"/>
  <c r="D361" i="30"/>
  <c r="D362" i="30"/>
  <c r="D363" i="30"/>
  <c r="D364" i="30"/>
  <c r="D365" i="30"/>
  <c r="D366" i="30"/>
  <c r="D367" i="30"/>
  <c r="D368" i="30"/>
  <c r="D369" i="30"/>
  <c r="D370" i="30"/>
  <c r="D371" i="30"/>
  <c r="D372" i="30"/>
  <c r="D373" i="30"/>
  <c r="D374" i="30"/>
  <c r="D375" i="30"/>
  <c r="D376" i="30"/>
  <c r="D377" i="30"/>
  <c r="D378" i="30"/>
  <c r="D379" i="30"/>
  <c r="D380" i="30"/>
  <c r="D381" i="30"/>
  <c r="D382" i="30"/>
  <c r="D383" i="30"/>
  <c r="D384" i="30"/>
  <c r="D385" i="30"/>
  <c r="D386" i="30"/>
  <c r="D387" i="30"/>
  <c r="D388" i="30"/>
  <c r="D389" i="30"/>
  <c r="D390" i="30"/>
  <c r="D391" i="30"/>
  <c r="D392" i="30"/>
  <c r="D393" i="30"/>
  <c r="D394" i="30"/>
  <c r="D395" i="30"/>
  <c r="D396" i="30"/>
  <c r="D397" i="30"/>
  <c r="D398" i="30"/>
  <c r="D399" i="30"/>
  <c r="D400" i="30"/>
  <c r="D401" i="30"/>
  <c r="D402" i="30"/>
  <c r="D403" i="30"/>
  <c r="D404" i="30"/>
  <c r="D405" i="30"/>
  <c r="D406" i="30"/>
  <c r="D407" i="30"/>
  <c r="D408" i="30"/>
  <c r="D409" i="30"/>
  <c r="D410" i="30"/>
  <c r="D411" i="30"/>
  <c r="D412" i="30"/>
  <c r="D413" i="30"/>
  <c r="D414" i="30"/>
  <c r="D415" i="30"/>
  <c r="D416" i="30"/>
  <c r="D417" i="30"/>
  <c r="D418" i="30"/>
  <c r="D419" i="30"/>
  <c r="D420" i="30"/>
  <c r="D421" i="30"/>
  <c r="D422" i="30"/>
  <c r="D423" i="30"/>
  <c r="D424" i="30"/>
  <c r="D425" i="30"/>
  <c r="D426" i="30"/>
  <c r="D427" i="30"/>
  <c r="D428" i="30"/>
  <c r="D429" i="30"/>
  <c r="D430" i="30"/>
  <c r="D431" i="30"/>
  <c r="D432" i="30"/>
  <c r="D433" i="30"/>
  <c r="D434" i="30"/>
  <c r="D435" i="30"/>
  <c r="D436" i="30"/>
  <c r="D437" i="30"/>
  <c r="D438" i="30"/>
  <c r="D439" i="30"/>
  <c r="D440" i="30"/>
  <c r="D441" i="30"/>
  <c r="D442" i="30"/>
  <c r="D443" i="30"/>
  <c r="D444" i="30"/>
  <c r="D445" i="30"/>
  <c r="D446" i="30"/>
  <c r="D447" i="30"/>
  <c r="D448" i="30"/>
  <c r="D449" i="30"/>
  <c r="D450" i="30"/>
  <c r="D451" i="30"/>
  <c r="D452" i="30"/>
  <c r="D453" i="30"/>
  <c r="D454" i="30"/>
  <c r="D455" i="30"/>
  <c r="D456" i="30"/>
  <c r="D457" i="30"/>
  <c r="D458" i="30"/>
  <c r="D459" i="30"/>
  <c r="D460" i="30"/>
  <c r="D461" i="30"/>
  <c r="D462" i="30"/>
  <c r="D463" i="30"/>
  <c r="D464" i="30"/>
  <c r="D465" i="30"/>
  <c r="D466" i="30"/>
  <c r="D467" i="30"/>
  <c r="D468" i="30"/>
  <c r="D469" i="30"/>
  <c r="D470" i="30"/>
  <c r="D471" i="30"/>
  <c r="D472" i="30"/>
  <c r="D473" i="30"/>
  <c r="D474" i="30"/>
  <c r="D475" i="30"/>
  <c r="D476" i="30"/>
  <c r="D477" i="30"/>
  <c r="D478" i="30"/>
  <c r="D479" i="30"/>
  <c r="D480" i="30"/>
  <c r="D481" i="30"/>
  <c r="D482" i="30"/>
  <c r="D483" i="30"/>
  <c r="D484" i="30"/>
  <c r="D485" i="30"/>
  <c r="D486" i="30"/>
  <c r="D487" i="30"/>
  <c r="D488" i="30"/>
  <c r="D489" i="30"/>
  <c r="D490" i="30"/>
  <c r="D491" i="30"/>
  <c r="D492" i="30"/>
  <c r="D493" i="30"/>
  <c r="D494" i="30"/>
  <c r="D495" i="30"/>
  <c r="D496" i="30"/>
  <c r="D497" i="30"/>
  <c r="D498" i="30"/>
  <c r="D499" i="30"/>
  <c r="D500" i="30"/>
  <c r="D501" i="30"/>
  <c r="D502" i="30"/>
  <c r="D503" i="30"/>
  <c r="D504" i="30"/>
  <c r="D505" i="30"/>
  <c r="D506" i="30"/>
  <c r="D507" i="30"/>
  <c r="D508" i="30"/>
  <c r="D509" i="30"/>
  <c r="D510" i="30"/>
  <c r="D511" i="30"/>
  <c r="D512" i="30"/>
  <c r="D513" i="30"/>
  <c r="D514" i="30"/>
  <c r="D515" i="30"/>
  <c r="D516" i="30"/>
  <c r="D517" i="30"/>
  <c r="D518" i="30"/>
  <c r="D519" i="30"/>
  <c r="D520" i="30"/>
  <c r="D521" i="30"/>
  <c r="D522" i="30"/>
  <c r="D523" i="30"/>
  <c r="D524" i="30"/>
  <c r="D525" i="30"/>
  <c r="D526" i="30"/>
  <c r="D527" i="30"/>
  <c r="D528" i="30"/>
  <c r="D529" i="30"/>
  <c r="D530" i="30"/>
  <c r="D531" i="30"/>
  <c r="D532" i="30"/>
  <c r="D533" i="30"/>
  <c r="D534" i="30"/>
  <c r="D535" i="30"/>
  <c r="D536" i="30"/>
  <c r="D537" i="30"/>
  <c r="D538" i="30"/>
  <c r="D539" i="30"/>
  <c r="D540" i="30"/>
  <c r="D541" i="30"/>
  <c r="D542" i="30"/>
  <c r="D543" i="30"/>
  <c r="D544" i="30"/>
  <c r="D545" i="30"/>
  <c r="D546" i="30"/>
  <c r="D547" i="30"/>
  <c r="D548" i="30"/>
  <c r="D549" i="30"/>
  <c r="D550" i="30"/>
  <c r="D551" i="30"/>
  <c r="D552" i="30"/>
  <c r="D553" i="30"/>
  <c r="D554" i="30"/>
  <c r="D555" i="30"/>
  <c r="D556" i="30"/>
  <c r="D557" i="30"/>
  <c r="D558" i="30"/>
  <c r="D559" i="30"/>
  <c r="D560" i="30"/>
  <c r="D561" i="30"/>
  <c r="D562" i="30"/>
  <c r="D563" i="30"/>
  <c r="D564" i="30"/>
  <c r="D565" i="30"/>
  <c r="D566" i="30"/>
  <c r="D567" i="30"/>
  <c r="D568" i="30"/>
  <c r="D569" i="30"/>
  <c r="D570" i="30"/>
  <c r="D571" i="30"/>
  <c r="D572" i="30"/>
  <c r="A328" i="30"/>
  <c r="A329" i="30"/>
  <c r="A330" i="30"/>
  <c r="A331" i="30"/>
  <c r="A332" i="30"/>
  <c r="A333" i="30"/>
  <c r="A334" i="30"/>
  <c r="A335" i="30"/>
  <c r="A336" i="30"/>
  <c r="A337" i="30"/>
  <c r="A338" i="30"/>
  <c r="A339" i="30"/>
  <c r="A340" i="30"/>
  <c r="A341" i="30"/>
  <c r="A342" i="30"/>
  <c r="A343" i="30"/>
  <c r="A344" i="30"/>
  <c r="A345" i="30"/>
  <c r="A346" i="30"/>
  <c r="A347" i="30"/>
  <c r="A348" i="30"/>
  <c r="A349" i="30"/>
  <c r="A350" i="30"/>
  <c r="A351" i="30"/>
  <c r="A352" i="30"/>
  <c r="A353" i="30"/>
  <c r="A354" i="30"/>
  <c r="A355" i="30"/>
  <c r="A356" i="30"/>
  <c r="A357" i="30"/>
  <c r="A358" i="30"/>
  <c r="A359" i="30"/>
  <c r="A360" i="30"/>
  <c r="A361" i="30"/>
  <c r="A362" i="30"/>
  <c r="A363" i="30"/>
  <c r="A364" i="30"/>
  <c r="A365" i="30"/>
  <c r="A366" i="30"/>
  <c r="A367" i="30"/>
  <c r="A368" i="30"/>
  <c r="A369" i="30"/>
  <c r="A370" i="30"/>
  <c r="A371" i="30"/>
  <c r="A372" i="30"/>
  <c r="A373" i="30"/>
  <c r="A374" i="30"/>
  <c r="A375" i="30"/>
  <c r="A376" i="30"/>
  <c r="A377" i="30"/>
  <c r="A378" i="30"/>
  <c r="A379" i="30"/>
  <c r="A380" i="30"/>
  <c r="A381" i="30"/>
  <c r="A382" i="30"/>
  <c r="A383" i="30"/>
  <c r="A384" i="30"/>
  <c r="A385" i="30"/>
  <c r="A386" i="30"/>
  <c r="A387" i="30"/>
  <c r="A388" i="30"/>
  <c r="A389" i="30"/>
  <c r="A390" i="30"/>
  <c r="A391" i="30"/>
  <c r="A392" i="30"/>
  <c r="A393" i="30"/>
  <c r="A394" i="30"/>
  <c r="A395" i="30"/>
  <c r="A396" i="30"/>
  <c r="A397" i="30"/>
  <c r="A398" i="30"/>
  <c r="A399" i="30"/>
  <c r="A400" i="30"/>
  <c r="A401" i="30"/>
  <c r="A402" i="30"/>
  <c r="A403" i="30"/>
  <c r="A404" i="30"/>
  <c r="A405" i="30"/>
  <c r="A406" i="30"/>
  <c r="A407" i="30"/>
  <c r="A408" i="30"/>
  <c r="A409" i="30"/>
  <c r="A410" i="30"/>
  <c r="A411" i="30"/>
  <c r="A412" i="30"/>
  <c r="A413" i="30"/>
  <c r="A414" i="30"/>
  <c r="A415" i="30"/>
  <c r="A416" i="30"/>
  <c r="A417" i="30"/>
  <c r="A418" i="30"/>
  <c r="A419" i="30"/>
  <c r="A420" i="30"/>
  <c r="A421" i="30"/>
  <c r="A422" i="30"/>
  <c r="A423" i="30"/>
  <c r="A424" i="30"/>
  <c r="A425" i="30"/>
  <c r="A426" i="30"/>
  <c r="A427" i="30"/>
  <c r="A428" i="30"/>
  <c r="A429" i="30"/>
  <c r="A430" i="30"/>
  <c r="A431" i="30"/>
  <c r="A432" i="30"/>
  <c r="A433" i="30"/>
  <c r="A434" i="30"/>
  <c r="A435" i="30"/>
  <c r="A436" i="30"/>
  <c r="A437" i="30"/>
  <c r="A438" i="30"/>
  <c r="A439" i="30"/>
  <c r="A440" i="30"/>
  <c r="A441" i="30"/>
  <c r="A442" i="30"/>
  <c r="A443" i="30"/>
  <c r="A444" i="30"/>
  <c r="A445" i="30"/>
  <c r="A446" i="30"/>
  <c r="A447" i="30"/>
  <c r="A448" i="30"/>
  <c r="A449" i="30"/>
  <c r="A450" i="30"/>
  <c r="A451" i="30"/>
  <c r="A452" i="30"/>
  <c r="A453" i="30"/>
  <c r="A454" i="30"/>
  <c r="A455" i="30"/>
  <c r="A456" i="30"/>
  <c r="A457" i="30"/>
  <c r="A458" i="30"/>
  <c r="A459" i="30"/>
  <c r="A460" i="30"/>
  <c r="A461" i="30"/>
  <c r="A462" i="30"/>
  <c r="A463" i="30"/>
  <c r="A464" i="30"/>
  <c r="A465" i="30"/>
  <c r="A466" i="30"/>
  <c r="A467" i="30"/>
  <c r="A468" i="30"/>
  <c r="A469" i="30"/>
  <c r="A470" i="30"/>
  <c r="A471" i="30"/>
  <c r="A472" i="30"/>
  <c r="A473" i="30"/>
  <c r="A474" i="30"/>
  <c r="A475" i="30"/>
  <c r="A476" i="30"/>
  <c r="A477" i="30"/>
  <c r="A478" i="30"/>
  <c r="A479" i="30"/>
  <c r="A480" i="30"/>
  <c r="A481" i="30"/>
  <c r="A482" i="30"/>
  <c r="A483" i="30"/>
  <c r="A484" i="30"/>
  <c r="A485" i="30"/>
  <c r="A486" i="30"/>
  <c r="A487" i="30"/>
  <c r="A488" i="30"/>
  <c r="A489" i="30"/>
  <c r="A490" i="30"/>
  <c r="A491" i="30"/>
  <c r="A492" i="30"/>
  <c r="A493" i="30"/>
  <c r="A494" i="30"/>
  <c r="A495" i="30"/>
  <c r="A496" i="30"/>
  <c r="A497" i="30"/>
  <c r="A498" i="30"/>
  <c r="A499" i="30"/>
  <c r="A500" i="30"/>
  <c r="A501" i="30"/>
  <c r="A502" i="30"/>
  <c r="A503" i="30"/>
  <c r="A504" i="30"/>
  <c r="A505" i="30"/>
  <c r="A506" i="30"/>
  <c r="A507" i="30"/>
  <c r="A508" i="30"/>
  <c r="A509" i="30"/>
  <c r="A510" i="30"/>
  <c r="A511" i="30"/>
  <c r="A512" i="30"/>
  <c r="A513" i="30"/>
  <c r="A514" i="30"/>
  <c r="A515" i="30"/>
  <c r="A516" i="30"/>
  <c r="A517" i="30"/>
  <c r="A518" i="30"/>
  <c r="A519" i="30"/>
  <c r="A520" i="30"/>
  <c r="A521" i="30"/>
  <c r="A522" i="30"/>
  <c r="A523" i="30"/>
  <c r="A524" i="30"/>
  <c r="A525" i="30"/>
  <c r="A526" i="30"/>
  <c r="A527" i="30"/>
  <c r="A528" i="30"/>
  <c r="A529" i="30"/>
  <c r="A530" i="30"/>
  <c r="A531" i="30"/>
  <c r="A532" i="30"/>
  <c r="A533" i="30"/>
  <c r="A534" i="30"/>
  <c r="A535" i="30"/>
  <c r="A536" i="30"/>
  <c r="A537" i="30"/>
  <c r="A538" i="30"/>
  <c r="A539" i="30"/>
  <c r="A540" i="30"/>
  <c r="A541" i="30"/>
  <c r="A542" i="30"/>
  <c r="A543" i="30"/>
  <c r="A544" i="30"/>
  <c r="A545" i="30"/>
  <c r="A546" i="30"/>
  <c r="A547" i="30"/>
  <c r="A548" i="30"/>
  <c r="A549" i="30"/>
  <c r="A550" i="30"/>
  <c r="A551" i="30"/>
  <c r="A552" i="30"/>
  <c r="A553" i="30"/>
  <c r="A554" i="30"/>
  <c r="A555" i="30"/>
  <c r="A556" i="30"/>
  <c r="A557" i="30"/>
  <c r="A558" i="30"/>
  <c r="A559" i="30"/>
  <c r="A560" i="30"/>
  <c r="A561" i="30"/>
  <c r="A562" i="30"/>
  <c r="A563" i="30"/>
  <c r="A564" i="30"/>
  <c r="A565" i="30"/>
  <c r="A566" i="30"/>
  <c r="A567" i="30"/>
  <c r="A568" i="30"/>
  <c r="A569" i="30"/>
  <c r="A570" i="30"/>
  <c r="A571" i="30"/>
  <c r="A572" i="30"/>
  <c r="D327" i="30"/>
  <c r="A327" i="30"/>
  <c r="D326" i="30"/>
  <c r="A326" i="30"/>
  <c r="D325" i="30"/>
  <c r="A325" i="30"/>
  <c r="D324" i="30"/>
  <c r="A324" i="30"/>
  <c r="D323" i="30"/>
  <c r="A323" i="30"/>
  <c r="D322" i="30"/>
  <c r="A322" i="30"/>
  <c r="D321" i="30"/>
  <c r="A321" i="30"/>
  <c r="D320" i="30"/>
  <c r="A320" i="30"/>
  <c r="D319" i="30"/>
  <c r="A319" i="30"/>
  <c r="D318" i="30"/>
  <c r="A318" i="30"/>
  <c r="D317" i="30"/>
  <c r="A317" i="30"/>
  <c r="D316" i="30"/>
  <c r="A316" i="30"/>
  <c r="D315" i="30"/>
  <c r="A315" i="30"/>
  <c r="D314" i="30"/>
  <c r="A314" i="30"/>
  <c r="D313" i="30"/>
  <c r="A313" i="30"/>
  <c r="D312" i="30"/>
  <c r="A312" i="30"/>
  <c r="D311" i="30"/>
  <c r="A311" i="30"/>
  <c r="D310" i="30"/>
  <c r="A310" i="30"/>
  <c r="D309" i="30"/>
  <c r="A309" i="30"/>
  <c r="D308" i="30"/>
  <c r="A308" i="30"/>
  <c r="D307" i="30"/>
  <c r="A307" i="30"/>
  <c r="D306" i="30"/>
  <c r="A306" i="30"/>
  <c r="D305" i="30"/>
  <c r="A305" i="30"/>
  <c r="D304" i="30"/>
  <c r="A304" i="30"/>
  <c r="D303" i="30"/>
  <c r="A303" i="30"/>
  <c r="D302" i="30"/>
  <c r="A302" i="30"/>
  <c r="D301" i="30"/>
  <c r="A301" i="30"/>
  <c r="D300" i="30"/>
  <c r="A300" i="30"/>
  <c r="D299" i="30"/>
  <c r="A299" i="30"/>
  <c r="D298" i="30"/>
  <c r="A298" i="30"/>
  <c r="D297" i="30"/>
  <c r="A297" i="30"/>
  <c r="D296" i="30"/>
  <c r="A296" i="30"/>
  <c r="D295" i="30"/>
  <c r="A295" i="30"/>
  <c r="D294" i="30"/>
  <c r="A294" i="30"/>
  <c r="D293" i="30"/>
  <c r="A293" i="30"/>
  <c r="D292" i="30"/>
  <c r="A292" i="30"/>
  <c r="D291" i="30"/>
  <c r="A291" i="30"/>
  <c r="D290" i="30"/>
  <c r="A290" i="30"/>
  <c r="D289" i="30"/>
  <c r="A289" i="30"/>
  <c r="D288" i="30"/>
  <c r="A288" i="30"/>
  <c r="D287" i="30"/>
  <c r="A287" i="30"/>
  <c r="D286" i="30"/>
  <c r="A286" i="30"/>
  <c r="D285" i="30"/>
  <c r="A285" i="30"/>
  <c r="D284" i="30"/>
  <c r="A284" i="30"/>
  <c r="D283" i="30"/>
  <c r="A283" i="30"/>
  <c r="D282" i="30"/>
  <c r="A282" i="30"/>
  <c r="D281" i="30"/>
  <c r="A281" i="30"/>
  <c r="D280" i="30"/>
  <c r="A280" i="30"/>
  <c r="D279" i="30"/>
  <c r="A279" i="30"/>
  <c r="D278" i="30"/>
  <c r="A278" i="30"/>
  <c r="D277" i="30"/>
  <c r="A277" i="30"/>
  <c r="D276" i="30"/>
  <c r="A276" i="30"/>
  <c r="D275" i="30"/>
  <c r="A275" i="30"/>
  <c r="D274" i="30"/>
  <c r="A274" i="30"/>
  <c r="D273" i="30"/>
  <c r="A273" i="30"/>
  <c r="D272" i="30"/>
  <c r="A272" i="30"/>
  <c r="D271" i="30"/>
  <c r="A271" i="30"/>
  <c r="D270" i="30"/>
  <c r="A270" i="30"/>
  <c r="D269" i="30"/>
  <c r="A269" i="30"/>
  <c r="D268" i="30"/>
  <c r="A268" i="30"/>
  <c r="D267" i="30"/>
  <c r="A267" i="30"/>
  <c r="D266" i="30"/>
  <c r="A266" i="30"/>
  <c r="D265" i="30"/>
  <c r="A265" i="30"/>
  <c r="D264" i="30"/>
  <c r="A264" i="30"/>
  <c r="D263" i="30"/>
  <c r="A263" i="30"/>
  <c r="D262" i="30"/>
  <c r="A262" i="30"/>
  <c r="D261" i="30"/>
  <c r="A261" i="30"/>
  <c r="D260" i="30"/>
  <c r="A260" i="30"/>
  <c r="D259" i="30"/>
  <c r="A259" i="30"/>
  <c r="D258" i="30"/>
  <c r="A258" i="30"/>
  <c r="D257" i="30"/>
  <c r="A257" i="30"/>
  <c r="D256" i="30"/>
  <c r="A256" i="30"/>
  <c r="D255" i="30"/>
  <c r="A255" i="30"/>
  <c r="D254" i="30"/>
  <c r="A254" i="30"/>
  <c r="D253" i="30"/>
  <c r="A253" i="30"/>
  <c r="D252" i="30"/>
  <c r="A252" i="30"/>
  <c r="D251" i="30"/>
  <c r="A251" i="30"/>
  <c r="D250" i="30"/>
  <c r="A250" i="30"/>
  <c r="D249" i="30"/>
  <c r="A249" i="30"/>
  <c r="D248" i="30"/>
  <c r="A248" i="30"/>
  <c r="D247" i="30"/>
  <c r="A247" i="30"/>
  <c r="D246" i="30"/>
  <c r="A246" i="30"/>
  <c r="D245" i="30"/>
  <c r="A245" i="30"/>
  <c r="D244" i="30"/>
  <c r="A244" i="30"/>
  <c r="D243" i="30"/>
  <c r="A243" i="30"/>
  <c r="D242" i="30"/>
  <c r="A242" i="30"/>
  <c r="D241" i="30"/>
  <c r="A241" i="30"/>
  <c r="D240" i="30"/>
  <c r="A240" i="30"/>
  <c r="D239" i="30"/>
  <c r="A239" i="30"/>
  <c r="D238" i="30"/>
  <c r="A238" i="30"/>
  <c r="D237" i="30"/>
  <c r="A237" i="30"/>
  <c r="D236" i="30"/>
  <c r="A236" i="30"/>
  <c r="D235" i="30"/>
  <c r="A235" i="30"/>
  <c r="D234" i="30"/>
  <c r="A234" i="30"/>
  <c r="D233" i="30"/>
  <c r="A233" i="30"/>
  <c r="D232" i="30"/>
  <c r="A232" i="30"/>
  <c r="D231" i="30"/>
  <c r="A231" i="30"/>
  <c r="D230" i="30"/>
  <c r="A230" i="30"/>
  <c r="D229" i="30"/>
  <c r="A229" i="30"/>
  <c r="D228" i="30"/>
  <c r="A228" i="30"/>
  <c r="D227" i="30"/>
  <c r="A227" i="30"/>
  <c r="D226" i="30"/>
  <c r="A226" i="30"/>
  <c r="D225" i="30"/>
  <c r="A225" i="30"/>
  <c r="D224" i="30"/>
  <c r="A224" i="30"/>
  <c r="D223" i="30"/>
  <c r="A223" i="30"/>
  <c r="D222" i="30"/>
  <c r="A222" i="30"/>
  <c r="D221" i="30"/>
  <c r="A221" i="30"/>
  <c r="D220" i="30"/>
  <c r="A220" i="30"/>
  <c r="D219" i="30"/>
  <c r="A219" i="30"/>
  <c r="D218" i="30"/>
  <c r="A218" i="30"/>
  <c r="D217" i="30"/>
  <c r="A217" i="30"/>
  <c r="D216" i="30"/>
  <c r="A216" i="30"/>
  <c r="D215" i="30"/>
  <c r="A215" i="30"/>
  <c r="D214" i="30"/>
  <c r="A214" i="30"/>
  <c r="D213" i="30"/>
  <c r="A213" i="30"/>
  <c r="D212" i="30"/>
  <c r="A212" i="30"/>
  <c r="D211" i="30"/>
  <c r="A211" i="30"/>
  <c r="D210" i="30"/>
  <c r="A210" i="30"/>
  <c r="D209" i="30"/>
  <c r="A209" i="30"/>
  <c r="D208" i="30"/>
  <c r="A208" i="30"/>
  <c r="D207" i="30"/>
  <c r="A207" i="30"/>
  <c r="D206" i="30"/>
  <c r="A206" i="30"/>
  <c r="D205" i="30"/>
  <c r="A205" i="30"/>
  <c r="D204" i="30"/>
  <c r="A204" i="30"/>
  <c r="D203" i="30"/>
  <c r="A203" i="30"/>
  <c r="D202" i="30"/>
  <c r="A202" i="30"/>
  <c r="D201" i="30"/>
  <c r="A201" i="30"/>
  <c r="D200" i="30"/>
  <c r="A200" i="30"/>
  <c r="D199" i="30"/>
  <c r="A199" i="30"/>
  <c r="D198" i="30"/>
  <c r="A198" i="30"/>
  <c r="D197" i="30"/>
  <c r="A197" i="30"/>
  <c r="D196" i="30"/>
  <c r="A196" i="30"/>
  <c r="D195" i="30"/>
  <c r="A195" i="30"/>
  <c r="D194" i="30"/>
  <c r="A194" i="30"/>
  <c r="D193" i="30"/>
  <c r="A193" i="30"/>
  <c r="D192" i="30"/>
  <c r="A192" i="30"/>
  <c r="D191" i="30"/>
  <c r="A191" i="30"/>
  <c r="D190" i="30"/>
  <c r="A190" i="30"/>
  <c r="D189" i="30"/>
  <c r="A189" i="30"/>
  <c r="D188" i="30"/>
  <c r="A188" i="30"/>
  <c r="D187" i="30"/>
  <c r="A187" i="30"/>
  <c r="D186" i="30"/>
  <c r="A186" i="30"/>
  <c r="D185" i="30"/>
  <c r="A185" i="30"/>
  <c r="D184" i="30"/>
  <c r="A184" i="30"/>
  <c r="D183" i="30"/>
  <c r="A183" i="30"/>
  <c r="D182" i="30"/>
  <c r="A182" i="30"/>
  <c r="D181" i="30"/>
  <c r="A181" i="30"/>
  <c r="D180" i="30"/>
  <c r="A180" i="30"/>
  <c r="D179" i="30"/>
  <c r="A179" i="30"/>
  <c r="D178" i="30"/>
  <c r="A178" i="30"/>
  <c r="D177" i="30"/>
  <c r="A177" i="30"/>
  <c r="D176" i="30"/>
  <c r="A176" i="30"/>
  <c r="D175" i="30"/>
  <c r="A175" i="30"/>
  <c r="D174" i="30"/>
  <c r="A174" i="30"/>
  <c r="D173" i="30"/>
  <c r="A173" i="30"/>
  <c r="D172" i="30"/>
  <c r="A172" i="30"/>
  <c r="D171" i="30"/>
  <c r="A171" i="30"/>
  <c r="D170" i="30"/>
  <c r="A170" i="30"/>
  <c r="D169" i="30"/>
  <c r="A169" i="30"/>
  <c r="D168" i="30"/>
  <c r="A168" i="30"/>
  <c r="D167" i="30"/>
  <c r="A167" i="30"/>
  <c r="D166" i="30"/>
  <c r="A166" i="30"/>
  <c r="D165" i="30"/>
  <c r="A165" i="30"/>
  <c r="D164" i="30"/>
  <c r="A164" i="30"/>
  <c r="D163" i="30"/>
  <c r="A163" i="30"/>
  <c r="D162" i="30"/>
  <c r="A162" i="30"/>
  <c r="D161" i="30"/>
  <c r="A161" i="30"/>
  <c r="D160" i="30"/>
  <c r="A160" i="30"/>
  <c r="D159" i="30"/>
  <c r="A159" i="30"/>
  <c r="D158" i="30"/>
  <c r="A158" i="30"/>
  <c r="D157" i="30"/>
  <c r="A157" i="30"/>
  <c r="D156" i="30"/>
  <c r="A156" i="30"/>
  <c r="D155" i="30"/>
  <c r="A155" i="30"/>
  <c r="D154" i="30"/>
  <c r="A154" i="30"/>
  <c r="D153" i="30"/>
  <c r="A153" i="30"/>
  <c r="D152" i="30"/>
  <c r="A152" i="30"/>
  <c r="D151" i="30"/>
  <c r="A151" i="30"/>
  <c r="D150" i="30"/>
  <c r="A150" i="30"/>
  <c r="D149" i="30"/>
  <c r="A149" i="30"/>
  <c r="D148" i="30"/>
  <c r="A148" i="30"/>
  <c r="D147" i="30"/>
  <c r="A147" i="30"/>
  <c r="D146" i="30"/>
  <c r="A146" i="30"/>
  <c r="D145" i="30"/>
  <c r="A145" i="30"/>
  <c r="D144" i="30"/>
  <c r="A144" i="30"/>
  <c r="D143" i="30"/>
  <c r="A143" i="30"/>
  <c r="D142" i="30"/>
  <c r="A142" i="30"/>
  <c r="D141" i="30"/>
  <c r="A141" i="30"/>
  <c r="D140" i="30"/>
  <c r="A140" i="30"/>
  <c r="D139" i="30"/>
  <c r="A139" i="30"/>
  <c r="D138" i="30"/>
  <c r="A138" i="30"/>
  <c r="D137" i="30"/>
  <c r="A137" i="30"/>
  <c r="D136" i="30"/>
  <c r="A136" i="30"/>
  <c r="D135" i="30"/>
  <c r="A135" i="30"/>
  <c r="D134" i="30"/>
  <c r="A134" i="30"/>
  <c r="D133" i="30"/>
  <c r="A133" i="30"/>
  <c r="D132" i="30"/>
  <c r="A132" i="30"/>
  <c r="D131" i="30"/>
  <c r="A131" i="30"/>
  <c r="D130" i="30"/>
  <c r="A130" i="30"/>
  <c r="D129" i="30"/>
  <c r="A129" i="30"/>
  <c r="D128" i="30"/>
  <c r="A128" i="30"/>
  <c r="D127" i="30"/>
  <c r="A127" i="30"/>
  <c r="D126" i="30"/>
  <c r="A126" i="30"/>
  <c r="D125" i="30"/>
  <c r="A125" i="30"/>
  <c r="D124" i="30"/>
  <c r="A124" i="30"/>
  <c r="D123" i="30"/>
  <c r="A123" i="30"/>
  <c r="D122" i="30"/>
  <c r="A122" i="30"/>
  <c r="D121" i="30"/>
  <c r="A121" i="30"/>
  <c r="D120" i="30"/>
  <c r="A120" i="30"/>
  <c r="D119" i="30"/>
  <c r="A119" i="30"/>
  <c r="D118" i="30"/>
  <c r="A118" i="30"/>
  <c r="D117" i="30"/>
  <c r="A117" i="30"/>
  <c r="D116" i="30"/>
  <c r="A116" i="30"/>
  <c r="D115" i="30"/>
  <c r="A115" i="30"/>
  <c r="D114" i="30"/>
  <c r="A114" i="30"/>
  <c r="D113" i="30"/>
  <c r="A113" i="30"/>
  <c r="D112" i="30"/>
  <c r="A112" i="30"/>
  <c r="D111" i="30"/>
  <c r="A111" i="30"/>
  <c r="D110" i="30"/>
  <c r="A110" i="30"/>
  <c r="D109" i="30"/>
  <c r="A109" i="30"/>
  <c r="D108" i="30"/>
  <c r="A108" i="30"/>
  <c r="D107" i="30"/>
  <c r="A107" i="30"/>
  <c r="D106" i="30"/>
  <c r="A106" i="30"/>
  <c r="D105" i="30"/>
  <c r="A105" i="30"/>
  <c r="D104" i="30"/>
  <c r="A104" i="30"/>
  <c r="D103" i="30"/>
  <c r="A103" i="30"/>
  <c r="D102" i="30"/>
  <c r="A102" i="30"/>
  <c r="D101" i="30"/>
  <c r="A101" i="30"/>
  <c r="D100" i="30"/>
  <c r="A100" i="30"/>
  <c r="D99" i="30"/>
  <c r="A99" i="30"/>
  <c r="D98" i="30"/>
  <c r="A98" i="30"/>
  <c r="D97" i="30"/>
  <c r="A97" i="30"/>
  <c r="D96" i="30"/>
  <c r="A96" i="30"/>
  <c r="D95" i="30"/>
  <c r="A95" i="30"/>
  <c r="D94" i="30"/>
  <c r="A94" i="30"/>
  <c r="D93" i="30"/>
  <c r="A93" i="30"/>
  <c r="D92" i="30"/>
  <c r="A92" i="30"/>
  <c r="D91" i="30"/>
  <c r="A91" i="30"/>
  <c r="D90" i="30"/>
  <c r="A90" i="30"/>
  <c r="D89" i="30"/>
  <c r="A89" i="30"/>
  <c r="D88" i="30"/>
  <c r="A88" i="30"/>
  <c r="D87" i="30"/>
  <c r="A87" i="30"/>
  <c r="D86" i="30"/>
  <c r="A86" i="30"/>
  <c r="D85" i="30"/>
  <c r="A85" i="30"/>
  <c r="D84" i="30"/>
  <c r="A84" i="30"/>
  <c r="D83" i="30"/>
  <c r="A83" i="30"/>
  <c r="D82" i="30"/>
  <c r="A82" i="30"/>
  <c r="D81" i="30"/>
  <c r="A81" i="30"/>
  <c r="D80" i="30"/>
  <c r="A80" i="30"/>
  <c r="D79" i="30"/>
  <c r="A79" i="30"/>
  <c r="D78" i="30"/>
  <c r="A78" i="30"/>
  <c r="D77" i="30"/>
  <c r="A77" i="30"/>
  <c r="D76" i="30"/>
  <c r="A76" i="30"/>
  <c r="D75" i="30"/>
  <c r="A75" i="30"/>
  <c r="D74" i="30"/>
  <c r="A74" i="30"/>
  <c r="D73" i="30"/>
  <c r="A73" i="30"/>
  <c r="D72" i="30"/>
  <c r="A72" i="30"/>
  <c r="D71" i="30"/>
  <c r="A71" i="30"/>
  <c r="D70" i="30"/>
  <c r="A70" i="30"/>
  <c r="D69" i="30"/>
  <c r="A69" i="30"/>
  <c r="D68" i="30"/>
  <c r="A68" i="30"/>
  <c r="D67" i="30"/>
  <c r="A67" i="30"/>
  <c r="D66" i="30"/>
  <c r="A66" i="30"/>
  <c r="D65" i="30"/>
  <c r="A65" i="30"/>
  <c r="D64" i="30"/>
  <c r="A64" i="30"/>
  <c r="D63" i="30"/>
  <c r="A63" i="30"/>
  <c r="D62" i="30"/>
  <c r="A62" i="30"/>
  <c r="D61" i="30"/>
  <c r="A61" i="30"/>
  <c r="D60" i="30"/>
  <c r="A60" i="30"/>
  <c r="D59" i="30"/>
  <c r="A59" i="30"/>
  <c r="D58" i="30"/>
  <c r="A58" i="30"/>
  <c r="D57" i="30"/>
  <c r="A57" i="30"/>
  <c r="D56" i="30"/>
  <c r="A56" i="30"/>
  <c r="D55" i="30"/>
  <c r="A55" i="30"/>
  <c r="D54" i="30"/>
  <c r="A54" i="30"/>
  <c r="D53" i="30"/>
  <c r="A53" i="30"/>
  <c r="D52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K160" i="3" s="1"/>
  <c r="A35" i="30"/>
  <c r="A34" i="30"/>
  <c r="A33" i="30"/>
  <c r="D32" i="30"/>
  <c r="A32" i="30"/>
  <c r="D31" i="30"/>
  <c r="A31" i="30"/>
  <c r="D30" i="30"/>
  <c r="A30" i="30"/>
  <c r="D29" i="30"/>
  <c r="A29" i="30"/>
  <c r="D28" i="30"/>
  <c r="A28" i="30"/>
  <c r="D27" i="30"/>
  <c r="A27" i="30"/>
  <c r="D26" i="30"/>
  <c r="A26" i="30"/>
  <c r="D25" i="30"/>
  <c r="A25" i="30"/>
  <c r="D24" i="30"/>
  <c r="A24" i="30"/>
  <c r="D23" i="30"/>
  <c r="A23" i="30"/>
  <c r="D22" i="30"/>
  <c r="A22" i="30"/>
  <c r="D21" i="30"/>
  <c r="A21" i="30"/>
  <c r="D20" i="30"/>
  <c r="A20" i="30"/>
  <c r="D19" i="30"/>
  <c r="A19" i="30"/>
  <c r="D18" i="30"/>
  <c r="A18" i="30"/>
  <c r="D17" i="30"/>
  <c r="A17" i="30"/>
  <c r="D16" i="30"/>
  <c r="A16" i="30"/>
  <c r="D15" i="30"/>
  <c r="A15" i="30"/>
  <c r="D14" i="30"/>
  <c r="A14" i="30"/>
  <c r="D13" i="30"/>
  <c r="A13" i="30"/>
  <c r="D12" i="30"/>
  <c r="A12" i="30"/>
  <c r="D11" i="30"/>
  <c r="A11" i="30"/>
  <c r="D10" i="30"/>
  <c r="A10" i="30"/>
  <c r="D9" i="30"/>
  <c r="A9" i="30"/>
  <c r="D8" i="30"/>
  <c r="A8" i="30"/>
  <c r="D7" i="30"/>
  <c r="A7" i="30"/>
  <c r="D6" i="30"/>
  <c r="A6" i="30"/>
  <c r="D5" i="30"/>
  <c r="A5" i="30"/>
  <c r="D4" i="30"/>
  <c r="A4" i="30"/>
  <c r="D3" i="30"/>
  <c r="A3" i="30"/>
  <c r="D2" i="30"/>
  <c r="A2" i="30"/>
  <c r="K170" i="3"/>
  <c r="K169" i="3"/>
  <c r="K166" i="3"/>
  <c r="K167" i="3"/>
  <c r="K168" i="3"/>
  <c r="K165" i="3"/>
  <c r="K157" i="3"/>
  <c r="K156" i="3"/>
  <c r="K155" i="3"/>
  <c r="K154" i="3"/>
  <c r="K153" i="3"/>
  <c r="D447" i="29"/>
  <c r="A447" i="29"/>
  <c r="D446" i="29"/>
  <c r="A446" i="29"/>
  <c r="D445" i="29"/>
  <c r="A445" i="29"/>
  <c r="D444" i="29"/>
  <c r="A444" i="29"/>
  <c r="D443" i="29"/>
  <c r="A443" i="29"/>
  <c r="D442" i="29"/>
  <c r="A442" i="29"/>
  <c r="D441" i="29"/>
  <c r="A441" i="29"/>
  <c r="D440" i="29"/>
  <c r="A440" i="29"/>
  <c r="D439" i="29"/>
  <c r="A439" i="29"/>
  <c r="D438" i="29"/>
  <c r="A438" i="29"/>
  <c r="D437" i="29"/>
  <c r="A437" i="29"/>
  <c r="D436" i="29"/>
  <c r="A436" i="29"/>
  <c r="D435" i="29"/>
  <c r="A435" i="29"/>
  <c r="D434" i="29"/>
  <c r="A434" i="29"/>
  <c r="D433" i="29"/>
  <c r="A433" i="29"/>
  <c r="D432" i="29"/>
  <c r="A432" i="29"/>
  <c r="D431" i="29"/>
  <c r="A431" i="29"/>
  <c r="D430" i="29"/>
  <c r="A430" i="29"/>
  <c r="D429" i="29"/>
  <c r="A429" i="29"/>
  <c r="D428" i="29"/>
  <c r="A428" i="29"/>
  <c r="D427" i="29"/>
  <c r="A427" i="29"/>
  <c r="D426" i="29"/>
  <c r="A426" i="29"/>
  <c r="D425" i="29"/>
  <c r="A425" i="29"/>
  <c r="D424" i="29"/>
  <c r="A424" i="29"/>
  <c r="D423" i="29"/>
  <c r="A423" i="29"/>
  <c r="D422" i="29"/>
  <c r="A422" i="29"/>
  <c r="D421" i="29"/>
  <c r="A421" i="29"/>
  <c r="D420" i="29"/>
  <c r="A420" i="29"/>
  <c r="D419" i="29"/>
  <c r="A419" i="29"/>
  <c r="D418" i="29"/>
  <c r="A418" i="29"/>
  <c r="D417" i="29"/>
  <c r="A417" i="29"/>
  <c r="D416" i="29"/>
  <c r="A416" i="29"/>
  <c r="D415" i="29"/>
  <c r="A415" i="29"/>
  <c r="D414" i="29"/>
  <c r="A414" i="29"/>
  <c r="D413" i="29"/>
  <c r="A413" i="29"/>
  <c r="D412" i="29"/>
  <c r="A412" i="29"/>
  <c r="D411" i="29"/>
  <c r="A411" i="29"/>
  <c r="D410" i="29"/>
  <c r="A410" i="29"/>
  <c r="D409" i="29"/>
  <c r="A409" i="29"/>
  <c r="D408" i="29"/>
  <c r="A408" i="29"/>
  <c r="D407" i="29"/>
  <c r="A407" i="29"/>
  <c r="D406" i="29"/>
  <c r="A406" i="29"/>
  <c r="D405" i="29"/>
  <c r="A405" i="29"/>
  <c r="D404" i="29"/>
  <c r="A404" i="29"/>
  <c r="D403" i="29"/>
  <c r="A403" i="29"/>
  <c r="D402" i="29"/>
  <c r="A402" i="29"/>
  <c r="D401" i="29"/>
  <c r="A401" i="29"/>
  <c r="D400" i="29"/>
  <c r="A400" i="29"/>
  <c r="D399" i="29"/>
  <c r="A399" i="29"/>
  <c r="D398" i="29"/>
  <c r="A398" i="29"/>
  <c r="D397" i="29"/>
  <c r="A397" i="29"/>
  <c r="D396" i="29"/>
  <c r="A396" i="29"/>
  <c r="D395" i="29"/>
  <c r="A395" i="29"/>
  <c r="D394" i="29"/>
  <c r="A394" i="29"/>
  <c r="D393" i="29"/>
  <c r="A393" i="29"/>
  <c r="D392" i="29"/>
  <c r="A392" i="29"/>
  <c r="D391" i="29"/>
  <c r="A391" i="29"/>
  <c r="D390" i="29"/>
  <c r="A390" i="29"/>
  <c r="D389" i="29"/>
  <c r="A389" i="29"/>
  <c r="D388" i="29"/>
  <c r="A388" i="29"/>
  <c r="D387" i="29"/>
  <c r="A387" i="29"/>
  <c r="D386" i="29"/>
  <c r="A386" i="29"/>
  <c r="D385" i="29"/>
  <c r="A385" i="29"/>
  <c r="D384" i="29"/>
  <c r="A384" i="29"/>
  <c r="D383" i="29"/>
  <c r="A383" i="29"/>
  <c r="D382" i="29"/>
  <c r="A382" i="29"/>
  <c r="D381" i="29"/>
  <c r="A381" i="29"/>
  <c r="D380" i="29"/>
  <c r="A380" i="29"/>
  <c r="D379" i="29"/>
  <c r="A379" i="29"/>
  <c r="D378" i="29"/>
  <c r="A378" i="29"/>
  <c r="D377" i="29"/>
  <c r="A377" i="29"/>
  <c r="D376" i="29"/>
  <c r="A376" i="29"/>
  <c r="D375" i="29"/>
  <c r="A375" i="29"/>
  <c r="D374" i="29"/>
  <c r="A374" i="29"/>
  <c r="D373" i="29"/>
  <c r="A373" i="29"/>
  <c r="D372" i="29"/>
  <c r="A372" i="29"/>
  <c r="D371" i="29"/>
  <c r="A371" i="29"/>
  <c r="D370" i="29"/>
  <c r="A370" i="29"/>
  <c r="D369" i="29"/>
  <c r="A369" i="29"/>
  <c r="D368" i="29"/>
  <c r="A368" i="29"/>
  <c r="D367" i="29"/>
  <c r="A367" i="29"/>
  <c r="D366" i="29"/>
  <c r="A366" i="29"/>
  <c r="D365" i="29"/>
  <c r="A365" i="29"/>
  <c r="D364" i="29"/>
  <c r="A364" i="29"/>
  <c r="D363" i="29"/>
  <c r="A363" i="29"/>
  <c r="D362" i="29"/>
  <c r="A362" i="29"/>
  <c r="D361" i="29"/>
  <c r="A361" i="29"/>
  <c r="D360" i="29"/>
  <c r="A360" i="29"/>
  <c r="D359" i="29"/>
  <c r="A359" i="29"/>
  <c r="D358" i="29"/>
  <c r="A358" i="29"/>
  <c r="D357" i="29"/>
  <c r="A357" i="29"/>
  <c r="D356" i="29"/>
  <c r="A356" i="29"/>
  <c r="D355" i="29"/>
  <c r="A355" i="29"/>
  <c r="D354" i="29"/>
  <c r="A354" i="29"/>
  <c r="D353" i="29"/>
  <c r="A353" i="29"/>
  <c r="D352" i="29"/>
  <c r="A352" i="29"/>
  <c r="D351" i="29"/>
  <c r="A351" i="29"/>
  <c r="D350" i="29"/>
  <c r="A350" i="29"/>
  <c r="D349" i="29"/>
  <c r="A349" i="29"/>
  <c r="D348" i="29"/>
  <c r="A348" i="29"/>
  <c r="D347" i="29"/>
  <c r="A347" i="29"/>
  <c r="D346" i="29"/>
  <c r="A346" i="29"/>
  <c r="D345" i="29"/>
  <c r="A345" i="29"/>
  <c r="D344" i="29"/>
  <c r="A344" i="29"/>
  <c r="D343" i="29"/>
  <c r="A343" i="29"/>
  <c r="D342" i="29"/>
  <c r="A342" i="29"/>
  <c r="D341" i="29"/>
  <c r="A341" i="29"/>
  <c r="D340" i="29"/>
  <c r="A340" i="29"/>
  <c r="D339" i="29"/>
  <c r="A339" i="29"/>
  <c r="D338" i="29"/>
  <c r="A338" i="29"/>
  <c r="D337" i="29"/>
  <c r="A337" i="29"/>
  <c r="D336" i="29"/>
  <c r="A336" i="29"/>
  <c r="D335" i="29"/>
  <c r="A335" i="29"/>
  <c r="D334" i="29"/>
  <c r="A334" i="29"/>
  <c r="D333" i="29"/>
  <c r="A333" i="29"/>
  <c r="D332" i="29"/>
  <c r="A332" i="29"/>
  <c r="D331" i="29"/>
  <c r="A331" i="29"/>
  <c r="D330" i="29"/>
  <c r="A330" i="29"/>
  <c r="D329" i="29"/>
  <c r="A329" i="29"/>
  <c r="D328" i="29"/>
  <c r="A328" i="29"/>
  <c r="D327" i="29"/>
  <c r="A327" i="29"/>
  <c r="D326" i="29"/>
  <c r="A326" i="29"/>
  <c r="D325" i="29"/>
  <c r="A325" i="29"/>
  <c r="D324" i="29"/>
  <c r="A324" i="29"/>
  <c r="D323" i="29"/>
  <c r="A323" i="29"/>
  <c r="D322" i="29"/>
  <c r="A322" i="29"/>
  <c r="D321" i="29"/>
  <c r="A321" i="29"/>
  <c r="D320" i="29"/>
  <c r="A320" i="29"/>
  <c r="D319" i="29"/>
  <c r="A319" i="29"/>
  <c r="D318" i="29"/>
  <c r="A318" i="29"/>
  <c r="D317" i="29"/>
  <c r="A317" i="29"/>
  <c r="D316" i="29"/>
  <c r="A316" i="29"/>
  <c r="D315" i="29"/>
  <c r="A315" i="29"/>
  <c r="D314" i="29"/>
  <c r="A314" i="29"/>
  <c r="D313" i="29"/>
  <c r="A313" i="29"/>
  <c r="D312" i="29"/>
  <c r="A312" i="29"/>
  <c r="D311" i="29"/>
  <c r="A311" i="29"/>
  <c r="D310" i="29"/>
  <c r="A310" i="29"/>
  <c r="D309" i="29"/>
  <c r="A309" i="29"/>
  <c r="D308" i="29"/>
  <c r="A308" i="29"/>
  <c r="D307" i="29"/>
  <c r="A307" i="29"/>
  <c r="D306" i="29"/>
  <c r="A306" i="29"/>
  <c r="D305" i="29"/>
  <c r="A305" i="29"/>
  <c r="D304" i="29"/>
  <c r="A304" i="29"/>
  <c r="D303" i="29"/>
  <c r="A303" i="29"/>
  <c r="D302" i="29"/>
  <c r="A302" i="29"/>
  <c r="D301" i="29"/>
  <c r="A301" i="29"/>
  <c r="D300" i="29"/>
  <c r="A300" i="29"/>
  <c r="D299" i="29"/>
  <c r="A299" i="29"/>
  <c r="D298" i="29"/>
  <c r="A298" i="29"/>
  <c r="D297" i="29"/>
  <c r="A297" i="29"/>
  <c r="D296" i="29"/>
  <c r="A296" i="29"/>
  <c r="D295" i="29"/>
  <c r="A295" i="29"/>
  <c r="D294" i="29"/>
  <c r="A294" i="29"/>
  <c r="D293" i="29"/>
  <c r="A293" i="29"/>
  <c r="D292" i="29"/>
  <c r="A292" i="29"/>
  <c r="D291" i="29"/>
  <c r="A291" i="29"/>
  <c r="D290" i="29"/>
  <c r="A290" i="29"/>
  <c r="D289" i="29"/>
  <c r="A289" i="29"/>
  <c r="D288" i="29"/>
  <c r="A288" i="29"/>
  <c r="D287" i="29"/>
  <c r="A287" i="29"/>
  <c r="D286" i="29"/>
  <c r="A286" i="29"/>
  <c r="D285" i="29"/>
  <c r="A285" i="29"/>
  <c r="D284" i="29"/>
  <c r="A284" i="29"/>
  <c r="D283" i="29"/>
  <c r="A283" i="29"/>
  <c r="D282" i="29"/>
  <c r="A282" i="29"/>
  <c r="D281" i="29"/>
  <c r="A281" i="29"/>
  <c r="D280" i="29"/>
  <c r="A280" i="29"/>
  <c r="D279" i="29"/>
  <c r="A279" i="29"/>
  <c r="D278" i="29"/>
  <c r="A278" i="29"/>
  <c r="D277" i="29"/>
  <c r="A277" i="29"/>
  <c r="D276" i="29"/>
  <c r="A276" i="29"/>
  <c r="D275" i="29"/>
  <c r="A275" i="29"/>
  <c r="D274" i="29"/>
  <c r="A274" i="29"/>
  <c r="D273" i="29"/>
  <c r="A273" i="29"/>
  <c r="D272" i="29"/>
  <c r="A272" i="29"/>
  <c r="D271" i="29"/>
  <c r="A271" i="29"/>
  <c r="D270" i="29"/>
  <c r="A270" i="29"/>
  <c r="D269" i="29"/>
  <c r="A269" i="29"/>
  <c r="D268" i="29"/>
  <c r="A268" i="29"/>
  <c r="D267" i="29"/>
  <c r="A267" i="29"/>
  <c r="D266" i="29"/>
  <c r="A266" i="29"/>
  <c r="D265" i="29"/>
  <c r="A265" i="29"/>
  <c r="D264" i="29"/>
  <c r="A264" i="29"/>
  <c r="D263" i="29"/>
  <c r="A263" i="29"/>
  <c r="D262" i="29"/>
  <c r="A262" i="29"/>
  <c r="D261" i="29"/>
  <c r="A261" i="29"/>
  <c r="D260" i="29"/>
  <c r="A260" i="29"/>
  <c r="D259" i="29"/>
  <c r="A259" i="29"/>
  <c r="D258" i="29"/>
  <c r="A258" i="29"/>
  <c r="D257" i="29"/>
  <c r="A257" i="29"/>
  <c r="D256" i="29"/>
  <c r="A256" i="29"/>
  <c r="D255" i="29"/>
  <c r="A255" i="29"/>
  <c r="D254" i="29"/>
  <c r="A254" i="29"/>
  <c r="D253" i="29"/>
  <c r="A253" i="29"/>
  <c r="D252" i="29"/>
  <c r="A252" i="29"/>
  <c r="D251" i="29"/>
  <c r="A251" i="29"/>
  <c r="D250" i="29"/>
  <c r="A250" i="29"/>
  <c r="D249" i="29"/>
  <c r="A249" i="29"/>
  <c r="D248" i="29"/>
  <c r="A248" i="29"/>
  <c r="D247" i="29"/>
  <c r="A247" i="29"/>
  <c r="D246" i="29"/>
  <c r="A246" i="29"/>
  <c r="D245" i="29"/>
  <c r="A245" i="29"/>
  <c r="D244" i="29"/>
  <c r="A244" i="29"/>
  <c r="D243" i="29"/>
  <c r="A243" i="29"/>
  <c r="D242" i="29"/>
  <c r="A242" i="29"/>
  <c r="D241" i="29"/>
  <c r="A241" i="29"/>
  <c r="D240" i="29"/>
  <c r="A240" i="29"/>
  <c r="D239" i="29"/>
  <c r="A239" i="29"/>
  <c r="D238" i="29"/>
  <c r="A238" i="29"/>
  <c r="D237" i="29"/>
  <c r="A237" i="29"/>
  <c r="D236" i="29"/>
  <c r="A236" i="29"/>
  <c r="D235" i="29"/>
  <c r="A235" i="29"/>
  <c r="D234" i="29"/>
  <c r="A234" i="29"/>
  <c r="D233" i="29"/>
  <c r="A233" i="29"/>
  <c r="D232" i="29"/>
  <c r="A232" i="29"/>
  <c r="D231" i="29"/>
  <c r="A231" i="29"/>
  <c r="D230" i="29"/>
  <c r="A230" i="29"/>
  <c r="D229" i="29"/>
  <c r="A229" i="29"/>
  <c r="D228" i="29"/>
  <c r="A228" i="29"/>
  <c r="D227" i="29"/>
  <c r="A227" i="29"/>
  <c r="D226" i="29"/>
  <c r="A226" i="29"/>
  <c r="D225" i="29"/>
  <c r="A225" i="29"/>
  <c r="D224" i="29"/>
  <c r="A224" i="29"/>
  <c r="D223" i="29"/>
  <c r="A223" i="29"/>
  <c r="D222" i="29"/>
  <c r="A222" i="29"/>
  <c r="D221" i="29"/>
  <c r="A221" i="29"/>
  <c r="D220" i="29"/>
  <c r="A220" i="29"/>
  <c r="D219" i="29"/>
  <c r="A219" i="29"/>
  <c r="D218" i="29"/>
  <c r="A218" i="29"/>
  <c r="D217" i="29"/>
  <c r="A217" i="29"/>
  <c r="D216" i="29"/>
  <c r="A216" i="29"/>
  <c r="D215" i="29"/>
  <c r="A215" i="29"/>
  <c r="D214" i="29"/>
  <c r="A214" i="29"/>
  <c r="D213" i="29"/>
  <c r="A213" i="29"/>
  <c r="D212" i="29"/>
  <c r="A212" i="29"/>
  <c r="D211" i="29"/>
  <c r="A211" i="29"/>
  <c r="D210" i="29"/>
  <c r="A210" i="29"/>
  <c r="D209" i="29"/>
  <c r="A209" i="29"/>
  <c r="D208" i="29"/>
  <c r="A208" i="29"/>
  <c r="D207" i="29"/>
  <c r="A207" i="29"/>
  <c r="D206" i="29"/>
  <c r="A206" i="29"/>
  <c r="D205" i="29"/>
  <c r="A205" i="29"/>
  <c r="D204" i="29"/>
  <c r="A204" i="29"/>
  <c r="D203" i="29"/>
  <c r="A203" i="29"/>
  <c r="D202" i="29"/>
  <c r="A202" i="29"/>
  <c r="D201" i="29"/>
  <c r="A201" i="29"/>
  <c r="D200" i="29"/>
  <c r="A200" i="29"/>
  <c r="D199" i="29"/>
  <c r="A199" i="29"/>
  <c r="D198" i="29"/>
  <c r="A198" i="29"/>
  <c r="D197" i="29"/>
  <c r="A197" i="29"/>
  <c r="D196" i="29"/>
  <c r="A196" i="29"/>
  <c r="D195" i="29"/>
  <c r="A195" i="29"/>
  <c r="D194" i="29"/>
  <c r="A194" i="29"/>
  <c r="D193" i="29"/>
  <c r="A193" i="29"/>
  <c r="D192" i="29"/>
  <c r="A192" i="29"/>
  <c r="D191" i="29"/>
  <c r="A191" i="29"/>
  <c r="D190" i="29"/>
  <c r="A190" i="29"/>
  <c r="D189" i="29"/>
  <c r="A189" i="29"/>
  <c r="D188" i="29"/>
  <c r="A188" i="29"/>
  <c r="D187" i="29"/>
  <c r="A187" i="29"/>
  <c r="D186" i="29"/>
  <c r="A186" i="29"/>
  <c r="D185" i="29"/>
  <c r="A185" i="29"/>
  <c r="D184" i="29"/>
  <c r="A184" i="29"/>
  <c r="D183" i="29"/>
  <c r="A183" i="29"/>
  <c r="D182" i="29"/>
  <c r="A182" i="29"/>
  <c r="D181" i="29"/>
  <c r="A181" i="29"/>
  <c r="D180" i="29"/>
  <c r="A180" i="29"/>
  <c r="D179" i="29"/>
  <c r="A179" i="29"/>
  <c r="D178" i="29"/>
  <c r="A178" i="29"/>
  <c r="D177" i="29"/>
  <c r="A177" i="29"/>
  <c r="D176" i="29"/>
  <c r="A176" i="29"/>
  <c r="D175" i="29"/>
  <c r="A175" i="29"/>
  <c r="D174" i="29"/>
  <c r="A174" i="29"/>
  <c r="D173" i="29"/>
  <c r="A173" i="29"/>
  <c r="D172" i="29"/>
  <c r="A172" i="29"/>
  <c r="D171" i="29"/>
  <c r="A171" i="29"/>
  <c r="D170" i="29"/>
  <c r="A170" i="29"/>
  <c r="D169" i="29"/>
  <c r="A169" i="29"/>
  <c r="D168" i="29"/>
  <c r="A168" i="29"/>
  <c r="D167" i="29"/>
  <c r="A167" i="29"/>
  <c r="D166" i="29"/>
  <c r="A166" i="29"/>
  <c r="D165" i="29"/>
  <c r="A165" i="29"/>
  <c r="D164" i="29"/>
  <c r="A164" i="29"/>
  <c r="D163" i="29"/>
  <c r="A163" i="29"/>
  <c r="D162" i="29"/>
  <c r="A162" i="29"/>
  <c r="D161" i="29"/>
  <c r="A161" i="29"/>
  <c r="D160" i="29"/>
  <c r="A160" i="29"/>
  <c r="D159" i="29"/>
  <c r="A159" i="29"/>
  <c r="D158" i="29"/>
  <c r="A158" i="29"/>
  <c r="D157" i="29"/>
  <c r="A157" i="29"/>
  <c r="D156" i="29"/>
  <c r="A156" i="29"/>
  <c r="D155" i="29"/>
  <c r="A155" i="29"/>
  <c r="D154" i="29"/>
  <c r="A154" i="29"/>
  <c r="D153" i="29"/>
  <c r="A153" i="29"/>
  <c r="D152" i="29"/>
  <c r="A152" i="29"/>
  <c r="D151" i="29"/>
  <c r="A151" i="29"/>
  <c r="D150" i="29"/>
  <c r="A150" i="29"/>
  <c r="D149" i="29"/>
  <c r="A149" i="29"/>
  <c r="D148" i="29"/>
  <c r="A148" i="29"/>
  <c r="D147" i="29"/>
  <c r="A147" i="29"/>
  <c r="D146" i="29"/>
  <c r="A146" i="29"/>
  <c r="D145" i="29"/>
  <c r="A145" i="29"/>
  <c r="D144" i="29"/>
  <c r="A144" i="29"/>
  <c r="D143" i="29"/>
  <c r="A143" i="29"/>
  <c r="D142" i="29"/>
  <c r="A142" i="29"/>
  <c r="D141" i="29"/>
  <c r="A141" i="29"/>
  <c r="D140" i="29"/>
  <c r="A140" i="29"/>
  <c r="D139" i="29"/>
  <c r="A139" i="29"/>
  <c r="D138" i="29"/>
  <c r="A138" i="29"/>
  <c r="D137" i="29"/>
  <c r="A137" i="29"/>
  <c r="D136" i="29"/>
  <c r="A136" i="29"/>
  <c r="D135" i="29"/>
  <c r="A135" i="29"/>
  <c r="D134" i="29"/>
  <c r="A134" i="29"/>
  <c r="D133" i="29"/>
  <c r="A133" i="29"/>
  <c r="D132" i="29"/>
  <c r="A132" i="29"/>
  <c r="D131" i="29"/>
  <c r="A131" i="29"/>
  <c r="D130" i="29"/>
  <c r="A130" i="29"/>
  <c r="D129" i="29"/>
  <c r="A129" i="29"/>
  <c r="D128" i="29"/>
  <c r="A128" i="29"/>
  <c r="D127" i="29"/>
  <c r="A127" i="29"/>
  <c r="D126" i="29"/>
  <c r="A126" i="29"/>
  <c r="D125" i="29"/>
  <c r="A125" i="29"/>
  <c r="D124" i="29"/>
  <c r="A124" i="29"/>
  <c r="D123" i="29"/>
  <c r="A123" i="29"/>
  <c r="D122" i="29"/>
  <c r="A122" i="29"/>
  <c r="D121" i="29"/>
  <c r="A121" i="29"/>
  <c r="D120" i="29"/>
  <c r="A120" i="29"/>
  <c r="D119" i="29"/>
  <c r="A119" i="29"/>
  <c r="D118" i="29"/>
  <c r="A118" i="29"/>
  <c r="D117" i="29"/>
  <c r="A117" i="29"/>
  <c r="D116" i="29"/>
  <c r="A116" i="29"/>
  <c r="D115" i="29"/>
  <c r="A115" i="29"/>
  <c r="D114" i="29"/>
  <c r="A114" i="29"/>
  <c r="D113" i="29"/>
  <c r="A113" i="29"/>
  <c r="D112" i="29"/>
  <c r="A112" i="29"/>
  <c r="D111" i="29"/>
  <c r="A111" i="29"/>
  <c r="D110" i="29"/>
  <c r="A110" i="29"/>
  <c r="D109" i="29"/>
  <c r="A109" i="29"/>
  <c r="D108" i="29"/>
  <c r="A108" i="29"/>
  <c r="D107" i="29"/>
  <c r="A107" i="29"/>
  <c r="D106" i="29"/>
  <c r="A106" i="29"/>
  <c r="D105" i="29"/>
  <c r="A105" i="29"/>
  <c r="D104" i="29"/>
  <c r="A104" i="29"/>
  <c r="D103" i="29"/>
  <c r="A103" i="29"/>
  <c r="D102" i="29"/>
  <c r="A102" i="29"/>
  <c r="D101" i="29"/>
  <c r="A101" i="29"/>
  <c r="D100" i="29"/>
  <c r="A100" i="29"/>
  <c r="D99" i="29"/>
  <c r="A99" i="29"/>
  <c r="D98" i="29"/>
  <c r="A98" i="29"/>
  <c r="D97" i="29"/>
  <c r="A97" i="29"/>
  <c r="D96" i="29"/>
  <c r="A96" i="29"/>
  <c r="D95" i="29"/>
  <c r="A95" i="29"/>
  <c r="D94" i="29"/>
  <c r="A94" i="29"/>
  <c r="D93" i="29"/>
  <c r="A93" i="29"/>
  <c r="D92" i="29"/>
  <c r="A92" i="29"/>
  <c r="D91" i="29"/>
  <c r="A91" i="29"/>
  <c r="D90" i="29"/>
  <c r="A90" i="29"/>
  <c r="D89" i="29"/>
  <c r="A89" i="29"/>
  <c r="D88" i="29"/>
  <c r="A88" i="29"/>
  <c r="D87" i="29"/>
  <c r="A87" i="29"/>
  <c r="D86" i="29"/>
  <c r="A86" i="29"/>
  <c r="D85" i="29"/>
  <c r="A85" i="29"/>
  <c r="D84" i="29"/>
  <c r="A84" i="29"/>
  <c r="D83" i="29"/>
  <c r="A83" i="29"/>
  <c r="D82" i="29"/>
  <c r="A82" i="29"/>
  <c r="D81" i="29"/>
  <c r="A81" i="29"/>
  <c r="D80" i="29"/>
  <c r="A80" i="29"/>
  <c r="D79" i="29"/>
  <c r="A79" i="29"/>
  <c r="D78" i="29"/>
  <c r="A78" i="29"/>
  <c r="D77" i="29"/>
  <c r="A77" i="29"/>
  <c r="D76" i="29"/>
  <c r="A76" i="29"/>
  <c r="D75" i="29"/>
  <c r="A75" i="29"/>
  <c r="D74" i="29"/>
  <c r="A74" i="29"/>
  <c r="D73" i="29"/>
  <c r="A73" i="29"/>
  <c r="D72" i="29"/>
  <c r="A72" i="29"/>
  <c r="D71" i="29"/>
  <c r="A71" i="29"/>
  <c r="D70" i="29"/>
  <c r="A70" i="29"/>
  <c r="D69" i="29"/>
  <c r="A69" i="29"/>
  <c r="D68" i="29"/>
  <c r="A68" i="29"/>
  <c r="D67" i="29"/>
  <c r="A67" i="29"/>
  <c r="D66" i="29"/>
  <c r="A66" i="29"/>
  <c r="D65" i="29"/>
  <c r="A65" i="29"/>
  <c r="D64" i="29"/>
  <c r="A64" i="29"/>
  <c r="D63" i="29"/>
  <c r="A63" i="29"/>
  <c r="D62" i="29"/>
  <c r="A62" i="29"/>
  <c r="D61" i="29"/>
  <c r="A61" i="29"/>
  <c r="D60" i="29"/>
  <c r="A60" i="29"/>
  <c r="D59" i="29"/>
  <c r="A59" i="29"/>
  <c r="D58" i="29"/>
  <c r="A58" i="29"/>
  <c r="D57" i="29"/>
  <c r="A57" i="29"/>
  <c r="D56" i="29"/>
  <c r="A56" i="29"/>
  <c r="D55" i="29"/>
  <c r="A55" i="29"/>
  <c r="D54" i="29"/>
  <c r="A54" i="29"/>
  <c r="D53" i="29"/>
  <c r="A53" i="29"/>
  <c r="D52" i="29"/>
  <c r="A52" i="29"/>
  <c r="D51" i="29"/>
  <c r="A51" i="29"/>
  <c r="D50" i="29"/>
  <c r="A50" i="29"/>
  <c r="D49" i="29"/>
  <c r="A49" i="29"/>
  <c r="D48" i="29"/>
  <c r="A48" i="29"/>
  <c r="D47" i="29"/>
  <c r="A47" i="29"/>
  <c r="D46" i="29"/>
  <c r="A46" i="29"/>
  <c r="D45" i="29"/>
  <c r="A45" i="29"/>
  <c r="D44" i="29"/>
  <c r="A44" i="29"/>
  <c r="D43" i="29"/>
  <c r="A43" i="29"/>
  <c r="D42" i="29"/>
  <c r="A42" i="29"/>
  <c r="D41" i="29"/>
  <c r="A41" i="29"/>
  <c r="D40" i="29"/>
  <c r="A40" i="29"/>
  <c r="D39" i="29"/>
  <c r="A39" i="29"/>
  <c r="D38" i="29"/>
  <c r="A38" i="29"/>
  <c r="D37" i="29"/>
  <c r="A37" i="29"/>
  <c r="D36" i="29"/>
  <c r="A36" i="29"/>
  <c r="D35" i="29"/>
  <c r="A35" i="29"/>
  <c r="D34" i="29"/>
  <c r="A34" i="29"/>
  <c r="D33" i="29"/>
  <c r="A33" i="29"/>
  <c r="D32" i="29"/>
  <c r="A32" i="29"/>
  <c r="D31" i="29"/>
  <c r="A31" i="29"/>
  <c r="D30" i="29"/>
  <c r="A30" i="29"/>
  <c r="D29" i="29"/>
  <c r="A29" i="29"/>
  <c r="D28" i="29"/>
  <c r="A28" i="29"/>
  <c r="D27" i="29"/>
  <c r="A27" i="29"/>
  <c r="D26" i="29"/>
  <c r="A26" i="29"/>
  <c r="D25" i="29"/>
  <c r="A25" i="29"/>
  <c r="D24" i="29"/>
  <c r="A24" i="29"/>
  <c r="D23" i="29"/>
  <c r="A23" i="29"/>
  <c r="D22" i="29"/>
  <c r="A22" i="29"/>
  <c r="D21" i="29"/>
  <c r="A21" i="29"/>
  <c r="D20" i="29"/>
  <c r="A20" i="29"/>
  <c r="D19" i="29"/>
  <c r="A19" i="29"/>
  <c r="D18" i="29"/>
  <c r="A18" i="29"/>
  <c r="D17" i="29"/>
  <c r="A17" i="29"/>
  <c r="D16" i="29"/>
  <c r="A16" i="29"/>
  <c r="D15" i="29"/>
  <c r="A15" i="29"/>
  <c r="D14" i="29"/>
  <c r="A14" i="29"/>
  <c r="D13" i="29"/>
  <c r="A13" i="29"/>
  <c r="D12" i="29"/>
  <c r="A12" i="29"/>
  <c r="D11" i="29"/>
  <c r="A11" i="29"/>
  <c r="D10" i="29"/>
  <c r="A10" i="29"/>
  <c r="D9" i="29"/>
  <c r="A9" i="29"/>
  <c r="D8" i="29"/>
  <c r="A8" i="29"/>
  <c r="D7" i="29"/>
  <c r="A7" i="29"/>
  <c r="D6" i="29"/>
  <c r="A6" i="29"/>
  <c r="D5" i="29"/>
  <c r="A5" i="29"/>
  <c r="D4" i="29"/>
  <c r="A4" i="29"/>
  <c r="D3" i="29"/>
  <c r="A3" i="29"/>
  <c r="D2" i="29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A329" i="28"/>
  <c r="A330" i="28"/>
  <c r="A331" i="28"/>
  <c r="A332" i="28"/>
  <c r="A333" i="28"/>
  <c r="A334" i="28"/>
  <c r="A335" i="28"/>
  <c r="A336" i="28"/>
  <c r="A337" i="28"/>
  <c r="A338" i="28"/>
  <c r="A339" i="28"/>
  <c r="A340" i="28"/>
  <c r="A341" i="28"/>
  <c r="A342" i="28"/>
  <c r="A343" i="28"/>
  <c r="A344" i="28"/>
  <c r="A345" i="28"/>
  <c r="A346" i="28"/>
  <c r="A347" i="28"/>
  <c r="A348" i="28"/>
  <c r="A349" i="28"/>
  <c r="A350" i="28"/>
  <c r="A351" i="28"/>
  <c r="A352" i="28"/>
  <c r="A353" i="28"/>
  <c r="A354" i="28"/>
  <c r="A355" i="28"/>
  <c r="A356" i="28"/>
  <c r="A357" i="28"/>
  <c r="A358" i="28"/>
  <c r="A359" i="28"/>
  <c r="A360" i="28"/>
  <c r="A361" i="28"/>
  <c r="A362" i="28"/>
  <c r="A363" i="28"/>
  <c r="A364" i="28"/>
  <c r="A365" i="28"/>
  <c r="A366" i="28"/>
  <c r="A367" i="28"/>
  <c r="A368" i="28"/>
  <c r="A369" i="28"/>
  <c r="A370" i="28"/>
  <c r="A371" i="28"/>
  <c r="A372" i="28"/>
  <c r="A373" i="28"/>
  <c r="A374" i="28"/>
  <c r="A375" i="28"/>
  <c r="A376" i="28"/>
  <c r="A377" i="28"/>
  <c r="A378" i="28"/>
  <c r="A379" i="28"/>
  <c r="A380" i="28"/>
  <c r="A381" i="28"/>
  <c r="A382" i="28"/>
  <c r="A383" i="28"/>
  <c r="A384" i="28"/>
  <c r="A385" i="28"/>
  <c r="A386" i="28"/>
  <c r="A387" i="28"/>
  <c r="A388" i="28"/>
  <c r="A389" i="28"/>
  <c r="A390" i="28"/>
  <c r="A391" i="28"/>
  <c r="A392" i="28"/>
  <c r="A393" i="28"/>
  <c r="A394" i="28"/>
  <c r="A395" i="28"/>
  <c r="A396" i="28"/>
  <c r="A397" i="28"/>
  <c r="A398" i="28"/>
  <c r="A399" i="28"/>
  <c r="A400" i="28"/>
  <c r="A401" i="28"/>
  <c r="A402" i="28"/>
  <c r="A403" i="28"/>
  <c r="A404" i="28"/>
  <c r="A405" i="28"/>
  <c r="A406" i="28"/>
  <c r="A407" i="28"/>
  <c r="A408" i="28"/>
  <c r="A409" i="28"/>
  <c r="A410" i="28"/>
  <c r="A411" i="28"/>
  <c r="A412" i="28"/>
  <c r="A413" i="28"/>
  <c r="A414" i="28"/>
  <c r="A415" i="28"/>
  <c r="A416" i="28"/>
  <c r="A417" i="28"/>
  <c r="A418" i="28"/>
  <c r="A419" i="28"/>
  <c r="A420" i="28"/>
  <c r="A421" i="28"/>
  <c r="A422" i="28"/>
  <c r="A423" i="28"/>
  <c r="A424" i="28"/>
  <c r="A425" i="28"/>
  <c r="A426" i="28"/>
  <c r="A427" i="28"/>
  <c r="A428" i="28"/>
  <c r="A429" i="28"/>
  <c r="A430" i="28"/>
  <c r="A431" i="28"/>
  <c r="A432" i="28"/>
  <c r="A433" i="28"/>
  <c r="A434" i="28"/>
  <c r="A435" i="28"/>
  <c r="A436" i="28"/>
  <c r="A437" i="28"/>
  <c r="A438" i="28"/>
  <c r="A439" i="28"/>
  <c r="A440" i="28"/>
  <c r="A441" i="28"/>
  <c r="A442" i="28"/>
  <c r="A443" i="28"/>
  <c r="A444" i="28"/>
  <c r="A445" i="28"/>
  <c r="A446" i="28"/>
  <c r="A447" i="28"/>
  <c r="A448" i="28"/>
  <c r="A449" i="28"/>
  <c r="A450" i="28"/>
  <c r="A451" i="28"/>
  <c r="A452" i="28"/>
  <c r="A453" i="28"/>
  <c r="A454" i="28"/>
  <c r="A455" i="28"/>
  <c r="A456" i="28"/>
  <c r="A457" i="28"/>
  <c r="A458" i="28"/>
  <c r="A459" i="28"/>
  <c r="A460" i="28"/>
  <c r="A461" i="28"/>
  <c r="A462" i="28"/>
  <c r="A463" i="28"/>
  <c r="A464" i="28"/>
  <c r="A465" i="28"/>
  <c r="A466" i="28"/>
  <c r="A467" i="28"/>
  <c r="A468" i="28"/>
  <c r="A469" i="28"/>
  <c r="A470" i="28"/>
  <c r="A471" i="28"/>
  <c r="A472" i="28"/>
  <c r="A473" i="28"/>
  <c r="A474" i="28"/>
  <c r="A475" i="28"/>
  <c r="A476" i="28"/>
  <c r="A477" i="28"/>
  <c r="A478" i="28"/>
  <c r="A479" i="28"/>
  <c r="A480" i="28"/>
  <c r="A481" i="28"/>
  <c r="A482" i="28"/>
  <c r="A483" i="28"/>
  <c r="A484" i="28"/>
  <c r="A485" i="28"/>
  <c r="A486" i="28"/>
  <c r="A487" i="28"/>
  <c r="A488" i="28"/>
  <c r="A489" i="28"/>
  <c r="A490" i="28"/>
  <c r="A491" i="28"/>
  <c r="A492" i="28"/>
  <c r="A493" i="28"/>
  <c r="A494" i="28"/>
  <c r="A495" i="28"/>
  <c r="A496" i="28"/>
  <c r="A497" i="28"/>
  <c r="A498" i="28"/>
  <c r="A499" i="28"/>
  <c r="A500" i="28"/>
  <c r="A501" i="28"/>
  <c r="A502" i="28"/>
  <c r="A503" i="28"/>
  <c r="A504" i="28"/>
  <c r="A505" i="28"/>
  <c r="A506" i="28"/>
  <c r="A507" i="28"/>
  <c r="A508" i="28"/>
  <c r="A509" i="28"/>
  <c r="A510" i="28"/>
  <c r="A511" i="28"/>
  <c r="A512" i="28"/>
  <c r="A513" i="28"/>
  <c r="A514" i="28"/>
  <c r="A515" i="28"/>
  <c r="A516" i="28"/>
  <c r="A517" i="28"/>
  <c r="A518" i="28"/>
  <c r="A519" i="28"/>
  <c r="A520" i="28"/>
  <c r="A521" i="28"/>
  <c r="A522" i="28"/>
  <c r="A523" i="28"/>
  <c r="A524" i="28"/>
  <c r="A525" i="28"/>
  <c r="A526" i="28"/>
  <c r="A527" i="28"/>
  <c r="A528" i="28"/>
  <c r="A529" i="28"/>
  <c r="A530" i="28"/>
  <c r="A531" i="28"/>
  <c r="A532" i="28"/>
  <c r="A533" i="28"/>
  <c r="A534" i="28"/>
  <c r="A535" i="28"/>
  <c r="A536" i="28"/>
  <c r="A537" i="28"/>
  <c r="A538" i="28"/>
  <c r="A539" i="28"/>
  <c r="A540" i="28"/>
  <c r="A541" i="28"/>
  <c r="A542" i="28"/>
  <c r="A543" i="28"/>
  <c r="A544" i="28"/>
  <c r="A545" i="28"/>
  <c r="A546" i="28"/>
  <c r="A547" i="28"/>
  <c r="A548" i="28"/>
  <c r="A549" i="28"/>
  <c r="A550" i="28"/>
  <c r="A551" i="28"/>
  <c r="A552" i="28"/>
  <c r="A553" i="28"/>
  <c r="A554" i="28"/>
  <c r="A555" i="28"/>
  <c r="A556" i="28"/>
  <c r="A557" i="28"/>
  <c r="A558" i="28"/>
  <c r="A559" i="28"/>
  <c r="A560" i="28"/>
  <c r="A561" i="28"/>
  <c r="A562" i="28"/>
  <c r="A563" i="28"/>
  <c r="A564" i="28"/>
  <c r="A565" i="28"/>
  <c r="A566" i="28"/>
  <c r="A567" i="28"/>
  <c r="A568" i="28"/>
  <c r="A569" i="28"/>
  <c r="A570" i="28"/>
  <c r="A571" i="28"/>
  <c r="A572" i="28"/>
  <c r="A573" i="28"/>
  <c r="A574" i="28"/>
  <c r="A575" i="28"/>
  <c r="A576" i="28"/>
  <c r="A577" i="28"/>
  <c r="A578" i="28"/>
  <c r="A579" i="28"/>
  <c r="A580" i="28"/>
  <c r="A581" i="28"/>
  <c r="A582" i="28"/>
  <c r="A583" i="28"/>
  <c r="A584" i="28"/>
  <c r="A585" i="28"/>
  <c r="A586" i="28"/>
  <c r="A587" i="28"/>
  <c r="A588" i="28"/>
  <c r="A589" i="28"/>
  <c r="A590" i="28"/>
  <c r="A591" i="28"/>
  <c r="A592" i="28"/>
  <c r="A593" i="28"/>
  <c r="A594" i="28"/>
  <c r="A595" i="28"/>
  <c r="A596" i="28"/>
  <c r="A597" i="28"/>
  <c r="A598" i="28"/>
  <c r="A599" i="28"/>
  <c r="A600" i="28"/>
  <c r="A601" i="28"/>
  <c r="A602" i="28"/>
  <c r="D328" i="28"/>
  <c r="A328" i="28"/>
  <c r="D327" i="28"/>
  <c r="A327" i="28"/>
  <c r="D326" i="28"/>
  <c r="A326" i="28"/>
  <c r="D325" i="28"/>
  <c r="A325" i="28"/>
  <c r="D324" i="28"/>
  <c r="A324" i="28"/>
  <c r="D323" i="28"/>
  <c r="A323" i="28"/>
  <c r="D322" i="28"/>
  <c r="A322" i="28"/>
  <c r="D321" i="28"/>
  <c r="A321" i="28"/>
  <c r="D320" i="28"/>
  <c r="A320" i="28"/>
  <c r="D319" i="28"/>
  <c r="A319" i="28"/>
  <c r="D318" i="28"/>
  <c r="A318" i="28"/>
  <c r="D317" i="28"/>
  <c r="A317" i="28"/>
  <c r="D316" i="28"/>
  <c r="A316" i="28"/>
  <c r="D315" i="28"/>
  <c r="A315" i="28"/>
  <c r="D314" i="28"/>
  <c r="A314" i="28"/>
  <c r="D313" i="28"/>
  <c r="A313" i="28"/>
  <c r="D312" i="28"/>
  <c r="A312" i="28"/>
  <c r="D311" i="28"/>
  <c r="A311" i="28"/>
  <c r="D310" i="28"/>
  <c r="A310" i="28"/>
  <c r="D309" i="28"/>
  <c r="A309" i="28"/>
  <c r="D308" i="28"/>
  <c r="A308" i="28"/>
  <c r="D307" i="28"/>
  <c r="A307" i="28"/>
  <c r="D306" i="28"/>
  <c r="A306" i="28"/>
  <c r="D305" i="28"/>
  <c r="A305" i="28"/>
  <c r="D304" i="28"/>
  <c r="A304" i="28"/>
  <c r="D303" i="28"/>
  <c r="A303" i="28"/>
  <c r="D302" i="28"/>
  <c r="A302" i="28"/>
  <c r="D301" i="28"/>
  <c r="A301" i="28"/>
  <c r="D300" i="28"/>
  <c r="A300" i="28"/>
  <c r="D299" i="28"/>
  <c r="A299" i="28"/>
  <c r="D298" i="28"/>
  <c r="A298" i="28"/>
  <c r="D297" i="28"/>
  <c r="A297" i="28"/>
  <c r="D296" i="28"/>
  <c r="A296" i="28"/>
  <c r="D295" i="28"/>
  <c r="A295" i="28"/>
  <c r="D294" i="28"/>
  <c r="A294" i="28"/>
  <c r="D293" i="28"/>
  <c r="A293" i="28"/>
  <c r="D292" i="28"/>
  <c r="A292" i="28"/>
  <c r="D291" i="28"/>
  <c r="A291" i="28"/>
  <c r="D290" i="28"/>
  <c r="A290" i="28"/>
  <c r="D289" i="28"/>
  <c r="A289" i="28"/>
  <c r="D288" i="28"/>
  <c r="A288" i="28"/>
  <c r="D287" i="28"/>
  <c r="A287" i="28"/>
  <c r="D286" i="28"/>
  <c r="A286" i="28"/>
  <c r="D285" i="28"/>
  <c r="A285" i="28"/>
  <c r="D284" i="28"/>
  <c r="A284" i="28"/>
  <c r="D283" i="28"/>
  <c r="A283" i="28"/>
  <c r="D282" i="28"/>
  <c r="A282" i="28"/>
  <c r="D281" i="28"/>
  <c r="A281" i="28"/>
  <c r="D280" i="28"/>
  <c r="A280" i="28"/>
  <c r="D279" i="28"/>
  <c r="A279" i="28"/>
  <c r="D278" i="28"/>
  <c r="A278" i="28"/>
  <c r="D277" i="28"/>
  <c r="A277" i="28"/>
  <c r="D276" i="28"/>
  <c r="A276" i="28"/>
  <c r="D275" i="28"/>
  <c r="A275" i="28"/>
  <c r="D274" i="28"/>
  <c r="A274" i="28"/>
  <c r="D273" i="28"/>
  <c r="A273" i="28"/>
  <c r="D272" i="28"/>
  <c r="A272" i="28"/>
  <c r="D271" i="28"/>
  <c r="A271" i="28"/>
  <c r="D270" i="28"/>
  <c r="A270" i="28"/>
  <c r="D269" i="28"/>
  <c r="A269" i="28"/>
  <c r="D268" i="28"/>
  <c r="A268" i="28"/>
  <c r="D267" i="28"/>
  <c r="A267" i="28"/>
  <c r="D266" i="28"/>
  <c r="A266" i="28"/>
  <c r="D265" i="28"/>
  <c r="A265" i="28"/>
  <c r="D264" i="28"/>
  <c r="A264" i="28"/>
  <c r="D263" i="28"/>
  <c r="A263" i="28"/>
  <c r="D262" i="28"/>
  <c r="A262" i="28"/>
  <c r="D261" i="28"/>
  <c r="A261" i="28"/>
  <c r="D260" i="28"/>
  <c r="A260" i="28"/>
  <c r="D259" i="28"/>
  <c r="A259" i="28"/>
  <c r="D258" i="28"/>
  <c r="A258" i="28"/>
  <c r="D257" i="28"/>
  <c r="A257" i="28"/>
  <c r="D256" i="28"/>
  <c r="A256" i="28"/>
  <c r="D255" i="28"/>
  <c r="A255" i="28"/>
  <c r="D254" i="28"/>
  <c r="A254" i="28"/>
  <c r="D253" i="28"/>
  <c r="A253" i="28"/>
  <c r="D252" i="28"/>
  <c r="A252" i="28"/>
  <c r="D251" i="28"/>
  <c r="A251" i="28"/>
  <c r="D250" i="28"/>
  <c r="A250" i="28"/>
  <c r="D249" i="28"/>
  <c r="A249" i="28"/>
  <c r="D248" i="28"/>
  <c r="A248" i="28"/>
  <c r="D247" i="28"/>
  <c r="A247" i="28"/>
  <c r="D246" i="28"/>
  <c r="A246" i="28"/>
  <c r="D245" i="28"/>
  <c r="A245" i="28"/>
  <c r="D244" i="28"/>
  <c r="A244" i="28"/>
  <c r="D243" i="28"/>
  <c r="A243" i="28"/>
  <c r="D242" i="28"/>
  <c r="A242" i="28"/>
  <c r="D241" i="28"/>
  <c r="A241" i="28"/>
  <c r="D240" i="28"/>
  <c r="A240" i="28"/>
  <c r="D239" i="28"/>
  <c r="A239" i="28"/>
  <c r="D238" i="28"/>
  <c r="A238" i="28"/>
  <c r="D237" i="28"/>
  <c r="A237" i="28"/>
  <c r="D236" i="28"/>
  <c r="A236" i="28"/>
  <c r="D235" i="28"/>
  <c r="A235" i="28"/>
  <c r="D234" i="28"/>
  <c r="A234" i="28"/>
  <c r="D233" i="28"/>
  <c r="A233" i="28"/>
  <c r="D232" i="28"/>
  <c r="A232" i="28"/>
  <c r="D231" i="28"/>
  <c r="A231" i="28"/>
  <c r="D230" i="28"/>
  <c r="A230" i="28"/>
  <c r="D229" i="28"/>
  <c r="A229" i="28"/>
  <c r="D228" i="28"/>
  <c r="A228" i="28"/>
  <c r="D227" i="28"/>
  <c r="A227" i="28"/>
  <c r="D226" i="28"/>
  <c r="A226" i="28"/>
  <c r="D225" i="28"/>
  <c r="A225" i="28"/>
  <c r="D224" i="28"/>
  <c r="A224" i="28"/>
  <c r="D223" i="28"/>
  <c r="A223" i="28"/>
  <c r="D222" i="28"/>
  <c r="A222" i="28"/>
  <c r="D221" i="28"/>
  <c r="A221" i="28"/>
  <c r="D220" i="28"/>
  <c r="A220" i="28"/>
  <c r="D219" i="28"/>
  <c r="A219" i="28"/>
  <c r="D218" i="28"/>
  <c r="A218" i="28"/>
  <c r="D217" i="28"/>
  <c r="A217" i="28"/>
  <c r="D216" i="28"/>
  <c r="A216" i="28"/>
  <c r="D215" i="28"/>
  <c r="A215" i="28"/>
  <c r="D214" i="28"/>
  <c r="A214" i="28"/>
  <c r="D213" i="28"/>
  <c r="A213" i="28"/>
  <c r="D212" i="28"/>
  <c r="A212" i="28"/>
  <c r="D211" i="28"/>
  <c r="A211" i="28"/>
  <c r="D210" i="28"/>
  <c r="A210" i="28"/>
  <c r="D209" i="28"/>
  <c r="A209" i="28"/>
  <c r="D208" i="28"/>
  <c r="A208" i="28"/>
  <c r="D207" i="28"/>
  <c r="A207" i="28"/>
  <c r="D206" i="28"/>
  <c r="A206" i="28"/>
  <c r="D205" i="28"/>
  <c r="A205" i="28"/>
  <c r="D204" i="28"/>
  <c r="A204" i="28"/>
  <c r="D203" i="28"/>
  <c r="A203" i="28"/>
  <c r="D202" i="28"/>
  <c r="A202" i="28"/>
  <c r="D201" i="28"/>
  <c r="A201" i="28"/>
  <c r="D200" i="28"/>
  <c r="A200" i="28"/>
  <c r="D199" i="28"/>
  <c r="A199" i="28"/>
  <c r="D198" i="28"/>
  <c r="A198" i="28"/>
  <c r="D197" i="28"/>
  <c r="A197" i="28"/>
  <c r="D196" i="28"/>
  <c r="A196" i="28"/>
  <c r="D195" i="28"/>
  <c r="A195" i="28"/>
  <c r="D194" i="28"/>
  <c r="A194" i="28"/>
  <c r="D193" i="28"/>
  <c r="A193" i="28"/>
  <c r="D192" i="28"/>
  <c r="A192" i="28"/>
  <c r="D191" i="28"/>
  <c r="A191" i="28"/>
  <c r="D190" i="28"/>
  <c r="A190" i="28"/>
  <c r="D189" i="28"/>
  <c r="A189" i="28"/>
  <c r="D188" i="28"/>
  <c r="A188" i="28"/>
  <c r="D187" i="28"/>
  <c r="A187" i="28"/>
  <c r="D186" i="28"/>
  <c r="A186" i="28"/>
  <c r="D185" i="28"/>
  <c r="A185" i="28"/>
  <c r="D184" i="28"/>
  <c r="A184" i="28"/>
  <c r="D183" i="28"/>
  <c r="A183" i="28"/>
  <c r="D182" i="28"/>
  <c r="A182" i="28"/>
  <c r="D181" i="28"/>
  <c r="A181" i="28"/>
  <c r="D180" i="28"/>
  <c r="A180" i="28"/>
  <c r="D179" i="28"/>
  <c r="A179" i="28"/>
  <c r="D178" i="28"/>
  <c r="A178" i="28"/>
  <c r="D177" i="28"/>
  <c r="A177" i="28"/>
  <c r="D176" i="28"/>
  <c r="A176" i="28"/>
  <c r="D175" i="28"/>
  <c r="A175" i="28"/>
  <c r="D174" i="28"/>
  <c r="A174" i="28"/>
  <c r="D173" i="28"/>
  <c r="A173" i="28"/>
  <c r="D172" i="28"/>
  <c r="A172" i="28"/>
  <c r="D171" i="28"/>
  <c r="A171" i="28"/>
  <c r="D170" i="28"/>
  <c r="A170" i="28"/>
  <c r="D169" i="28"/>
  <c r="A169" i="28"/>
  <c r="D168" i="28"/>
  <c r="A168" i="28"/>
  <c r="D167" i="28"/>
  <c r="A167" i="28"/>
  <c r="D166" i="28"/>
  <c r="A166" i="28"/>
  <c r="D165" i="28"/>
  <c r="A165" i="28"/>
  <c r="D164" i="28"/>
  <c r="A164" i="28"/>
  <c r="D163" i="28"/>
  <c r="A163" i="28"/>
  <c r="D162" i="28"/>
  <c r="A162" i="28"/>
  <c r="D161" i="28"/>
  <c r="A161" i="28"/>
  <c r="D160" i="28"/>
  <c r="A160" i="28"/>
  <c r="D159" i="28"/>
  <c r="A159" i="28"/>
  <c r="D158" i="28"/>
  <c r="A158" i="28"/>
  <c r="D157" i="28"/>
  <c r="A157" i="28"/>
  <c r="D156" i="28"/>
  <c r="A156" i="28"/>
  <c r="D155" i="28"/>
  <c r="A155" i="28"/>
  <c r="D154" i="28"/>
  <c r="A154" i="28"/>
  <c r="D153" i="28"/>
  <c r="A153" i="28"/>
  <c r="D152" i="28"/>
  <c r="A152" i="28"/>
  <c r="D151" i="28"/>
  <c r="A151" i="28"/>
  <c r="D150" i="28"/>
  <c r="A150" i="28"/>
  <c r="D149" i="28"/>
  <c r="A149" i="28"/>
  <c r="D148" i="28"/>
  <c r="A148" i="28"/>
  <c r="D147" i="28"/>
  <c r="A147" i="28"/>
  <c r="D146" i="28"/>
  <c r="A146" i="28"/>
  <c r="D145" i="28"/>
  <c r="A145" i="28"/>
  <c r="D144" i="28"/>
  <c r="A144" i="28"/>
  <c r="D143" i="28"/>
  <c r="A143" i="28"/>
  <c r="D142" i="28"/>
  <c r="A142" i="28"/>
  <c r="D141" i="28"/>
  <c r="A141" i="28"/>
  <c r="D140" i="28"/>
  <c r="A140" i="28"/>
  <c r="D139" i="28"/>
  <c r="A139" i="28"/>
  <c r="D138" i="28"/>
  <c r="A138" i="28"/>
  <c r="D137" i="28"/>
  <c r="A137" i="28"/>
  <c r="D136" i="28"/>
  <c r="A136" i="28"/>
  <c r="D135" i="28"/>
  <c r="A135" i="28"/>
  <c r="D134" i="28"/>
  <c r="A134" i="28"/>
  <c r="D133" i="28"/>
  <c r="A133" i="28"/>
  <c r="D132" i="28"/>
  <c r="A132" i="28"/>
  <c r="D131" i="28"/>
  <c r="A131" i="28"/>
  <c r="D130" i="28"/>
  <c r="A130" i="28"/>
  <c r="D129" i="28"/>
  <c r="A129" i="28"/>
  <c r="D128" i="28"/>
  <c r="A128" i="28"/>
  <c r="D127" i="28"/>
  <c r="A127" i="28"/>
  <c r="D126" i="28"/>
  <c r="A126" i="28"/>
  <c r="D125" i="28"/>
  <c r="A125" i="28"/>
  <c r="D124" i="28"/>
  <c r="A124" i="28"/>
  <c r="D123" i="28"/>
  <c r="A123" i="28"/>
  <c r="D122" i="28"/>
  <c r="A122" i="28"/>
  <c r="D121" i="28"/>
  <c r="A121" i="28"/>
  <c r="D120" i="28"/>
  <c r="A120" i="28"/>
  <c r="D119" i="28"/>
  <c r="A119" i="28"/>
  <c r="D118" i="28"/>
  <c r="A118" i="28"/>
  <c r="D117" i="28"/>
  <c r="A117" i="28"/>
  <c r="D116" i="28"/>
  <c r="A116" i="28"/>
  <c r="D115" i="28"/>
  <c r="A115" i="28"/>
  <c r="D114" i="28"/>
  <c r="A114" i="28"/>
  <c r="D113" i="28"/>
  <c r="A113" i="28"/>
  <c r="D112" i="28"/>
  <c r="A112" i="28"/>
  <c r="D111" i="28"/>
  <c r="A111" i="28"/>
  <c r="D110" i="28"/>
  <c r="A110" i="28"/>
  <c r="D109" i="28"/>
  <c r="A109" i="28"/>
  <c r="D108" i="28"/>
  <c r="A108" i="28"/>
  <c r="D107" i="28"/>
  <c r="A107" i="28"/>
  <c r="D106" i="28"/>
  <c r="A106" i="28"/>
  <c r="D105" i="28"/>
  <c r="A105" i="28"/>
  <c r="D104" i="28"/>
  <c r="A104" i="28"/>
  <c r="D103" i="28"/>
  <c r="A103" i="28"/>
  <c r="D102" i="28"/>
  <c r="A102" i="28"/>
  <c r="D101" i="28"/>
  <c r="A101" i="28"/>
  <c r="D100" i="28"/>
  <c r="A100" i="28"/>
  <c r="D99" i="28"/>
  <c r="A99" i="28"/>
  <c r="D98" i="28"/>
  <c r="A98" i="28"/>
  <c r="D97" i="28"/>
  <c r="A97" i="28"/>
  <c r="D96" i="28"/>
  <c r="A96" i="28"/>
  <c r="D95" i="28"/>
  <c r="A95" i="28"/>
  <c r="D94" i="28"/>
  <c r="A94" i="28"/>
  <c r="D93" i="28"/>
  <c r="A93" i="28"/>
  <c r="D92" i="28"/>
  <c r="A92" i="28"/>
  <c r="D91" i="28"/>
  <c r="A91" i="28"/>
  <c r="D90" i="28"/>
  <c r="A90" i="28"/>
  <c r="D89" i="28"/>
  <c r="A89" i="28"/>
  <c r="D88" i="28"/>
  <c r="A88" i="28"/>
  <c r="D87" i="28"/>
  <c r="A87" i="28"/>
  <c r="D86" i="28"/>
  <c r="A86" i="28"/>
  <c r="D85" i="28"/>
  <c r="A85" i="28"/>
  <c r="D84" i="28"/>
  <c r="A84" i="28"/>
  <c r="D83" i="28"/>
  <c r="A83" i="28"/>
  <c r="D82" i="28"/>
  <c r="A82" i="28"/>
  <c r="D81" i="28"/>
  <c r="A81" i="28"/>
  <c r="D80" i="28"/>
  <c r="A80" i="28"/>
  <c r="D79" i="28"/>
  <c r="A79" i="28"/>
  <c r="D78" i="28"/>
  <c r="A78" i="28"/>
  <c r="D77" i="28"/>
  <c r="A77" i="28"/>
  <c r="D76" i="28"/>
  <c r="A76" i="28"/>
  <c r="D75" i="28"/>
  <c r="A75" i="28"/>
  <c r="D74" i="28"/>
  <c r="A74" i="28"/>
  <c r="D73" i="28"/>
  <c r="A73" i="28"/>
  <c r="D72" i="28"/>
  <c r="A72" i="28"/>
  <c r="D71" i="28"/>
  <c r="A71" i="28"/>
  <c r="D70" i="28"/>
  <c r="A70" i="28"/>
  <c r="D69" i="28"/>
  <c r="A69" i="28"/>
  <c r="D68" i="28"/>
  <c r="A68" i="28"/>
  <c r="D67" i="28"/>
  <c r="A67" i="28"/>
  <c r="D66" i="28"/>
  <c r="A66" i="28"/>
  <c r="D65" i="28"/>
  <c r="A65" i="28"/>
  <c r="D64" i="28"/>
  <c r="A64" i="28"/>
  <c r="D63" i="28"/>
  <c r="A63" i="28"/>
  <c r="D62" i="28"/>
  <c r="A62" i="28"/>
  <c r="D61" i="28"/>
  <c r="A61" i="28"/>
  <c r="D60" i="28"/>
  <c r="A60" i="28"/>
  <c r="D59" i="28"/>
  <c r="A59" i="28"/>
  <c r="D58" i="28"/>
  <c r="A58" i="28"/>
  <c r="D57" i="28"/>
  <c r="A57" i="28"/>
  <c r="D56" i="28"/>
  <c r="A56" i="28"/>
  <c r="D55" i="28"/>
  <c r="A55" i="28"/>
  <c r="D54" i="28"/>
  <c r="A54" i="28"/>
  <c r="D53" i="28"/>
  <c r="A53" i="28"/>
  <c r="D52" i="28"/>
  <c r="A52" i="28"/>
  <c r="D51" i="28"/>
  <c r="A51" i="28"/>
  <c r="D50" i="28"/>
  <c r="A50" i="28"/>
  <c r="D49" i="28"/>
  <c r="A49" i="28"/>
  <c r="D48" i="28"/>
  <c r="A48" i="28"/>
  <c r="D47" i="28"/>
  <c r="A47" i="28"/>
  <c r="D46" i="28"/>
  <c r="A46" i="28"/>
  <c r="D45" i="28"/>
  <c r="A45" i="28"/>
  <c r="D44" i="28"/>
  <c r="A44" i="28"/>
  <c r="D43" i="28"/>
  <c r="A43" i="28"/>
  <c r="D42" i="28"/>
  <c r="A42" i="28"/>
  <c r="D41" i="28"/>
  <c r="A41" i="28"/>
  <c r="D40" i="28"/>
  <c r="A40" i="28"/>
  <c r="D39" i="28"/>
  <c r="A39" i="28"/>
  <c r="D38" i="28"/>
  <c r="A38" i="28"/>
  <c r="D37" i="28"/>
  <c r="A37" i="28"/>
  <c r="D36" i="28"/>
  <c r="A36" i="28"/>
  <c r="D35" i="28"/>
  <c r="A35" i="28"/>
  <c r="D34" i="28"/>
  <c r="A34" i="28"/>
  <c r="D33" i="28"/>
  <c r="A33" i="28"/>
  <c r="D32" i="28"/>
  <c r="A32" i="28" s="1"/>
  <c r="A31" i="28"/>
  <c r="A30" i="28"/>
  <c r="A29" i="28"/>
  <c r="A28" i="28"/>
  <c r="A27" i="28"/>
  <c r="A26" i="28"/>
  <c r="A25" i="28"/>
  <c r="A24" i="28"/>
  <c r="A23" i="28"/>
  <c r="A22" i="28"/>
  <c r="A21" i="28"/>
  <c r="D20" i="28"/>
  <c r="A20" i="28" s="1"/>
  <c r="D19" i="28"/>
  <c r="A19" i="28"/>
  <c r="D18" i="28"/>
  <c r="A18" i="28"/>
  <c r="D17" i="28"/>
  <c r="A17" i="28"/>
  <c r="D16" i="28"/>
  <c r="A16" i="28"/>
  <c r="D15" i="28"/>
  <c r="A15" i="28"/>
  <c r="D14" i="28"/>
  <c r="A14" i="28"/>
  <c r="D13" i="28"/>
  <c r="A13" i="28"/>
  <c r="D12" i="28"/>
  <c r="A12" i="28"/>
  <c r="D11" i="28"/>
  <c r="A11" i="28"/>
  <c r="D10" i="28"/>
  <c r="A10" i="28"/>
  <c r="D9" i="28"/>
  <c r="A9" i="28"/>
  <c r="D8" i="28"/>
  <c r="A8" i="28"/>
  <c r="D7" i="28"/>
  <c r="A7" i="28"/>
  <c r="D6" i="28"/>
  <c r="A6" i="28"/>
  <c r="D5" i="28"/>
  <c r="A5" i="28"/>
  <c r="D4" i="28"/>
  <c r="A4" i="28"/>
  <c r="D3" i="28"/>
  <c r="A3" i="28"/>
  <c r="D2" i="28"/>
  <c r="K140" i="3"/>
  <c r="K141" i="3"/>
  <c r="K142" i="3"/>
  <c r="K139" i="3"/>
  <c r="G146" i="3"/>
  <c r="G145" i="3"/>
  <c r="G144" i="3"/>
  <c r="G143" i="3"/>
  <c r="D321" i="19"/>
  <c r="D322" i="19"/>
  <c r="D323" i="19"/>
  <c r="D324" i="19"/>
  <c r="D325" i="19"/>
  <c r="D326" i="19"/>
  <c r="A320" i="19"/>
  <c r="A321" i="19"/>
  <c r="A322" i="19"/>
  <c r="A323" i="19"/>
  <c r="A324" i="19"/>
  <c r="A325" i="19"/>
  <c r="A326" i="19"/>
  <c r="K57" i="3"/>
  <c r="D133" i="8"/>
  <c r="D134" i="8"/>
  <c r="D135" i="8"/>
  <c r="D136" i="8"/>
  <c r="K26" i="3"/>
  <c r="K27" i="3"/>
  <c r="K94" i="3"/>
  <c r="K81" i="3"/>
  <c r="K25" i="3"/>
  <c r="K24" i="3"/>
  <c r="K148" i="3"/>
  <c r="K48" i="3"/>
  <c r="A582" i="8"/>
  <c r="A583" i="8"/>
  <c r="A584" i="8"/>
  <c r="A585" i="8"/>
  <c r="D582" i="8"/>
  <c r="D583" i="8"/>
  <c r="D584" i="8"/>
  <c r="D585" i="8"/>
  <c r="D2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D3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291" i="8"/>
  <c r="A146" i="8"/>
  <c r="A109" i="8"/>
  <c r="A127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K171" i="3"/>
  <c r="K143" i="3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285" i="27"/>
  <c r="D286" i="27"/>
  <c r="D287" i="27"/>
  <c r="D288" i="27"/>
  <c r="D289" i="27"/>
  <c r="D290" i="27"/>
  <c r="D291" i="27"/>
  <c r="D292" i="27"/>
  <c r="D293" i="27"/>
  <c r="D294" i="27"/>
  <c r="D295" i="27"/>
  <c r="D296" i="27"/>
  <c r="D297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D310" i="27"/>
  <c r="D311" i="27"/>
  <c r="D312" i="27"/>
  <c r="D313" i="27"/>
  <c r="D314" i="27"/>
  <c r="D315" i="27"/>
  <c r="D316" i="27"/>
  <c r="D317" i="27"/>
  <c r="D318" i="27"/>
  <c r="D319" i="27"/>
  <c r="D320" i="27"/>
  <c r="D321" i="27"/>
  <c r="D322" i="27"/>
  <c r="D323" i="27"/>
  <c r="D324" i="27"/>
  <c r="D325" i="27"/>
  <c r="D326" i="27"/>
  <c r="D327" i="27"/>
  <c r="D328" i="27"/>
  <c r="D329" i="27"/>
  <c r="D330" i="27"/>
  <c r="D331" i="27"/>
  <c r="D332" i="27"/>
  <c r="D333" i="27"/>
  <c r="D334" i="27"/>
  <c r="D335" i="27"/>
  <c r="D336" i="27"/>
  <c r="D337" i="27"/>
  <c r="D338" i="27"/>
  <c r="D339" i="27"/>
  <c r="D340" i="27"/>
  <c r="D341" i="27"/>
  <c r="D342" i="27"/>
  <c r="D343" i="27"/>
  <c r="D344" i="27"/>
  <c r="D345" i="27"/>
  <c r="D346" i="27"/>
  <c r="D347" i="27"/>
  <c r="D348" i="27"/>
  <c r="D349" i="27"/>
  <c r="D350" i="27"/>
  <c r="D351" i="27"/>
  <c r="D352" i="27"/>
  <c r="D353" i="27"/>
  <c r="D354" i="27"/>
  <c r="D355" i="27"/>
  <c r="D356" i="27"/>
  <c r="D357" i="27"/>
  <c r="D358" i="27"/>
  <c r="D359" i="27"/>
  <c r="D360" i="27"/>
  <c r="D361" i="27"/>
  <c r="D362" i="27"/>
  <c r="D363" i="27"/>
  <c r="D364" i="27"/>
  <c r="D365" i="27"/>
  <c r="D366" i="27"/>
  <c r="D367" i="27"/>
  <c r="D368" i="27"/>
  <c r="D369" i="27"/>
  <c r="D370" i="27"/>
  <c r="D371" i="27"/>
  <c r="D372" i="27"/>
  <c r="D373" i="27"/>
  <c r="D374" i="27"/>
  <c r="D375" i="27"/>
  <c r="D376" i="27"/>
  <c r="D377" i="27"/>
  <c r="D378" i="27"/>
  <c r="D379" i="27"/>
  <c r="D380" i="27"/>
  <c r="D381" i="27"/>
  <c r="D382" i="27"/>
  <c r="D383" i="27"/>
  <c r="D384" i="27"/>
  <c r="D385" i="27"/>
  <c r="D386" i="27"/>
  <c r="D387" i="27"/>
  <c r="D388" i="27"/>
  <c r="D389" i="27"/>
  <c r="D390" i="27"/>
  <c r="D391" i="27"/>
  <c r="D392" i="27"/>
  <c r="D393" i="27"/>
  <c r="D394" i="27"/>
  <c r="D395" i="27"/>
  <c r="D396" i="27"/>
  <c r="D397" i="27"/>
  <c r="D398" i="27"/>
  <c r="D399" i="27"/>
  <c r="D400" i="27"/>
  <c r="D401" i="27"/>
  <c r="D402" i="27"/>
  <c r="D403" i="27"/>
  <c r="D404" i="27"/>
  <c r="D405" i="27"/>
  <c r="D406" i="27"/>
  <c r="D407" i="27"/>
  <c r="D408" i="27"/>
  <c r="D409" i="27"/>
  <c r="D410" i="27"/>
  <c r="D411" i="27"/>
  <c r="D412" i="27"/>
  <c r="D413" i="27"/>
  <c r="D414" i="27"/>
  <c r="D415" i="27"/>
  <c r="D416" i="27"/>
  <c r="D417" i="27"/>
  <c r="D418" i="27"/>
  <c r="D419" i="27"/>
  <c r="D420" i="27"/>
  <c r="D421" i="27"/>
  <c r="D422" i="27"/>
  <c r="D423" i="27"/>
  <c r="D424" i="27"/>
  <c r="D425" i="27"/>
  <c r="D426" i="27"/>
  <c r="D427" i="27"/>
  <c r="D428" i="27"/>
  <c r="D429" i="27"/>
  <c r="D430" i="27"/>
  <c r="D431" i="27"/>
  <c r="D432" i="27"/>
  <c r="D433" i="27"/>
  <c r="D434" i="27"/>
  <c r="D435" i="27"/>
  <c r="D436" i="27"/>
  <c r="D437" i="27"/>
  <c r="D438" i="27"/>
  <c r="D439" i="27"/>
  <c r="D440" i="27"/>
  <c r="D441" i="27"/>
  <c r="D2" i="27"/>
  <c r="A4" i="27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69" i="27"/>
  <c r="A170" i="27"/>
  <c r="A171" i="27"/>
  <c r="A172" i="27"/>
  <c r="A173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37" i="27"/>
  <c r="A238" i="27"/>
  <c r="A239" i="27"/>
  <c r="A240" i="27"/>
  <c r="A241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3" i="27"/>
  <c r="A294" i="27"/>
  <c r="A295" i="27"/>
  <c r="A296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57" i="27"/>
  <c r="A358" i="27"/>
  <c r="A359" i="27"/>
  <c r="A360" i="27"/>
  <c r="A361" i="27"/>
  <c r="A362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3" i="27"/>
  <c r="A404" i="27"/>
  <c r="A405" i="27"/>
  <c r="A406" i="27"/>
  <c r="A407" i="27"/>
  <c r="A408" i="27"/>
  <c r="A409" i="27"/>
  <c r="A410" i="27"/>
  <c r="A411" i="27"/>
  <c r="A412" i="27"/>
  <c r="A413" i="27"/>
  <c r="A414" i="27"/>
  <c r="A415" i="27"/>
  <c r="A416" i="27"/>
  <c r="A417" i="27"/>
  <c r="A418" i="27"/>
  <c r="A419" i="27"/>
  <c r="A420" i="27"/>
  <c r="A421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5" i="27"/>
  <c r="A436" i="27"/>
  <c r="A437" i="27"/>
  <c r="A438" i="27"/>
  <c r="A439" i="27"/>
  <c r="A440" i="27"/>
  <c r="A441" i="27"/>
  <c r="A3" i="27"/>
  <c r="K147" i="3"/>
  <c r="K205" i="3"/>
  <c r="W53" i="25"/>
  <c r="Z1119" i="25"/>
  <c r="B52" i="25"/>
  <c r="T56" i="25"/>
  <c r="A1" i="25"/>
  <c r="K325" i="25"/>
  <c r="K138" i="3"/>
  <c r="Z672" i="24"/>
  <c r="W31" i="24"/>
  <c r="T34" i="24"/>
  <c r="T33" i="24"/>
  <c r="S59" i="24"/>
  <c r="T31" i="24"/>
  <c r="T32" i="24"/>
  <c r="E30" i="24"/>
  <c r="E31" i="24"/>
  <c r="E33" i="24"/>
  <c r="E32" i="24"/>
  <c r="D61" i="24"/>
  <c r="A1" i="24"/>
  <c r="K49" i="24"/>
  <c r="L49" i="24"/>
  <c r="D582" i="5"/>
  <c r="D583" i="5"/>
  <c r="D584" i="5"/>
  <c r="D585" i="5"/>
  <c r="A425" i="5"/>
  <c r="A581" i="5"/>
  <c r="A582" i="5"/>
  <c r="A583" i="5"/>
  <c r="A584" i="5"/>
  <c r="A585" i="5"/>
  <c r="K1005" i="25"/>
  <c r="L1005" i="25"/>
  <c r="K1004" i="25"/>
  <c r="L1004" i="25"/>
  <c r="K1003" i="25"/>
  <c r="L1003" i="25"/>
  <c r="K1002" i="25"/>
  <c r="L1002" i="25"/>
  <c r="K1001" i="25"/>
  <c r="L1001" i="25"/>
  <c r="K1000" i="25"/>
  <c r="L1000" i="25"/>
  <c r="K1007" i="25"/>
  <c r="L1007" i="25"/>
  <c r="K999" i="25"/>
  <c r="L999" i="25"/>
  <c r="K1006" i="25"/>
  <c r="L1006" i="25"/>
  <c r="K998" i="25"/>
  <c r="L998" i="25"/>
  <c r="K537" i="25"/>
  <c r="K500" i="25"/>
  <c r="L500" i="25"/>
  <c r="K449" i="25"/>
  <c r="K397" i="25"/>
  <c r="K308" i="25"/>
  <c r="L308" i="25"/>
  <c r="K218" i="25"/>
  <c r="L218" i="25"/>
  <c r="K532" i="25"/>
  <c r="L532" i="25"/>
  <c r="K442" i="25"/>
  <c r="L442" i="25"/>
  <c r="K294" i="25"/>
  <c r="K205" i="25"/>
  <c r="K528" i="25"/>
  <c r="K486" i="25"/>
  <c r="L486" i="25"/>
  <c r="K436" i="25"/>
  <c r="L436" i="25"/>
  <c r="K385" i="25"/>
  <c r="L385" i="25"/>
  <c r="K282" i="25"/>
  <c r="L282" i="25"/>
  <c r="K193" i="25"/>
  <c r="L193" i="25"/>
  <c r="K558" i="25"/>
  <c r="K523" i="25"/>
  <c r="L523" i="25"/>
  <c r="K481" i="25"/>
  <c r="K429" i="25"/>
  <c r="L429" i="25"/>
  <c r="K372" i="25"/>
  <c r="L372" i="25"/>
  <c r="K269" i="25"/>
  <c r="L269" i="25"/>
  <c r="K180" i="25"/>
  <c r="L180" i="25"/>
  <c r="K493" i="25"/>
  <c r="L493" i="25"/>
  <c r="K390" i="25"/>
  <c r="K554" i="25"/>
  <c r="L554" i="25"/>
  <c r="K518" i="25"/>
  <c r="K474" i="25"/>
  <c r="K422" i="25"/>
  <c r="L422" i="25"/>
  <c r="K358" i="25"/>
  <c r="L358" i="25"/>
  <c r="K262" i="25"/>
  <c r="L262" i="25"/>
  <c r="K166" i="25"/>
  <c r="L166" i="25"/>
  <c r="K550" i="25"/>
  <c r="K514" i="25"/>
  <c r="K468" i="25"/>
  <c r="K417" i="25"/>
  <c r="L417" i="25"/>
  <c r="K346" i="25"/>
  <c r="L346" i="25"/>
  <c r="K257" i="25"/>
  <c r="L257" i="25"/>
  <c r="K154" i="25"/>
  <c r="L154" i="25"/>
  <c r="K546" i="25"/>
  <c r="L546" i="25"/>
  <c r="K509" i="25"/>
  <c r="K461" i="25"/>
  <c r="L461" i="25"/>
  <c r="K410" i="25"/>
  <c r="K333" i="25"/>
  <c r="K244" i="25"/>
  <c r="L244" i="25"/>
  <c r="K541" i="25"/>
  <c r="L541" i="25"/>
  <c r="K505" i="25"/>
  <c r="L505" i="25"/>
  <c r="K454" i="25"/>
  <c r="L454" i="25"/>
  <c r="K404" i="25"/>
  <c r="K321" i="25"/>
  <c r="K230" i="25"/>
  <c r="K141" i="25"/>
  <c r="L141" i="25"/>
  <c r="K116" i="25"/>
  <c r="L116" i="25"/>
  <c r="K88" i="25"/>
  <c r="L88" i="25"/>
  <c r="K60" i="25"/>
  <c r="L60" i="25"/>
  <c r="K553" i="25"/>
  <c r="L553" i="25"/>
  <c r="K545" i="25"/>
  <c r="K526" i="25"/>
  <c r="L526" i="25"/>
  <c r="K517" i="25"/>
  <c r="L517" i="25"/>
  <c r="K508" i="25"/>
  <c r="L508" i="25"/>
  <c r="K485" i="25"/>
  <c r="L485" i="25"/>
  <c r="K473" i="25"/>
  <c r="L473" i="25"/>
  <c r="K460" i="25"/>
  <c r="L460" i="25"/>
  <c r="K446" i="25"/>
  <c r="L446" i="25"/>
  <c r="K421" i="25"/>
  <c r="K409" i="25"/>
  <c r="L409" i="25"/>
  <c r="K396" i="25"/>
  <c r="L396" i="25"/>
  <c r="K370" i="25"/>
  <c r="L370" i="25"/>
  <c r="K357" i="25"/>
  <c r="L357" i="25"/>
  <c r="K332" i="25"/>
  <c r="L332" i="25"/>
  <c r="K318" i="25"/>
  <c r="L318" i="25"/>
  <c r="K306" i="25"/>
  <c r="L306" i="25"/>
  <c r="K281" i="25"/>
  <c r="K268" i="25"/>
  <c r="L268" i="25"/>
  <c r="K254" i="25"/>
  <c r="K229" i="25"/>
  <c r="L229" i="25"/>
  <c r="K217" i="25"/>
  <c r="L217" i="25"/>
  <c r="K190" i="25"/>
  <c r="L190" i="25"/>
  <c r="K165" i="25"/>
  <c r="L165" i="25"/>
  <c r="K140" i="25"/>
  <c r="L140" i="25"/>
  <c r="K114" i="25"/>
  <c r="K72" i="25"/>
  <c r="L72" i="25"/>
  <c r="K552" i="25"/>
  <c r="K544" i="25"/>
  <c r="K534" i="25"/>
  <c r="L534" i="25"/>
  <c r="K525" i="25"/>
  <c r="L525" i="25"/>
  <c r="K516" i="25"/>
  <c r="L516" i="25"/>
  <c r="K507" i="25"/>
  <c r="L507" i="25"/>
  <c r="K497" i="25"/>
  <c r="K484" i="25"/>
  <c r="L484" i="25"/>
  <c r="K470" i="25"/>
  <c r="K458" i="25"/>
  <c r="L458" i="25"/>
  <c r="K445" i="25"/>
  <c r="L445" i="25"/>
  <c r="K433" i="25"/>
  <c r="L433" i="25"/>
  <c r="K420" i="25"/>
  <c r="L420" i="25"/>
  <c r="K406" i="25"/>
  <c r="L406" i="25"/>
  <c r="K394" i="25"/>
  <c r="K381" i="25"/>
  <c r="L381" i="25"/>
  <c r="K369" i="25"/>
  <c r="K356" i="25"/>
  <c r="L356" i="25"/>
  <c r="K342" i="25"/>
  <c r="L342" i="25"/>
  <c r="K330" i="25"/>
  <c r="L330" i="25"/>
  <c r="K317" i="25"/>
  <c r="L317" i="25"/>
  <c r="K305" i="25"/>
  <c r="L305" i="25"/>
  <c r="K292" i="25"/>
  <c r="K278" i="25"/>
  <c r="K266" i="25"/>
  <c r="K253" i="25"/>
  <c r="L253" i="25"/>
  <c r="K241" i="25"/>
  <c r="L241" i="25"/>
  <c r="K228" i="25"/>
  <c r="L228" i="25"/>
  <c r="K214" i="25"/>
  <c r="L214" i="25"/>
  <c r="K202" i="25"/>
  <c r="L202" i="25"/>
  <c r="K189" i="25"/>
  <c r="K177" i="25"/>
  <c r="L177" i="25"/>
  <c r="K164" i="25"/>
  <c r="K150" i="25"/>
  <c r="K138" i="25"/>
  <c r="L138" i="25"/>
  <c r="K125" i="25"/>
  <c r="L125" i="25"/>
  <c r="K113" i="25"/>
  <c r="L113" i="25"/>
  <c r="K100" i="25"/>
  <c r="L100" i="25"/>
  <c r="K84" i="25"/>
  <c r="K70" i="25"/>
  <c r="L70" i="25"/>
  <c r="K793" i="25"/>
  <c r="L793" i="25"/>
  <c r="K58" i="25"/>
  <c r="L58" i="25"/>
  <c r="K551" i="25"/>
  <c r="L551" i="25"/>
  <c r="K542" i="25"/>
  <c r="L542" i="25"/>
  <c r="K533" i="25"/>
  <c r="L533" i="25"/>
  <c r="K524" i="25"/>
  <c r="L524" i="25"/>
  <c r="K515" i="25"/>
  <c r="K506" i="25"/>
  <c r="K494" i="25"/>
  <c r="K482" i="25"/>
  <c r="K469" i="25"/>
  <c r="L469" i="25"/>
  <c r="K457" i="25"/>
  <c r="L457" i="25"/>
  <c r="K444" i="25"/>
  <c r="L444" i="25"/>
  <c r="K430" i="25"/>
  <c r="L430" i="25"/>
  <c r="K418" i="25"/>
  <c r="K405" i="25"/>
  <c r="L405" i="25"/>
  <c r="K393" i="25"/>
  <c r="K380" i="25"/>
  <c r="L380" i="25"/>
  <c r="K366" i="25"/>
  <c r="L366" i="25"/>
  <c r="K354" i="25"/>
  <c r="L354" i="25"/>
  <c r="K341" i="25"/>
  <c r="L341" i="25"/>
  <c r="K329" i="25"/>
  <c r="L329" i="25"/>
  <c r="K316" i="25"/>
  <c r="K302" i="25"/>
  <c r="L302" i="25"/>
  <c r="K290" i="25"/>
  <c r="K277" i="25"/>
  <c r="L277" i="25"/>
  <c r="K265" i="25"/>
  <c r="L265" i="25"/>
  <c r="K252" i="25"/>
  <c r="L252" i="25"/>
  <c r="K238" i="25"/>
  <c r="L238" i="25"/>
  <c r="K226" i="25"/>
  <c r="L226" i="25"/>
  <c r="K213" i="25"/>
  <c r="K201" i="25"/>
  <c r="K188" i="25"/>
  <c r="K174" i="25"/>
  <c r="K162" i="25"/>
  <c r="L162" i="25"/>
  <c r="K149" i="25"/>
  <c r="L149" i="25"/>
  <c r="K137" i="25"/>
  <c r="L137" i="25"/>
  <c r="K124" i="25"/>
  <c r="L124" i="25"/>
  <c r="K110" i="25"/>
  <c r="K97" i="25"/>
  <c r="K82" i="25"/>
  <c r="K69" i="25"/>
  <c r="K764" i="25"/>
  <c r="L764" i="25"/>
  <c r="K378" i="25"/>
  <c r="L378" i="25"/>
  <c r="K353" i="25"/>
  <c r="L353" i="25"/>
  <c r="K340" i="25"/>
  <c r="L340" i="25"/>
  <c r="K314" i="25"/>
  <c r="K301" i="25"/>
  <c r="L301" i="25"/>
  <c r="K276" i="25"/>
  <c r="K250" i="25"/>
  <c r="L250" i="25"/>
  <c r="K237" i="25"/>
  <c r="L237" i="25"/>
  <c r="K212" i="25"/>
  <c r="L212" i="25"/>
  <c r="K198" i="25"/>
  <c r="L198" i="25"/>
  <c r="K186" i="25"/>
  <c r="L186" i="25"/>
  <c r="K173" i="25"/>
  <c r="K148" i="25"/>
  <c r="L148" i="25"/>
  <c r="K134" i="25"/>
  <c r="K122" i="25"/>
  <c r="K109" i="25"/>
  <c r="L109" i="25"/>
  <c r="K96" i="25"/>
  <c r="L96" i="25"/>
  <c r="K81" i="25"/>
  <c r="L81" i="25"/>
  <c r="K65" i="25"/>
  <c r="L65" i="25"/>
  <c r="K748" i="25"/>
  <c r="L748" i="25"/>
  <c r="K901" i="25"/>
  <c r="L901" i="25"/>
  <c r="K909" i="25"/>
  <c r="L909" i="25"/>
  <c r="K917" i="25"/>
  <c r="L917" i="25"/>
  <c r="K925" i="25"/>
  <c r="L925" i="25"/>
  <c r="K933" i="25"/>
  <c r="L933" i="25"/>
  <c r="K941" i="25"/>
  <c r="L941" i="25"/>
  <c r="K949" i="25"/>
  <c r="L949" i="25"/>
  <c r="K957" i="25"/>
  <c r="L957" i="25"/>
  <c r="K965" i="25"/>
  <c r="L965" i="25"/>
  <c r="K973" i="25"/>
  <c r="L973" i="25"/>
  <c r="K981" i="25"/>
  <c r="L981" i="25"/>
  <c r="K989" i="25"/>
  <c r="L989" i="25"/>
  <c r="K997" i="25"/>
  <c r="L997" i="25"/>
  <c r="K903" i="25"/>
  <c r="L903" i="25"/>
  <c r="K911" i="25"/>
  <c r="L911" i="25"/>
  <c r="K919" i="25"/>
  <c r="L919" i="25"/>
  <c r="K927" i="25"/>
  <c r="L927" i="25"/>
  <c r="K935" i="25"/>
  <c r="L935" i="25"/>
  <c r="K943" i="25"/>
  <c r="L943" i="25"/>
  <c r="K951" i="25"/>
  <c r="L951" i="25"/>
  <c r="K959" i="25"/>
  <c r="L959" i="25"/>
  <c r="K967" i="25"/>
  <c r="L967" i="25"/>
  <c r="K975" i="25"/>
  <c r="L975" i="25"/>
  <c r="K983" i="25"/>
  <c r="L983" i="25"/>
  <c r="K991" i="25"/>
  <c r="L991" i="25"/>
  <c r="K904" i="25"/>
  <c r="L904" i="25"/>
  <c r="K912" i="25"/>
  <c r="L912" i="25"/>
  <c r="K920" i="25"/>
  <c r="L920" i="25"/>
  <c r="K928" i="25"/>
  <c r="L928" i="25"/>
  <c r="K936" i="25"/>
  <c r="L936" i="25"/>
  <c r="K944" i="25"/>
  <c r="L944" i="25"/>
  <c r="K952" i="25"/>
  <c r="L952" i="25"/>
  <c r="K960" i="25"/>
  <c r="L960" i="25"/>
  <c r="K968" i="25"/>
  <c r="L968" i="25"/>
  <c r="K976" i="25"/>
  <c r="L976" i="25"/>
  <c r="K984" i="25"/>
  <c r="L984" i="25"/>
  <c r="K992" i="25"/>
  <c r="L992" i="25"/>
  <c r="K905" i="25"/>
  <c r="L905" i="25"/>
  <c r="K913" i="25"/>
  <c r="L913" i="25"/>
  <c r="K921" i="25"/>
  <c r="L921" i="25"/>
  <c r="K929" i="25"/>
  <c r="L929" i="25"/>
  <c r="K937" i="25"/>
  <c r="L937" i="25"/>
  <c r="K945" i="25"/>
  <c r="L945" i="25"/>
  <c r="K953" i="25"/>
  <c r="L953" i="25"/>
  <c r="K961" i="25"/>
  <c r="L961" i="25"/>
  <c r="K969" i="25"/>
  <c r="L969" i="25"/>
  <c r="K977" i="25"/>
  <c r="L977" i="25"/>
  <c r="K985" i="25"/>
  <c r="L985" i="25"/>
  <c r="K993" i="25"/>
  <c r="L993" i="25"/>
  <c r="K907" i="25"/>
  <c r="L907" i="25"/>
  <c r="K915" i="25"/>
  <c r="L915" i="25"/>
  <c r="K923" i="25"/>
  <c r="L923" i="25"/>
  <c r="K931" i="25"/>
  <c r="L931" i="25"/>
  <c r="K939" i="25"/>
  <c r="L939" i="25"/>
  <c r="K947" i="25"/>
  <c r="L947" i="25"/>
  <c r="K955" i="25"/>
  <c r="L955" i="25"/>
  <c r="K963" i="25"/>
  <c r="L963" i="25"/>
  <c r="K971" i="25"/>
  <c r="L971" i="25"/>
  <c r="K979" i="25"/>
  <c r="L979" i="25"/>
  <c r="K987" i="25"/>
  <c r="L987" i="25"/>
  <c r="K995" i="25"/>
  <c r="L995" i="25"/>
  <c r="K922" i="25"/>
  <c r="L922" i="25"/>
  <c r="K942" i="25"/>
  <c r="L942" i="25"/>
  <c r="K964" i="25"/>
  <c r="L964" i="25"/>
  <c r="K986" i="25"/>
  <c r="L986" i="25"/>
  <c r="K902" i="25"/>
  <c r="L902" i="25"/>
  <c r="K924" i="25"/>
  <c r="L924" i="25"/>
  <c r="K946" i="25"/>
  <c r="L946" i="25"/>
  <c r="K966" i="25"/>
  <c r="L966" i="25"/>
  <c r="K988" i="25"/>
  <c r="L988" i="25"/>
  <c r="K906" i="25"/>
  <c r="L906" i="25"/>
  <c r="K926" i="25"/>
  <c r="L926" i="25"/>
  <c r="K948" i="25"/>
  <c r="L948" i="25"/>
  <c r="K970" i="25"/>
  <c r="L970" i="25"/>
  <c r="K990" i="25"/>
  <c r="L990" i="25"/>
  <c r="K565" i="25"/>
  <c r="L565" i="25"/>
  <c r="K573" i="25"/>
  <c r="L573" i="25"/>
  <c r="K581" i="25"/>
  <c r="L581" i="25"/>
  <c r="K589" i="25"/>
  <c r="L589" i="25"/>
  <c r="K597" i="25"/>
  <c r="L597" i="25"/>
  <c r="K605" i="25"/>
  <c r="L605" i="25"/>
  <c r="K613" i="25"/>
  <c r="L613" i="25"/>
  <c r="K621" i="25"/>
  <c r="L621" i="25"/>
  <c r="K629" i="25"/>
  <c r="L629" i="25"/>
  <c r="K637" i="25"/>
  <c r="L637" i="25"/>
  <c r="K645" i="25"/>
  <c r="L645" i="25"/>
  <c r="K653" i="25"/>
  <c r="L653" i="25"/>
  <c r="K661" i="25"/>
  <c r="L661" i="25"/>
  <c r="K669" i="25"/>
  <c r="L669" i="25"/>
  <c r="K677" i="25"/>
  <c r="L677" i="25"/>
  <c r="K685" i="25"/>
  <c r="L685" i="25"/>
  <c r="K693" i="25"/>
  <c r="L693" i="25"/>
  <c r="K701" i="25"/>
  <c r="L701" i="25"/>
  <c r="K709" i="25"/>
  <c r="L709" i="25"/>
  <c r="K717" i="25"/>
  <c r="L717" i="25"/>
  <c r="K725" i="25"/>
  <c r="L725" i="25"/>
  <c r="K733" i="25"/>
  <c r="L733" i="25"/>
  <c r="K741" i="25"/>
  <c r="L741" i="25"/>
  <c r="K749" i="25"/>
  <c r="L749" i="25"/>
  <c r="K757" i="25"/>
  <c r="L757" i="25"/>
  <c r="K765" i="25"/>
  <c r="L765" i="25"/>
  <c r="K773" i="25"/>
  <c r="L773" i="25"/>
  <c r="K781" i="25"/>
  <c r="L781" i="25"/>
  <c r="K789" i="25"/>
  <c r="L789" i="25"/>
  <c r="K797" i="25"/>
  <c r="L797" i="25"/>
  <c r="K805" i="25"/>
  <c r="L805" i="25"/>
  <c r="K813" i="25"/>
  <c r="L813" i="25"/>
  <c r="K821" i="25"/>
  <c r="L821" i="25"/>
  <c r="K829" i="25"/>
  <c r="L829" i="25"/>
  <c r="K837" i="25"/>
  <c r="L837" i="25"/>
  <c r="K908" i="25"/>
  <c r="L908" i="25"/>
  <c r="K930" i="25"/>
  <c r="L930" i="25"/>
  <c r="K950" i="25"/>
  <c r="L950" i="25"/>
  <c r="K972" i="25"/>
  <c r="L972" i="25"/>
  <c r="K994" i="25"/>
  <c r="L994" i="25"/>
  <c r="K566" i="25"/>
  <c r="L566" i="25"/>
  <c r="K574" i="25"/>
  <c r="L574" i="25"/>
  <c r="K582" i="25"/>
  <c r="L582" i="25"/>
  <c r="K590" i="25"/>
  <c r="L590" i="25"/>
  <c r="K598" i="25"/>
  <c r="L598" i="25"/>
  <c r="K606" i="25"/>
  <c r="L606" i="25"/>
  <c r="K614" i="25"/>
  <c r="L614" i="25"/>
  <c r="K622" i="25"/>
  <c r="L622" i="25"/>
  <c r="K630" i="25"/>
  <c r="L630" i="25"/>
  <c r="K638" i="25"/>
  <c r="L638" i="25"/>
  <c r="K646" i="25"/>
  <c r="L646" i="25"/>
  <c r="K654" i="25"/>
  <c r="L654" i="25"/>
  <c r="K662" i="25"/>
  <c r="L662" i="25"/>
  <c r="K670" i="25"/>
  <c r="L670" i="25"/>
  <c r="K678" i="25"/>
  <c r="L678" i="25"/>
  <c r="K686" i="25"/>
  <c r="L686" i="25"/>
  <c r="K694" i="25"/>
  <c r="L694" i="25"/>
  <c r="K702" i="25"/>
  <c r="L702" i="25"/>
  <c r="K710" i="25"/>
  <c r="L710" i="25"/>
  <c r="K718" i="25"/>
  <c r="L718" i="25"/>
  <c r="K726" i="25"/>
  <c r="L726" i="25"/>
  <c r="K734" i="25"/>
  <c r="L734" i="25"/>
  <c r="K910" i="25"/>
  <c r="L910" i="25"/>
  <c r="K932" i="25"/>
  <c r="L932" i="25"/>
  <c r="K954" i="25"/>
  <c r="L954" i="25"/>
  <c r="K974" i="25"/>
  <c r="L974" i="25"/>
  <c r="K996" i="25"/>
  <c r="L996" i="25"/>
  <c r="K559" i="25"/>
  <c r="L559" i="25"/>
  <c r="K567" i="25"/>
  <c r="L567" i="25"/>
  <c r="K575" i="25"/>
  <c r="L575" i="25"/>
  <c r="K583" i="25"/>
  <c r="L583" i="25"/>
  <c r="K591" i="25"/>
  <c r="L591" i="25"/>
  <c r="K599" i="25"/>
  <c r="L599" i="25"/>
  <c r="K607" i="25"/>
  <c r="L607" i="25"/>
  <c r="K615" i="25"/>
  <c r="L615" i="25"/>
  <c r="K623" i="25"/>
  <c r="L623" i="25"/>
  <c r="K631" i="25"/>
  <c r="L631" i="25"/>
  <c r="K639" i="25"/>
  <c r="L639" i="25"/>
  <c r="K647" i="25"/>
  <c r="L647" i="25"/>
  <c r="K655" i="25"/>
  <c r="L655" i="25"/>
  <c r="K663" i="25"/>
  <c r="L663" i="25"/>
  <c r="K671" i="25"/>
  <c r="L671" i="25"/>
  <c r="K679" i="25"/>
  <c r="L679" i="25"/>
  <c r="K687" i="25"/>
  <c r="L687" i="25"/>
  <c r="K695" i="25"/>
  <c r="L695" i="25"/>
  <c r="K703" i="25"/>
  <c r="L703" i="25"/>
  <c r="K711" i="25"/>
  <c r="L711" i="25"/>
  <c r="K916" i="25"/>
  <c r="L916" i="25"/>
  <c r="K938" i="25"/>
  <c r="L938" i="25"/>
  <c r="K958" i="25"/>
  <c r="L958" i="25"/>
  <c r="K980" i="25"/>
  <c r="L980" i="25"/>
  <c r="K561" i="25"/>
  <c r="L561" i="25"/>
  <c r="K569" i="25"/>
  <c r="L569" i="25"/>
  <c r="K577" i="25"/>
  <c r="L577" i="25"/>
  <c r="K585" i="25"/>
  <c r="L585" i="25"/>
  <c r="K593" i="25"/>
  <c r="L593" i="25"/>
  <c r="K601" i="25"/>
  <c r="L601" i="25"/>
  <c r="K609" i="25"/>
  <c r="L609" i="25"/>
  <c r="K617" i="25"/>
  <c r="L617" i="25"/>
  <c r="K625" i="25"/>
  <c r="L625" i="25"/>
  <c r="K633" i="25"/>
  <c r="L633" i="25"/>
  <c r="K641" i="25"/>
  <c r="L641" i="25"/>
  <c r="K649" i="25"/>
  <c r="L649" i="25"/>
  <c r="K657" i="25"/>
  <c r="L657" i="25"/>
  <c r="K665" i="25"/>
  <c r="L665" i="25"/>
  <c r="K673" i="25"/>
  <c r="L673" i="25"/>
  <c r="K681" i="25"/>
  <c r="L681" i="25"/>
  <c r="K689" i="25"/>
  <c r="L689" i="25"/>
  <c r="K697" i="25"/>
  <c r="L697" i="25"/>
  <c r="K705" i="25"/>
  <c r="L705" i="25"/>
  <c r="K713" i="25"/>
  <c r="L713" i="25"/>
  <c r="K721" i="25"/>
  <c r="L721" i="25"/>
  <c r="K729" i="25"/>
  <c r="L729" i="25"/>
  <c r="K982" i="25"/>
  <c r="L982" i="25"/>
  <c r="K572" i="25"/>
  <c r="L572" i="25"/>
  <c r="K588" i="25"/>
  <c r="L588" i="25"/>
  <c r="K604" i="25"/>
  <c r="L604" i="25"/>
  <c r="K620" i="25"/>
  <c r="L620" i="25"/>
  <c r="K636" i="25"/>
  <c r="L636" i="25"/>
  <c r="K652" i="25"/>
  <c r="L652" i="25"/>
  <c r="K668" i="25"/>
  <c r="L668" i="25"/>
  <c r="K684" i="25"/>
  <c r="L684" i="25"/>
  <c r="K700" i="25"/>
  <c r="L700" i="25"/>
  <c r="K716" i="25"/>
  <c r="L716" i="25"/>
  <c r="K730" i="25"/>
  <c r="L730" i="25"/>
  <c r="K740" i="25"/>
  <c r="L740" i="25"/>
  <c r="K750" i="25"/>
  <c r="L750" i="25"/>
  <c r="K759" i="25"/>
  <c r="L759" i="25"/>
  <c r="K768" i="25"/>
  <c r="L768" i="25"/>
  <c r="K777" i="25"/>
  <c r="L777" i="25"/>
  <c r="K786" i="25"/>
  <c r="L786" i="25"/>
  <c r="K795" i="25"/>
  <c r="L795" i="25"/>
  <c r="K804" i="25"/>
  <c r="L804" i="25"/>
  <c r="K814" i="25"/>
  <c r="L814" i="25"/>
  <c r="K823" i="25"/>
  <c r="L823" i="25"/>
  <c r="K832" i="25"/>
  <c r="L832" i="25"/>
  <c r="K841" i="25"/>
  <c r="L841" i="25"/>
  <c r="K849" i="25"/>
  <c r="L849" i="25"/>
  <c r="K857" i="25"/>
  <c r="L857" i="25"/>
  <c r="K865" i="25"/>
  <c r="L865" i="25"/>
  <c r="K873" i="25"/>
  <c r="L873" i="25"/>
  <c r="K881" i="25"/>
  <c r="L881" i="25"/>
  <c r="K889" i="25"/>
  <c r="L889" i="25"/>
  <c r="K897" i="25"/>
  <c r="L897" i="25"/>
  <c r="K914" i="25"/>
  <c r="L914" i="25"/>
  <c r="K560" i="25"/>
  <c r="L560" i="25"/>
  <c r="K576" i="25"/>
  <c r="L576" i="25"/>
  <c r="K592" i="25"/>
  <c r="L592" i="25"/>
  <c r="K608" i="25"/>
  <c r="L608" i="25"/>
  <c r="K624" i="25"/>
  <c r="L624" i="25"/>
  <c r="K640" i="25"/>
  <c r="L640" i="25"/>
  <c r="K656" i="25"/>
  <c r="L656" i="25"/>
  <c r="K672" i="25"/>
  <c r="L672" i="25"/>
  <c r="K688" i="25"/>
  <c r="L688" i="25"/>
  <c r="K704" i="25"/>
  <c r="L704" i="25"/>
  <c r="K719" i="25"/>
  <c r="L719" i="25"/>
  <c r="K731" i="25"/>
  <c r="L731" i="25"/>
  <c r="K742" i="25"/>
  <c r="L742" i="25"/>
  <c r="K751" i="25"/>
  <c r="L751" i="25"/>
  <c r="K760" i="25"/>
  <c r="L760" i="25"/>
  <c r="K769" i="25"/>
  <c r="L769" i="25"/>
  <c r="K778" i="25"/>
  <c r="L778" i="25"/>
  <c r="K787" i="25"/>
  <c r="L787" i="25"/>
  <c r="K796" i="25"/>
  <c r="L796" i="25"/>
  <c r="K806" i="25"/>
  <c r="L806" i="25"/>
  <c r="K815" i="25"/>
  <c r="L815" i="25"/>
  <c r="K824" i="25"/>
  <c r="L824" i="25"/>
  <c r="K833" i="25"/>
  <c r="L833" i="25"/>
  <c r="K842" i="25"/>
  <c r="L842" i="25"/>
  <c r="K850" i="25"/>
  <c r="L850" i="25"/>
  <c r="K858" i="25"/>
  <c r="L858" i="25"/>
  <c r="K866" i="25"/>
  <c r="L866" i="25"/>
  <c r="K874" i="25"/>
  <c r="L874" i="25"/>
  <c r="K882" i="25"/>
  <c r="L882" i="25"/>
  <c r="K890" i="25"/>
  <c r="L890" i="25"/>
  <c r="K898" i="25"/>
  <c r="L898" i="25"/>
  <c r="K940" i="25"/>
  <c r="L940" i="25"/>
  <c r="K564" i="25"/>
  <c r="L564" i="25"/>
  <c r="K580" i="25"/>
  <c r="L580" i="25"/>
  <c r="K596" i="25"/>
  <c r="L596" i="25"/>
  <c r="K612" i="25"/>
  <c r="L612" i="25"/>
  <c r="K628" i="25"/>
  <c r="L628" i="25"/>
  <c r="K644" i="25"/>
  <c r="L644" i="25"/>
  <c r="K660" i="25"/>
  <c r="L660" i="25"/>
  <c r="K676" i="25"/>
  <c r="L676" i="25"/>
  <c r="K692" i="25"/>
  <c r="L692" i="25"/>
  <c r="K708" i="25"/>
  <c r="L708" i="25"/>
  <c r="K723" i="25"/>
  <c r="L723" i="25"/>
  <c r="K736" i="25"/>
  <c r="L736" i="25"/>
  <c r="K745" i="25"/>
  <c r="L745" i="25"/>
  <c r="K754" i="25"/>
  <c r="L754" i="25"/>
  <c r="K763" i="25"/>
  <c r="L763" i="25"/>
  <c r="K772" i="25"/>
  <c r="L772" i="25"/>
  <c r="K782" i="25"/>
  <c r="L782" i="25"/>
  <c r="K791" i="25"/>
  <c r="L791" i="25"/>
  <c r="K800" i="25"/>
  <c r="L800" i="25"/>
  <c r="K809" i="25"/>
  <c r="L809" i="25"/>
  <c r="K818" i="25"/>
  <c r="L818" i="25"/>
  <c r="K827" i="25"/>
  <c r="L827" i="25"/>
  <c r="K836" i="25"/>
  <c r="L836" i="25"/>
  <c r="K845" i="25"/>
  <c r="L845" i="25"/>
  <c r="K853" i="25"/>
  <c r="L853" i="25"/>
  <c r="K861" i="25"/>
  <c r="L861" i="25"/>
  <c r="K869" i="25"/>
  <c r="L869" i="25"/>
  <c r="K877" i="25"/>
  <c r="L877" i="25"/>
  <c r="K885" i="25"/>
  <c r="L885" i="25"/>
  <c r="K893" i="25"/>
  <c r="L893" i="25"/>
  <c r="K978" i="25"/>
  <c r="L978" i="25"/>
  <c r="K563" i="25"/>
  <c r="L563" i="25"/>
  <c r="K587" i="25"/>
  <c r="L587" i="25"/>
  <c r="K616" i="25"/>
  <c r="L616" i="25"/>
  <c r="K642" i="25"/>
  <c r="L642" i="25"/>
  <c r="K666" i="25"/>
  <c r="L666" i="25"/>
  <c r="K691" i="25"/>
  <c r="L691" i="25"/>
  <c r="K715" i="25"/>
  <c r="L715" i="25"/>
  <c r="K737" i="25"/>
  <c r="L737" i="25"/>
  <c r="K752" i="25"/>
  <c r="L752" i="25"/>
  <c r="K766" i="25"/>
  <c r="L766" i="25"/>
  <c r="K780" i="25"/>
  <c r="L780" i="25"/>
  <c r="K794" i="25"/>
  <c r="L794" i="25"/>
  <c r="K810" i="25"/>
  <c r="L810" i="25"/>
  <c r="K825" i="25"/>
  <c r="L825" i="25"/>
  <c r="K839" i="25"/>
  <c r="L839" i="25"/>
  <c r="K852" i="25"/>
  <c r="L852" i="25"/>
  <c r="K864" i="25"/>
  <c r="L864" i="25"/>
  <c r="K878" i="25"/>
  <c r="L878" i="25"/>
  <c r="K891" i="25"/>
  <c r="L891" i="25"/>
  <c r="K568" i="25"/>
  <c r="L568" i="25"/>
  <c r="K594" i="25"/>
  <c r="L594" i="25"/>
  <c r="K618" i="25"/>
  <c r="L618" i="25"/>
  <c r="K643" i="25"/>
  <c r="L643" i="25"/>
  <c r="K667" i="25"/>
  <c r="L667" i="25"/>
  <c r="K696" i="25"/>
  <c r="L696" i="25"/>
  <c r="K720" i="25"/>
  <c r="L720" i="25"/>
  <c r="K738" i="25"/>
  <c r="L738" i="25"/>
  <c r="K753" i="25"/>
  <c r="L753" i="25"/>
  <c r="K767" i="25"/>
  <c r="L767" i="25"/>
  <c r="K783" i="25"/>
  <c r="L783" i="25"/>
  <c r="K798" i="25"/>
  <c r="L798" i="25"/>
  <c r="K811" i="25"/>
  <c r="L811" i="25"/>
  <c r="K826" i="25"/>
  <c r="L826" i="25"/>
  <c r="K840" i="25"/>
  <c r="L840" i="25"/>
  <c r="K854" i="25"/>
  <c r="L854" i="25"/>
  <c r="K867" i="25"/>
  <c r="L867" i="25"/>
  <c r="K879" i="25"/>
  <c r="L879" i="25"/>
  <c r="K892" i="25"/>
  <c r="L892" i="25"/>
  <c r="K570" i="25"/>
  <c r="L570" i="25"/>
  <c r="K595" i="25"/>
  <c r="L595" i="25"/>
  <c r="K619" i="25"/>
  <c r="L619" i="25"/>
  <c r="K648" i="25"/>
  <c r="L648" i="25"/>
  <c r="K674" i="25"/>
  <c r="L674" i="25"/>
  <c r="K698" i="25"/>
  <c r="L698" i="25"/>
  <c r="K722" i="25"/>
  <c r="L722" i="25"/>
  <c r="K739" i="25"/>
  <c r="L739" i="25"/>
  <c r="K755" i="25"/>
  <c r="L755" i="25"/>
  <c r="K770" i="25"/>
  <c r="L770" i="25"/>
  <c r="K784" i="25"/>
  <c r="L784" i="25"/>
  <c r="K799" i="25"/>
  <c r="L799" i="25"/>
  <c r="K812" i="25"/>
  <c r="L812" i="25"/>
  <c r="K828" i="25"/>
  <c r="L828" i="25"/>
  <c r="K843" i="25"/>
  <c r="L843" i="25"/>
  <c r="K855" i="25"/>
  <c r="L855" i="25"/>
  <c r="K868" i="25"/>
  <c r="L868" i="25"/>
  <c r="K880" i="25"/>
  <c r="L880" i="25"/>
  <c r="K894" i="25"/>
  <c r="L894" i="25"/>
  <c r="K59" i="25"/>
  <c r="L59" i="25"/>
  <c r="K67" i="25"/>
  <c r="L67" i="25"/>
  <c r="K75" i="25"/>
  <c r="L75" i="25"/>
  <c r="K83" i="25"/>
  <c r="L83" i="25"/>
  <c r="K91" i="25"/>
  <c r="L91" i="25"/>
  <c r="K99" i="25"/>
  <c r="K571" i="25"/>
  <c r="L571" i="25"/>
  <c r="K600" i="25"/>
  <c r="L600" i="25"/>
  <c r="K626" i="25"/>
  <c r="L626" i="25"/>
  <c r="K650" i="25"/>
  <c r="L650" i="25"/>
  <c r="K675" i="25"/>
  <c r="L675" i="25"/>
  <c r="K699" i="25"/>
  <c r="L699" i="25"/>
  <c r="K724" i="25"/>
  <c r="L724" i="25"/>
  <c r="K743" i="25"/>
  <c r="L743" i="25"/>
  <c r="K756" i="25"/>
  <c r="L756" i="25"/>
  <c r="K771" i="25"/>
  <c r="L771" i="25"/>
  <c r="K785" i="25"/>
  <c r="L785" i="25"/>
  <c r="K801" i="25"/>
  <c r="L801" i="25"/>
  <c r="K816" i="25"/>
  <c r="L816" i="25"/>
  <c r="K830" i="25"/>
  <c r="L830" i="25"/>
  <c r="K844" i="25"/>
  <c r="L844" i="25"/>
  <c r="K856" i="25"/>
  <c r="L856" i="25"/>
  <c r="K870" i="25"/>
  <c r="L870" i="25"/>
  <c r="K883" i="25"/>
  <c r="L883" i="25"/>
  <c r="K895" i="25"/>
  <c r="L895" i="25"/>
  <c r="K918" i="25"/>
  <c r="L918" i="25"/>
  <c r="K578" i="25"/>
  <c r="L578" i="25"/>
  <c r="K602" i="25"/>
  <c r="L602" i="25"/>
  <c r="K627" i="25"/>
  <c r="L627" i="25"/>
  <c r="K651" i="25"/>
  <c r="L651" i="25"/>
  <c r="K680" i="25"/>
  <c r="L680" i="25"/>
  <c r="K706" i="25"/>
  <c r="L706" i="25"/>
  <c r="K727" i="25"/>
  <c r="L727" i="25"/>
  <c r="K744" i="25"/>
  <c r="L744" i="25"/>
  <c r="K758" i="25"/>
  <c r="L758" i="25"/>
  <c r="K774" i="25"/>
  <c r="L774" i="25"/>
  <c r="K788" i="25"/>
  <c r="L788" i="25"/>
  <c r="K802" i="25"/>
  <c r="L802" i="25"/>
  <c r="K817" i="25"/>
  <c r="L817" i="25"/>
  <c r="K831" i="25"/>
  <c r="L831" i="25"/>
  <c r="K846" i="25"/>
  <c r="L846" i="25"/>
  <c r="K859" i="25"/>
  <c r="L859" i="25"/>
  <c r="K871" i="25"/>
  <c r="L871" i="25"/>
  <c r="K884" i="25"/>
  <c r="L884" i="25"/>
  <c r="K896" i="25"/>
  <c r="L896" i="25"/>
  <c r="K934" i="25"/>
  <c r="L934" i="25"/>
  <c r="K579" i="25"/>
  <c r="L579" i="25"/>
  <c r="K603" i="25"/>
  <c r="L603" i="25"/>
  <c r="K632" i="25"/>
  <c r="L632" i="25"/>
  <c r="K658" i="25"/>
  <c r="L658" i="25"/>
  <c r="K682" i="25"/>
  <c r="L682" i="25"/>
  <c r="K707" i="25"/>
  <c r="L707" i="25"/>
  <c r="K728" i="25"/>
  <c r="L728" i="25"/>
  <c r="K746" i="25"/>
  <c r="L746" i="25"/>
  <c r="K761" i="25"/>
  <c r="L761" i="25"/>
  <c r="K775" i="25"/>
  <c r="L775" i="25"/>
  <c r="K790" i="25"/>
  <c r="L790" i="25"/>
  <c r="K803" i="25"/>
  <c r="L803" i="25"/>
  <c r="K819" i="25"/>
  <c r="L819" i="25"/>
  <c r="K834" i="25"/>
  <c r="L834" i="25"/>
  <c r="K847" i="25"/>
  <c r="L847" i="25"/>
  <c r="K860" i="25"/>
  <c r="L860" i="25"/>
  <c r="K872" i="25"/>
  <c r="L872" i="25"/>
  <c r="K886" i="25"/>
  <c r="L886" i="25"/>
  <c r="K899" i="25"/>
  <c r="L899" i="25"/>
  <c r="K956" i="25"/>
  <c r="L956" i="25"/>
  <c r="K584" i="25"/>
  <c r="L584" i="25"/>
  <c r="K610" i="25"/>
  <c r="L610" i="25"/>
  <c r="K634" i="25"/>
  <c r="L634" i="25"/>
  <c r="K659" i="25"/>
  <c r="L659" i="25"/>
  <c r="K683" i="25"/>
  <c r="L683" i="25"/>
  <c r="K712" i="25"/>
  <c r="L712" i="25"/>
  <c r="K732" i="25"/>
  <c r="L732" i="25"/>
  <c r="K747" i="25"/>
  <c r="L747" i="25"/>
  <c r="K762" i="25"/>
  <c r="L762" i="25"/>
  <c r="K776" i="25"/>
  <c r="L776" i="25"/>
  <c r="K792" i="25"/>
  <c r="L792" i="25"/>
  <c r="K807" i="25"/>
  <c r="L807" i="25"/>
  <c r="K820" i="25"/>
  <c r="L820" i="25"/>
  <c r="K835" i="25"/>
  <c r="L835" i="25"/>
  <c r="K848" i="25"/>
  <c r="L848" i="25"/>
  <c r="K862" i="25"/>
  <c r="L862" i="25"/>
  <c r="K875" i="25"/>
  <c r="L875" i="25"/>
  <c r="K887" i="25"/>
  <c r="L887" i="25"/>
  <c r="K900" i="25"/>
  <c r="L900" i="25"/>
  <c r="K714" i="25"/>
  <c r="L714" i="25"/>
  <c r="K838" i="25"/>
  <c r="L838" i="25"/>
  <c r="K66" i="25"/>
  <c r="L66" i="25"/>
  <c r="K76" i="25"/>
  <c r="L76" i="25"/>
  <c r="K85" i="25"/>
  <c r="L85" i="25"/>
  <c r="K94" i="25"/>
  <c r="L94" i="25"/>
  <c r="K103" i="25"/>
  <c r="K111" i="25"/>
  <c r="L111" i="25"/>
  <c r="K119" i="25"/>
  <c r="L119" i="25"/>
  <c r="K127" i="25"/>
  <c r="L127" i="25"/>
  <c r="K135" i="25"/>
  <c r="L135" i="25"/>
  <c r="K143" i="25"/>
  <c r="L143" i="25"/>
  <c r="K151" i="25"/>
  <c r="L151" i="25"/>
  <c r="K159" i="25"/>
  <c r="L159" i="25"/>
  <c r="K167" i="25"/>
  <c r="K175" i="25"/>
  <c r="L175" i="25"/>
  <c r="K183" i="25"/>
  <c r="K191" i="25"/>
  <c r="L191" i="25"/>
  <c r="K199" i="25"/>
  <c r="L199" i="25"/>
  <c r="K207" i="25"/>
  <c r="L207" i="25"/>
  <c r="K215" i="25"/>
  <c r="L215" i="25"/>
  <c r="K223" i="25"/>
  <c r="L223" i="25"/>
  <c r="K231" i="25"/>
  <c r="L231" i="25"/>
  <c r="K239" i="25"/>
  <c r="L239" i="25"/>
  <c r="K247" i="25"/>
  <c r="L247" i="25"/>
  <c r="K255" i="25"/>
  <c r="L255" i="25"/>
  <c r="K263" i="25"/>
  <c r="L263" i="25"/>
  <c r="K271" i="25"/>
  <c r="L271" i="25"/>
  <c r="K279" i="25"/>
  <c r="L279" i="25"/>
  <c r="K287" i="25"/>
  <c r="L287" i="25"/>
  <c r="K295" i="25"/>
  <c r="L295" i="25"/>
  <c r="K303" i="25"/>
  <c r="L303" i="25"/>
  <c r="K311" i="25"/>
  <c r="L311" i="25"/>
  <c r="K319" i="25"/>
  <c r="L319" i="25"/>
  <c r="K327" i="25"/>
  <c r="L327" i="25"/>
  <c r="K335" i="25"/>
  <c r="L335" i="25"/>
  <c r="K343" i="25"/>
  <c r="L343" i="25"/>
  <c r="K351" i="25"/>
  <c r="L351" i="25"/>
  <c r="K359" i="25"/>
  <c r="L359" i="25"/>
  <c r="K367" i="25"/>
  <c r="L367" i="25"/>
  <c r="K375" i="25"/>
  <c r="K383" i="25"/>
  <c r="L383" i="25"/>
  <c r="K391" i="25"/>
  <c r="L391" i="25"/>
  <c r="K399" i="25"/>
  <c r="L399" i="25"/>
  <c r="K407" i="25"/>
  <c r="L407" i="25"/>
  <c r="K415" i="25"/>
  <c r="L415" i="25"/>
  <c r="K423" i="25"/>
  <c r="L423" i="25"/>
  <c r="K431" i="25"/>
  <c r="L431" i="25"/>
  <c r="K439" i="25"/>
  <c r="L439" i="25"/>
  <c r="K447" i="25"/>
  <c r="L447" i="25"/>
  <c r="K455" i="25"/>
  <c r="L455" i="25"/>
  <c r="K463" i="25"/>
  <c r="L463" i="25"/>
  <c r="K471" i="25"/>
  <c r="L471" i="25"/>
  <c r="K479" i="25"/>
  <c r="L479" i="25"/>
  <c r="K487" i="25"/>
  <c r="K495" i="25"/>
  <c r="L495" i="25"/>
  <c r="K503" i="25"/>
  <c r="L503" i="25"/>
  <c r="K511" i="25"/>
  <c r="L511" i="25"/>
  <c r="K519" i="25"/>
  <c r="L519" i="25"/>
  <c r="K527" i="25"/>
  <c r="L527" i="25"/>
  <c r="K535" i="25"/>
  <c r="L535" i="25"/>
  <c r="K543" i="25"/>
  <c r="L543" i="25"/>
  <c r="K962" i="25"/>
  <c r="L962" i="25"/>
  <c r="K735" i="25"/>
  <c r="L735" i="25"/>
  <c r="K851" i="25"/>
  <c r="L851" i="25"/>
  <c r="K68" i="25"/>
  <c r="L68" i="25"/>
  <c r="K77" i="25"/>
  <c r="L77" i="25"/>
  <c r="K86" i="25"/>
  <c r="L86" i="25"/>
  <c r="K95" i="25"/>
  <c r="L95" i="25"/>
  <c r="K104" i="25"/>
  <c r="L104" i="25"/>
  <c r="K112" i="25"/>
  <c r="L112" i="25"/>
  <c r="K120" i="25"/>
  <c r="L120" i="25"/>
  <c r="K128" i="25"/>
  <c r="K136" i="25"/>
  <c r="L136" i="25"/>
  <c r="K144" i="25"/>
  <c r="L144" i="25"/>
  <c r="K152" i="25"/>
  <c r="L152" i="25"/>
  <c r="K160" i="25"/>
  <c r="L160" i="25"/>
  <c r="K168" i="25"/>
  <c r="L168" i="25"/>
  <c r="K176" i="25"/>
  <c r="L176" i="25"/>
  <c r="K184" i="25"/>
  <c r="L184" i="25"/>
  <c r="K192" i="25"/>
  <c r="K200" i="25"/>
  <c r="K208" i="25"/>
  <c r="L208" i="25"/>
  <c r="K216" i="25"/>
  <c r="L216" i="25"/>
  <c r="K224" i="25"/>
  <c r="L224" i="25"/>
  <c r="K232" i="25"/>
  <c r="L232" i="25"/>
  <c r="K240" i="25"/>
  <c r="L240" i="25"/>
  <c r="K248" i="25"/>
  <c r="L248" i="25"/>
  <c r="K256" i="25"/>
  <c r="L256" i="25"/>
  <c r="K264" i="25"/>
  <c r="L264" i="25"/>
  <c r="K272" i="25"/>
  <c r="L272" i="25"/>
  <c r="K280" i="25"/>
  <c r="L280" i="25"/>
  <c r="K288" i="25"/>
  <c r="L288" i="25"/>
  <c r="K296" i="25"/>
  <c r="L296" i="25"/>
  <c r="K304" i="25"/>
  <c r="L304" i="25"/>
  <c r="K312" i="25"/>
  <c r="L312" i="25"/>
  <c r="K320" i="25"/>
  <c r="K328" i="25"/>
  <c r="L328" i="25"/>
  <c r="K336" i="25"/>
  <c r="L336" i="25"/>
  <c r="K344" i="25"/>
  <c r="L344" i="25"/>
  <c r="K352" i="25"/>
  <c r="L352" i="25"/>
  <c r="K360" i="25"/>
  <c r="L360" i="25"/>
  <c r="K368" i="25"/>
  <c r="L368" i="25"/>
  <c r="K376" i="25"/>
  <c r="L376" i="25"/>
  <c r="K384" i="25"/>
  <c r="K392" i="25"/>
  <c r="L392" i="25"/>
  <c r="K400" i="25"/>
  <c r="L400" i="25"/>
  <c r="K408" i="25"/>
  <c r="L408" i="25"/>
  <c r="K416" i="25"/>
  <c r="L416" i="25"/>
  <c r="K424" i="25"/>
  <c r="L424" i="25"/>
  <c r="K432" i="25"/>
  <c r="L432" i="25"/>
  <c r="K440" i="25"/>
  <c r="L440" i="25"/>
  <c r="K448" i="25"/>
  <c r="L448" i="25"/>
  <c r="K456" i="25"/>
  <c r="L456" i="25"/>
  <c r="K464" i="25"/>
  <c r="L464" i="25"/>
  <c r="K472" i="25"/>
  <c r="L472" i="25"/>
  <c r="K480" i="25"/>
  <c r="L480" i="25"/>
  <c r="K488" i="25"/>
  <c r="L488" i="25"/>
  <c r="K496" i="25"/>
  <c r="L496" i="25"/>
  <c r="K611" i="25"/>
  <c r="L611" i="25"/>
  <c r="K779" i="25"/>
  <c r="L779" i="25"/>
  <c r="K888" i="25"/>
  <c r="L888" i="25"/>
  <c r="K62" i="25"/>
  <c r="L62" i="25"/>
  <c r="K71" i="25"/>
  <c r="L71" i="25"/>
  <c r="K80" i="25"/>
  <c r="L80" i="25"/>
  <c r="K89" i="25"/>
  <c r="L89" i="25"/>
  <c r="K98" i="25"/>
  <c r="K107" i="25"/>
  <c r="L107" i="25"/>
  <c r="K115" i="25"/>
  <c r="L115" i="25"/>
  <c r="K123" i="25"/>
  <c r="L123" i="25"/>
  <c r="K131" i="25"/>
  <c r="L131" i="25"/>
  <c r="K139" i="25"/>
  <c r="L139" i="25"/>
  <c r="K147" i="25"/>
  <c r="L147" i="25"/>
  <c r="K155" i="25"/>
  <c r="L155" i="25"/>
  <c r="K163" i="25"/>
  <c r="K171" i="25"/>
  <c r="L171" i="25"/>
  <c r="K179" i="25"/>
  <c r="K187" i="25"/>
  <c r="L187" i="25"/>
  <c r="K195" i="25"/>
  <c r="L195" i="25"/>
  <c r="K203" i="25"/>
  <c r="L203" i="25"/>
  <c r="K211" i="25"/>
  <c r="L211" i="25"/>
  <c r="K219" i="25"/>
  <c r="L219" i="25"/>
  <c r="K227" i="25"/>
  <c r="L227" i="25"/>
  <c r="K235" i="25"/>
  <c r="L235" i="25"/>
  <c r="K243" i="25"/>
  <c r="L243" i="25"/>
  <c r="K251" i="25"/>
  <c r="L251" i="25"/>
  <c r="K259" i="25"/>
  <c r="L259" i="25"/>
  <c r="K267" i="25"/>
  <c r="L267" i="25"/>
  <c r="K275" i="25"/>
  <c r="L275" i="25"/>
  <c r="K283" i="25"/>
  <c r="L283" i="25"/>
  <c r="K291" i="25"/>
  <c r="K299" i="25"/>
  <c r="L299" i="25"/>
  <c r="K307" i="25"/>
  <c r="L307" i="25"/>
  <c r="K315" i="25"/>
  <c r="L315" i="25"/>
  <c r="K323" i="25"/>
  <c r="L323" i="25"/>
  <c r="K331" i="25"/>
  <c r="L331" i="25"/>
  <c r="K339" i="25"/>
  <c r="L339" i="25"/>
  <c r="K347" i="25"/>
  <c r="L347" i="25"/>
  <c r="K355" i="25"/>
  <c r="L355" i="25"/>
  <c r="K363" i="25"/>
  <c r="L363" i="25"/>
  <c r="K371" i="25"/>
  <c r="K379" i="25"/>
  <c r="L379" i="25"/>
  <c r="K387" i="25"/>
  <c r="L387" i="25"/>
  <c r="K395" i="25"/>
  <c r="L395" i="25"/>
  <c r="K403" i="25"/>
  <c r="L403" i="25"/>
  <c r="K411" i="25"/>
  <c r="L411" i="25"/>
  <c r="K419" i="25"/>
  <c r="L419" i="25"/>
  <c r="K427" i="25"/>
  <c r="L427" i="25"/>
  <c r="K435" i="25"/>
  <c r="L435" i="25"/>
  <c r="K443" i="25"/>
  <c r="L443" i="25"/>
  <c r="K451" i="25"/>
  <c r="L451" i="25"/>
  <c r="K459" i="25"/>
  <c r="L459" i="25"/>
  <c r="K467" i="25"/>
  <c r="L467" i="25"/>
  <c r="K475" i="25"/>
  <c r="L475" i="25"/>
  <c r="K483" i="25"/>
  <c r="L483" i="25"/>
  <c r="K491" i="25"/>
  <c r="L491" i="25"/>
  <c r="K499" i="25"/>
  <c r="L499" i="25"/>
  <c r="K548" i="25"/>
  <c r="L548" i="25"/>
  <c r="K539" i="25"/>
  <c r="L539" i="25"/>
  <c r="K521" i="25"/>
  <c r="L521" i="25"/>
  <c r="K512" i="25"/>
  <c r="L512" i="25"/>
  <c r="K502" i="25"/>
  <c r="L502" i="25"/>
  <c r="K490" i="25"/>
  <c r="L490" i="25"/>
  <c r="K477" i="25"/>
  <c r="L477" i="25"/>
  <c r="K465" i="25"/>
  <c r="L465" i="25"/>
  <c r="K452" i="25"/>
  <c r="L452" i="25"/>
  <c r="K438" i="25"/>
  <c r="L438" i="25"/>
  <c r="K426" i="25"/>
  <c r="L426" i="25"/>
  <c r="K413" i="25"/>
  <c r="L413" i="25"/>
  <c r="K401" i="25"/>
  <c r="L401" i="25"/>
  <c r="K388" i="25"/>
  <c r="L388" i="25"/>
  <c r="K374" i="25"/>
  <c r="L374" i="25"/>
  <c r="K362" i="25"/>
  <c r="L362" i="25"/>
  <c r="K349" i="25"/>
  <c r="L349" i="25"/>
  <c r="K337" i="25"/>
  <c r="L337" i="25"/>
  <c r="K324" i="25"/>
  <c r="L324" i="25"/>
  <c r="K310" i="25"/>
  <c r="L310" i="25"/>
  <c r="K298" i="25"/>
  <c r="L298" i="25"/>
  <c r="K285" i="25"/>
  <c r="L285" i="25"/>
  <c r="K273" i="25"/>
  <c r="L273" i="25"/>
  <c r="K260" i="25"/>
  <c r="K246" i="25"/>
  <c r="L246" i="25"/>
  <c r="K234" i="25"/>
  <c r="L234" i="25"/>
  <c r="K221" i="25"/>
  <c r="L221" i="25"/>
  <c r="K209" i="25"/>
  <c r="L209" i="25"/>
  <c r="K196" i="25"/>
  <c r="L196" i="25"/>
  <c r="K182" i="25"/>
  <c r="L182" i="25"/>
  <c r="K170" i="25"/>
  <c r="L170" i="25"/>
  <c r="K157" i="25"/>
  <c r="K145" i="25"/>
  <c r="L145" i="25"/>
  <c r="K132" i="25"/>
  <c r="L132" i="25"/>
  <c r="K118" i="25"/>
  <c r="L118" i="25"/>
  <c r="K106" i="25"/>
  <c r="L106" i="25"/>
  <c r="K92" i="25"/>
  <c r="L92" i="25"/>
  <c r="K78" i="25"/>
  <c r="L78" i="25"/>
  <c r="K63" i="25"/>
  <c r="L63" i="25"/>
  <c r="T53" i="25"/>
  <c r="T54" i="25"/>
  <c r="K876" i="25"/>
  <c r="L876" i="25"/>
  <c r="K664" i="25"/>
  <c r="L664" i="25"/>
  <c r="K365" i="25"/>
  <c r="L365" i="25"/>
  <c r="K326" i="25"/>
  <c r="L326" i="25"/>
  <c r="K289" i="25"/>
  <c r="L289" i="25"/>
  <c r="K225" i="25"/>
  <c r="L225" i="25"/>
  <c r="K161" i="25"/>
  <c r="L161" i="25"/>
  <c r="K557" i="25"/>
  <c r="K549" i="25"/>
  <c r="L549" i="25"/>
  <c r="K540" i="25"/>
  <c r="L540" i="25"/>
  <c r="K531" i="25"/>
  <c r="L531" i="25"/>
  <c r="K522" i="25"/>
  <c r="L522" i="25"/>
  <c r="K513" i="25"/>
  <c r="L513" i="25"/>
  <c r="K504" i="25"/>
  <c r="L504" i="25"/>
  <c r="K492" i="25"/>
  <c r="L492" i="25"/>
  <c r="K478" i="25"/>
  <c r="L478" i="25"/>
  <c r="K466" i="25"/>
  <c r="L466" i="25"/>
  <c r="K453" i="25"/>
  <c r="L453" i="25"/>
  <c r="K441" i="25"/>
  <c r="L441" i="25"/>
  <c r="K428" i="25"/>
  <c r="L428" i="25"/>
  <c r="K414" i="25"/>
  <c r="L414" i="25"/>
  <c r="K402" i="25"/>
  <c r="L402" i="25"/>
  <c r="K389" i="25"/>
  <c r="L389" i="25"/>
  <c r="K377" i="25"/>
  <c r="L377" i="25"/>
  <c r="K364" i="25"/>
  <c r="L364" i="25"/>
  <c r="K350" i="25"/>
  <c r="L350" i="25"/>
  <c r="K338" i="25"/>
  <c r="L338" i="25"/>
  <c r="K313" i="25"/>
  <c r="L313" i="25"/>
  <c r="K300" i="25"/>
  <c r="L300" i="25"/>
  <c r="K286" i="25"/>
  <c r="L286" i="25"/>
  <c r="K274" i="25"/>
  <c r="L274" i="25"/>
  <c r="K261" i="25"/>
  <c r="L261" i="25"/>
  <c r="K249" i="25"/>
  <c r="L249" i="25"/>
  <c r="K236" i="25"/>
  <c r="L236" i="25"/>
  <c r="K222" i="25"/>
  <c r="L222" i="25"/>
  <c r="K210" i="25"/>
  <c r="L210" i="25"/>
  <c r="K197" i="25"/>
  <c r="L197" i="25"/>
  <c r="K185" i="25"/>
  <c r="L185" i="25"/>
  <c r="K172" i="25"/>
  <c r="L172" i="25"/>
  <c r="K158" i="25"/>
  <c r="L158" i="25"/>
  <c r="K146" i="25"/>
  <c r="L146" i="25"/>
  <c r="K133" i="25"/>
  <c r="L133" i="25"/>
  <c r="K121" i="25"/>
  <c r="L121" i="25"/>
  <c r="K108" i="25"/>
  <c r="L108" i="25"/>
  <c r="K93" i="25"/>
  <c r="L93" i="25"/>
  <c r="K79" i="25"/>
  <c r="L79" i="25"/>
  <c r="K64" i="25"/>
  <c r="L64" i="25"/>
  <c r="K690" i="25"/>
  <c r="L690" i="25"/>
  <c r="K556" i="25"/>
  <c r="L556" i="25"/>
  <c r="K530" i="25"/>
  <c r="L530" i="25"/>
  <c r="K555" i="25"/>
  <c r="L555" i="25"/>
  <c r="K547" i="25"/>
  <c r="L547" i="25"/>
  <c r="K538" i="25"/>
  <c r="L538" i="25"/>
  <c r="K529" i="25"/>
  <c r="L529" i="25"/>
  <c r="K520" i="25"/>
  <c r="L520" i="25"/>
  <c r="K510" i="25"/>
  <c r="L510" i="25"/>
  <c r="K501" i="25"/>
  <c r="L501" i="25"/>
  <c r="K489" i="25"/>
  <c r="L489" i="25"/>
  <c r="K476" i="25"/>
  <c r="L476" i="25"/>
  <c r="K462" i="25"/>
  <c r="L462" i="25"/>
  <c r="K450" i="25"/>
  <c r="L450" i="25"/>
  <c r="K437" i="25"/>
  <c r="L437" i="25"/>
  <c r="K425" i="25"/>
  <c r="L425" i="25"/>
  <c r="K412" i="25"/>
  <c r="L412" i="25"/>
  <c r="K398" i="25"/>
  <c r="L398" i="25"/>
  <c r="K386" i="25"/>
  <c r="L386" i="25"/>
  <c r="K373" i="25"/>
  <c r="L373" i="25"/>
  <c r="K361" i="25"/>
  <c r="L361" i="25"/>
  <c r="K348" i="25"/>
  <c r="L348" i="25"/>
  <c r="K334" i="25"/>
  <c r="L334" i="25"/>
  <c r="K322" i="25"/>
  <c r="L322" i="25"/>
  <c r="K309" i="25"/>
  <c r="L309" i="25"/>
  <c r="K297" i="25"/>
  <c r="L297" i="25"/>
  <c r="K284" i="25"/>
  <c r="L284" i="25"/>
  <c r="K270" i="25"/>
  <c r="L270" i="25"/>
  <c r="K258" i="25"/>
  <c r="L258" i="25"/>
  <c r="K245" i="25"/>
  <c r="L245" i="25"/>
  <c r="K233" i="25"/>
  <c r="L233" i="25"/>
  <c r="K220" i="25"/>
  <c r="L220" i="25"/>
  <c r="K206" i="25"/>
  <c r="L206" i="25"/>
  <c r="K194" i="25"/>
  <c r="L194" i="25"/>
  <c r="K181" i="25"/>
  <c r="L181" i="25"/>
  <c r="K169" i="25"/>
  <c r="L169" i="25"/>
  <c r="K156" i="25"/>
  <c r="L156" i="25"/>
  <c r="K142" i="25"/>
  <c r="L142" i="25"/>
  <c r="K130" i="25"/>
  <c r="L130" i="25"/>
  <c r="K117" i="25"/>
  <c r="L117" i="25"/>
  <c r="K105" i="25"/>
  <c r="L105" i="25"/>
  <c r="K90" i="25"/>
  <c r="L90" i="25"/>
  <c r="K74" i="25"/>
  <c r="L74" i="25"/>
  <c r="K61" i="25"/>
  <c r="L61" i="25"/>
  <c r="K863" i="25"/>
  <c r="L863" i="25"/>
  <c r="K635" i="25"/>
  <c r="L635" i="25"/>
  <c r="K129" i="25"/>
  <c r="L129" i="25"/>
  <c r="K102" i="25"/>
  <c r="L102" i="25"/>
  <c r="K73" i="25"/>
  <c r="L73" i="25"/>
  <c r="K822" i="25"/>
  <c r="L822" i="25"/>
  <c r="K586" i="25"/>
  <c r="L586" i="25"/>
  <c r="K536" i="25"/>
  <c r="L536" i="25"/>
  <c r="K498" i="25"/>
  <c r="L498" i="25"/>
  <c r="K434" i="25"/>
  <c r="L434" i="25"/>
  <c r="K382" i="25"/>
  <c r="L382" i="25"/>
  <c r="K345" i="25"/>
  <c r="L345" i="25"/>
  <c r="K293" i="25"/>
  <c r="L293" i="25"/>
  <c r="K242" i="25"/>
  <c r="L242" i="25"/>
  <c r="K204" i="25"/>
  <c r="L204" i="25"/>
  <c r="K178" i="25"/>
  <c r="L178" i="25"/>
  <c r="K153" i="25"/>
  <c r="L153" i="25"/>
  <c r="K126" i="25"/>
  <c r="L126" i="25"/>
  <c r="K101" i="25"/>
  <c r="L101" i="25"/>
  <c r="K87" i="25"/>
  <c r="L87" i="25"/>
  <c r="K808" i="25"/>
  <c r="L808" i="25"/>
  <c r="K562" i="25"/>
  <c r="L562" i="25"/>
  <c r="K51" i="25"/>
  <c r="L51" i="25"/>
  <c r="E52" i="25"/>
  <c r="E53" i="25"/>
  <c r="B53" i="25"/>
  <c r="B55" i="25"/>
  <c r="A58" i="25"/>
  <c r="E54" i="25"/>
  <c r="D131" i="25"/>
  <c r="F131" i="25"/>
  <c r="G131" i="25"/>
  <c r="E55" i="25"/>
  <c r="T55" i="25"/>
  <c r="S60" i="25"/>
  <c r="T60" i="25"/>
  <c r="U60" i="25"/>
  <c r="P54" i="25"/>
  <c r="P55" i="25"/>
  <c r="L188" i="25"/>
  <c r="L122" i="25"/>
  <c r="L468" i="25"/>
  <c r="L404" i="25"/>
  <c r="L545" i="25"/>
  <c r="L537" i="25"/>
  <c r="L558" i="25"/>
  <c r="L550" i="25"/>
  <c r="L518" i="25"/>
  <c r="L494" i="25"/>
  <c r="L470" i="25"/>
  <c r="L390" i="25"/>
  <c r="L515" i="25"/>
  <c r="L552" i="25"/>
  <c r="L544" i="25"/>
  <c r="L528" i="25"/>
  <c r="L384" i="25"/>
  <c r="L557" i="25"/>
  <c r="L514" i="25"/>
  <c r="L506" i="25"/>
  <c r="L482" i="25"/>
  <c r="L474" i="25"/>
  <c r="L418" i="25"/>
  <c r="L410" i="25"/>
  <c r="L394" i="25"/>
  <c r="L497" i="25"/>
  <c r="L397" i="25"/>
  <c r="L333" i="25"/>
  <c r="L325" i="25"/>
  <c r="L314" i="25"/>
  <c r="L509" i="25"/>
  <c r="L481" i="25"/>
  <c r="L375" i="25"/>
  <c r="L487" i="25"/>
  <c r="L316" i="25"/>
  <c r="L292" i="25"/>
  <c r="L276" i="25"/>
  <c r="L260" i="25"/>
  <c r="L369" i="25"/>
  <c r="L321" i="25"/>
  <c r="L281" i="25"/>
  <c r="L320" i="25"/>
  <c r="L174" i="25"/>
  <c r="L371" i="25"/>
  <c r="L294" i="25"/>
  <c r="L179" i="25"/>
  <c r="L163" i="25"/>
  <c r="L200" i="25"/>
  <c r="L192" i="25"/>
  <c r="L254" i="25"/>
  <c r="L213" i="25"/>
  <c r="L97" i="25"/>
  <c r="L150" i="25"/>
  <c r="L110" i="25"/>
  <c r="L421" i="25"/>
  <c r="L164" i="25"/>
  <c r="L278" i="25"/>
  <c r="L205" i="25"/>
  <c r="L189" i="25"/>
  <c r="L173" i="25"/>
  <c r="L157" i="25"/>
  <c r="L103" i="25"/>
  <c r="L99" i="25"/>
  <c r="L449" i="25"/>
  <c r="L230" i="25"/>
  <c r="L84" i="25"/>
  <c r="L183" i="25"/>
  <c r="L114" i="25"/>
  <c r="L393" i="25"/>
  <c r="L98" i="25"/>
  <c r="L82" i="25"/>
  <c r="L69" i="25"/>
  <c r="L201" i="25"/>
  <c r="L134" i="25"/>
  <c r="L128" i="25"/>
  <c r="L291" i="25"/>
  <c r="L167" i="25"/>
  <c r="L290" i="25"/>
  <c r="L266" i="25"/>
  <c r="S65" i="24"/>
  <c r="T65" i="24"/>
  <c r="U65" i="24"/>
  <c r="D54" i="24"/>
  <c r="F54" i="24"/>
  <c r="G54" i="24"/>
  <c r="H54" i="24"/>
  <c r="Z596" i="24"/>
  <c r="D119" i="24"/>
  <c r="F119" i="24"/>
  <c r="G119" i="24"/>
  <c r="H119" i="24"/>
  <c r="Z661" i="24"/>
  <c r="S81" i="24"/>
  <c r="T81" i="24"/>
  <c r="U81" i="24"/>
  <c r="D102" i="24"/>
  <c r="F102" i="24"/>
  <c r="G102" i="24"/>
  <c r="H102" i="24"/>
  <c r="Z644" i="24"/>
  <c r="S79" i="24"/>
  <c r="T79" i="24"/>
  <c r="U79" i="24"/>
  <c r="D79" i="24"/>
  <c r="F79" i="24"/>
  <c r="G79" i="24"/>
  <c r="H79" i="24"/>
  <c r="Z621" i="24"/>
  <c r="S75" i="24"/>
  <c r="T75" i="24"/>
  <c r="U75" i="24"/>
  <c r="K470" i="24"/>
  <c r="L470" i="24"/>
  <c r="D117" i="24"/>
  <c r="D100" i="24"/>
  <c r="F100" i="24"/>
  <c r="G100" i="24"/>
  <c r="H100" i="24"/>
  <c r="Z642" i="24"/>
  <c r="D78" i="24"/>
  <c r="F78" i="24"/>
  <c r="G78" i="24"/>
  <c r="H78" i="24"/>
  <c r="Z620" i="24"/>
  <c r="D52" i="24"/>
  <c r="K533" i="24"/>
  <c r="L533" i="24"/>
  <c r="K510" i="24"/>
  <c r="L510" i="24"/>
  <c r="K487" i="24"/>
  <c r="L487" i="24"/>
  <c r="K469" i="24"/>
  <c r="L469" i="24"/>
  <c r="K443" i="24"/>
  <c r="L443" i="24"/>
  <c r="K414" i="24"/>
  <c r="L414" i="24"/>
  <c r="K386" i="24"/>
  <c r="L386" i="24"/>
  <c r="K345" i="24"/>
  <c r="L345" i="24"/>
  <c r="K297" i="24"/>
  <c r="L297" i="24"/>
  <c r="K249" i="24"/>
  <c r="L249" i="24"/>
  <c r="K186" i="24"/>
  <c r="L186" i="24"/>
  <c r="K123" i="24"/>
  <c r="L123" i="24"/>
  <c r="K75" i="24"/>
  <c r="L75" i="24"/>
  <c r="D116" i="24"/>
  <c r="F116" i="24"/>
  <c r="G116" i="24"/>
  <c r="H116" i="24"/>
  <c r="Z658" i="24"/>
  <c r="D95" i="24"/>
  <c r="F95" i="24"/>
  <c r="G95" i="24"/>
  <c r="H95" i="24"/>
  <c r="Z637" i="24"/>
  <c r="D77" i="24"/>
  <c r="F77" i="24"/>
  <c r="G77" i="24"/>
  <c r="H77" i="24"/>
  <c r="Z619" i="24"/>
  <c r="D47" i="24"/>
  <c r="F47" i="24"/>
  <c r="G47" i="24"/>
  <c r="H47" i="24"/>
  <c r="Z589" i="24"/>
  <c r="K527" i="24"/>
  <c r="L527" i="24"/>
  <c r="K509" i="24"/>
  <c r="L509" i="24"/>
  <c r="K486" i="24"/>
  <c r="L486" i="24"/>
  <c r="K463" i="24"/>
  <c r="L463" i="24"/>
  <c r="K442" i="24"/>
  <c r="L442" i="24"/>
  <c r="K411" i="24"/>
  <c r="L411" i="24"/>
  <c r="K377" i="24"/>
  <c r="L377" i="24"/>
  <c r="K344" i="24"/>
  <c r="L344" i="24"/>
  <c r="K291" i="24"/>
  <c r="L291" i="24"/>
  <c r="K233" i="24"/>
  <c r="L233" i="24"/>
  <c r="K185" i="24"/>
  <c r="L185" i="24"/>
  <c r="K122" i="24"/>
  <c r="L122" i="24"/>
  <c r="K59" i="24"/>
  <c r="L59" i="24"/>
  <c r="K81" i="24"/>
  <c r="L81" i="24"/>
  <c r="D111" i="24"/>
  <c r="F111" i="24"/>
  <c r="G111" i="24"/>
  <c r="H111" i="24"/>
  <c r="Z653" i="24"/>
  <c r="D94" i="24"/>
  <c r="F94" i="24"/>
  <c r="G94" i="24"/>
  <c r="H94" i="24"/>
  <c r="Z636" i="24"/>
  <c r="D70" i="24"/>
  <c r="F70" i="24"/>
  <c r="G70" i="24"/>
  <c r="H70" i="24"/>
  <c r="Z612" i="24"/>
  <c r="D46" i="24"/>
  <c r="F46" i="24"/>
  <c r="G46" i="24"/>
  <c r="H46" i="24"/>
  <c r="Z588" i="24"/>
  <c r="K526" i="24"/>
  <c r="L526" i="24"/>
  <c r="K503" i="24"/>
  <c r="L503" i="24"/>
  <c r="K485" i="24"/>
  <c r="L485" i="24"/>
  <c r="K462" i="24"/>
  <c r="L462" i="24"/>
  <c r="K434" i="24"/>
  <c r="L434" i="24"/>
  <c r="K410" i="24"/>
  <c r="L410" i="24"/>
  <c r="K376" i="24"/>
  <c r="L376" i="24"/>
  <c r="K330" i="24"/>
  <c r="L330" i="24"/>
  <c r="K290" i="24"/>
  <c r="L290" i="24"/>
  <c r="K227" i="24"/>
  <c r="L227" i="24"/>
  <c r="K169" i="24"/>
  <c r="L169" i="24"/>
  <c r="K121" i="24"/>
  <c r="L121" i="24"/>
  <c r="K58" i="24"/>
  <c r="L58" i="24"/>
  <c r="S63" i="24"/>
  <c r="T63" i="24"/>
  <c r="U63" i="24"/>
  <c r="K444" i="24"/>
  <c r="L444" i="24"/>
  <c r="K346" i="24"/>
  <c r="L346" i="24"/>
  <c r="K139" i="24"/>
  <c r="L139" i="24"/>
  <c r="D127" i="24"/>
  <c r="F127" i="24"/>
  <c r="G127" i="24"/>
  <c r="H127" i="24"/>
  <c r="Z669" i="24"/>
  <c r="D110" i="24"/>
  <c r="F110" i="24"/>
  <c r="G110" i="24"/>
  <c r="H110" i="24"/>
  <c r="Z652" i="24"/>
  <c r="D93" i="24"/>
  <c r="F93" i="24"/>
  <c r="G93" i="24"/>
  <c r="H93" i="24"/>
  <c r="Z635" i="24"/>
  <c r="D68" i="24"/>
  <c r="D45" i="24"/>
  <c r="F45" i="24"/>
  <c r="G45" i="24"/>
  <c r="H45" i="24"/>
  <c r="Z587" i="24"/>
  <c r="K525" i="24"/>
  <c r="L525" i="24"/>
  <c r="K502" i="24"/>
  <c r="L502" i="24"/>
  <c r="K479" i="24"/>
  <c r="L479" i="24"/>
  <c r="K460" i="24"/>
  <c r="L460" i="24"/>
  <c r="K433" i="24"/>
  <c r="L433" i="24"/>
  <c r="K402" i="24"/>
  <c r="L402" i="24"/>
  <c r="K375" i="24"/>
  <c r="L375" i="24"/>
  <c r="K329" i="24"/>
  <c r="L329" i="24"/>
  <c r="K274" i="24"/>
  <c r="L274" i="24"/>
  <c r="K226" i="24"/>
  <c r="L226" i="24"/>
  <c r="K163" i="24"/>
  <c r="L163" i="24"/>
  <c r="K105" i="24"/>
  <c r="L105" i="24"/>
  <c r="K57" i="24"/>
  <c r="L57" i="24"/>
  <c r="S43" i="24"/>
  <c r="T43" i="24"/>
  <c r="U43" i="24"/>
  <c r="K493" i="24"/>
  <c r="L493" i="24"/>
  <c r="K312" i="24"/>
  <c r="L312" i="24"/>
  <c r="D125" i="24"/>
  <c r="F125" i="24"/>
  <c r="G125" i="24"/>
  <c r="H125" i="24"/>
  <c r="Z667" i="24"/>
  <c r="D109" i="24"/>
  <c r="F109" i="24"/>
  <c r="G109" i="24"/>
  <c r="H109" i="24"/>
  <c r="Z651" i="24"/>
  <c r="D87" i="24"/>
  <c r="F87" i="24"/>
  <c r="G87" i="24"/>
  <c r="H87" i="24"/>
  <c r="Z629" i="24"/>
  <c r="D63" i="24"/>
  <c r="F63" i="24"/>
  <c r="G63" i="24"/>
  <c r="H63" i="24"/>
  <c r="Z605" i="24"/>
  <c r="D38" i="24"/>
  <c r="F38" i="24"/>
  <c r="G38" i="24"/>
  <c r="H38" i="24"/>
  <c r="Z580" i="24"/>
  <c r="K519" i="24"/>
  <c r="L519" i="24"/>
  <c r="K501" i="24"/>
  <c r="L501" i="24"/>
  <c r="K478" i="24"/>
  <c r="L478" i="24"/>
  <c r="K454" i="24"/>
  <c r="L454" i="24"/>
  <c r="K432" i="24"/>
  <c r="L432" i="24"/>
  <c r="K401" i="24"/>
  <c r="L401" i="24"/>
  <c r="K362" i="24"/>
  <c r="L362" i="24"/>
  <c r="K328" i="24"/>
  <c r="L328" i="24"/>
  <c r="K273" i="24"/>
  <c r="L273" i="24"/>
  <c r="K210" i="24"/>
  <c r="L210" i="24"/>
  <c r="K162" i="24"/>
  <c r="L162" i="24"/>
  <c r="K99" i="24"/>
  <c r="L99" i="24"/>
  <c r="K41" i="24"/>
  <c r="L41" i="24"/>
  <c r="K511" i="24"/>
  <c r="L511" i="24"/>
  <c r="K422" i="24"/>
  <c r="L422" i="24"/>
  <c r="K187" i="24"/>
  <c r="L187" i="24"/>
  <c r="D124" i="24"/>
  <c r="F124" i="24"/>
  <c r="G124" i="24"/>
  <c r="H124" i="24"/>
  <c r="Z666" i="24"/>
  <c r="D108" i="24"/>
  <c r="F108" i="24"/>
  <c r="G108" i="24"/>
  <c r="H108" i="24"/>
  <c r="Z650" i="24"/>
  <c r="D86" i="24"/>
  <c r="F86" i="24"/>
  <c r="G86" i="24"/>
  <c r="H86" i="24"/>
  <c r="Z628" i="24"/>
  <c r="D62" i="24"/>
  <c r="F62" i="24"/>
  <c r="G62" i="24"/>
  <c r="H62" i="24"/>
  <c r="Z604" i="24"/>
  <c r="K518" i="24"/>
  <c r="L518" i="24"/>
  <c r="K495" i="24"/>
  <c r="L495" i="24"/>
  <c r="K477" i="24"/>
  <c r="L477" i="24"/>
  <c r="K452" i="24"/>
  <c r="L452" i="24"/>
  <c r="K424" i="24"/>
  <c r="L424" i="24"/>
  <c r="K400" i="24"/>
  <c r="L400" i="24"/>
  <c r="K361" i="24"/>
  <c r="L361" i="24"/>
  <c r="K314" i="24"/>
  <c r="L314" i="24"/>
  <c r="K267" i="24"/>
  <c r="L267" i="24"/>
  <c r="K209" i="24"/>
  <c r="L209" i="24"/>
  <c r="K146" i="24"/>
  <c r="L146" i="24"/>
  <c r="K98" i="24"/>
  <c r="L98" i="24"/>
  <c r="K534" i="24"/>
  <c r="L534" i="24"/>
  <c r="K387" i="24"/>
  <c r="L387" i="24"/>
  <c r="K250" i="24"/>
  <c r="L250" i="24"/>
  <c r="D123" i="24"/>
  <c r="F123" i="24"/>
  <c r="G123" i="24"/>
  <c r="H123" i="24"/>
  <c r="Z665" i="24"/>
  <c r="D103" i="24"/>
  <c r="F103" i="24"/>
  <c r="G103" i="24"/>
  <c r="H103" i="24"/>
  <c r="Z645" i="24"/>
  <c r="D84" i="24"/>
  <c r="F84" i="24"/>
  <c r="G84" i="24"/>
  <c r="H84" i="24"/>
  <c r="Z626" i="24"/>
  <c r="K535" i="24"/>
  <c r="L535" i="24"/>
  <c r="K517" i="24"/>
  <c r="L517" i="24"/>
  <c r="K494" i="24"/>
  <c r="L494" i="24"/>
  <c r="K471" i="24"/>
  <c r="L471" i="24"/>
  <c r="K451" i="24"/>
  <c r="L451" i="24"/>
  <c r="K423" i="24"/>
  <c r="L423" i="24"/>
  <c r="K391" i="24"/>
  <c r="L391" i="24"/>
  <c r="K360" i="24"/>
  <c r="L360" i="24"/>
  <c r="K313" i="24"/>
  <c r="L313" i="24"/>
  <c r="K251" i="24"/>
  <c r="L251" i="24"/>
  <c r="K203" i="24"/>
  <c r="L203" i="24"/>
  <c r="K145" i="24"/>
  <c r="L145" i="24"/>
  <c r="K82" i="24"/>
  <c r="L82" i="24"/>
  <c r="D36" i="24"/>
  <c r="F36" i="24"/>
  <c r="G36" i="24"/>
  <c r="H36" i="24"/>
  <c r="Z578" i="24"/>
  <c r="D37" i="24"/>
  <c r="F37" i="24"/>
  <c r="G37" i="24"/>
  <c r="H37" i="24"/>
  <c r="Z579" i="24"/>
  <c r="D40" i="24"/>
  <c r="F40" i="24"/>
  <c r="G40" i="24"/>
  <c r="H40" i="24"/>
  <c r="Z582" i="24"/>
  <c r="D48" i="24"/>
  <c r="F48" i="24"/>
  <c r="G48" i="24"/>
  <c r="H48" i="24"/>
  <c r="Z590" i="24"/>
  <c r="D56" i="24"/>
  <c r="F56" i="24"/>
  <c r="G56" i="24"/>
  <c r="H56" i="24"/>
  <c r="Z598" i="24"/>
  <c r="D64" i="24"/>
  <c r="F64" i="24"/>
  <c r="G64" i="24"/>
  <c r="H64" i="24"/>
  <c r="Z606" i="24"/>
  <c r="D72" i="24"/>
  <c r="F72" i="24"/>
  <c r="G72" i="24"/>
  <c r="H72" i="24"/>
  <c r="Z614" i="24"/>
  <c r="D80" i="24"/>
  <c r="F80" i="24"/>
  <c r="G80" i="24"/>
  <c r="H80" i="24"/>
  <c r="Z622" i="24"/>
  <c r="D88" i="24"/>
  <c r="F88" i="24"/>
  <c r="G88" i="24"/>
  <c r="H88" i="24"/>
  <c r="Z630" i="24"/>
  <c r="D96" i="24"/>
  <c r="F96" i="24"/>
  <c r="G96" i="24"/>
  <c r="H96" i="24"/>
  <c r="Z638" i="24"/>
  <c r="D104" i="24"/>
  <c r="F104" i="24"/>
  <c r="G104" i="24"/>
  <c r="H104" i="24"/>
  <c r="Z646" i="24"/>
  <c r="D112" i="24"/>
  <c r="F112" i="24"/>
  <c r="G112" i="24"/>
  <c r="H112" i="24"/>
  <c r="Z654" i="24"/>
  <c r="D120" i="24"/>
  <c r="F120" i="24"/>
  <c r="G120" i="24"/>
  <c r="H120" i="24"/>
  <c r="Z662" i="24"/>
  <c r="D128" i="24"/>
  <c r="F128" i="24"/>
  <c r="G128" i="24"/>
  <c r="H128" i="24"/>
  <c r="Z670" i="24"/>
  <c r="D41" i="24"/>
  <c r="F41" i="24"/>
  <c r="G41" i="24"/>
  <c r="H41" i="24"/>
  <c r="Z583" i="24"/>
  <c r="D49" i="24"/>
  <c r="F49" i="24"/>
  <c r="G49" i="24"/>
  <c r="H49" i="24"/>
  <c r="Z591" i="24"/>
  <c r="D57" i="24"/>
  <c r="F57" i="24"/>
  <c r="G57" i="24"/>
  <c r="H57" i="24"/>
  <c r="Z599" i="24"/>
  <c r="D65" i="24"/>
  <c r="F65" i="24"/>
  <c r="G65" i="24"/>
  <c r="H65" i="24"/>
  <c r="Z607" i="24"/>
  <c r="D73" i="24"/>
  <c r="F73" i="24"/>
  <c r="G73" i="24"/>
  <c r="H73" i="24"/>
  <c r="Z615" i="24"/>
  <c r="D81" i="24"/>
  <c r="F81" i="24"/>
  <c r="G81" i="24"/>
  <c r="H81" i="24"/>
  <c r="Z623" i="24"/>
  <c r="D89" i="24"/>
  <c r="F89" i="24"/>
  <c r="G89" i="24"/>
  <c r="H89" i="24"/>
  <c r="Z631" i="24"/>
  <c r="D97" i="24"/>
  <c r="F97" i="24"/>
  <c r="G97" i="24"/>
  <c r="H97" i="24"/>
  <c r="Z639" i="24"/>
  <c r="D105" i="24"/>
  <c r="F105" i="24"/>
  <c r="G105" i="24"/>
  <c r="H105" i="24"/>
  <c r="Z647" i="24"/>
  <c r="D113" i="24"/>
  <c r="F113" i="24"/>
  <c r="G113" i="24"/>
  <c r="H113" i="24"/>
  <c r="Z655" i="24"/>
  <c r="D121" i="24"/>
  <c r="F121" i="24"/>
  <c r="G121" i="24"/>
  <c r="H121" i="24"/>
  <c r="Z663" i="24"/>
  <c r="D129" i="24"/>
  <c r="F129" i="24"/>
  <c r="G129" i="24"/>
  <c r="H129" i="24"/>
  <c r="Z671" i="24"/>
  <c r="D42" i="24"/>
  <c r="F42" i="24"/>
  <c r="G42" i="24"/>
  <c r="H42" i="24"/>
  <c r="Z584" i="24"/>
  <c r="D50" i="24"/>
  <c r="F50" i="24"/>
  <c r="G50" i="24"/>
  <c r="H50" i="24"/>
  <c r="Z592" i="24"/>
  <c r="D58" i="24"/>
  <c r="F58" i="24"/>
  <c r="G58" i="24"/>
  <c r="H58" i="24"/>
  <c r="Z600" i="24"/>
  <c r="D66" i="24"/>
  <c r="F66" i="24"/>
  <c r="G66" i="24"/>
  <c r="H66" i="24"/>
  <c r="Z608" i="24"/>
  <c r="D74" i="24"/>
  <c r="F74" i="24"/>
  <c r="G74" i="24"/>
  <c r="H74" i="24"/>
  <c r="Z616" i="24"/>
  <c r="D82" i="24"/>
  <c r="F82" i="24"/>
  <c r="G82" i="24"/>
  <c r="H82" i="24"/>
  <c r="Z624" i="24"/>
  <c r="D90" i="24"/>
  <c r="F90" i="24"/>
  <c r="G90" i="24"/>
  <c r="H90" i="24"/>
  <c r="Z632" i="24"/>
  <c r="D98" i="24"/>
  <c r="F98" i="24"/>
  <c r="G98" i="24"/>
  <c r="H98" i="24"/>
  <c r="Z640" i="24"/>
  <c r="D106" i="24"/>
  <c r="F106" i="24"/>
  <c r="G106" i="24"/>
  <c r="H106" i="24"/>
  <c r="Z648" i="24"/>
  <c r="D114" i="24"/>
  <c r="F114" i="24"/>
  <c r="G114" i="24"/>
  <c r="H114" i="24"/>
  <c r="Z656" i="24"/>
  <c r="D122" i="24"/>
  <c r="F122" i="24"/>
  <c r="G122" i="24"/>
  <c r="H122" i="24"/>
  <c r="Z664" i="24"/>
  <c r="D130" i="24"/>
  <c r="D43" i="24"/>
  <c r="F43" i="24"/>
  <c r="G43" i="24"/>
  <c r="H43" i="24"/>
  <c r="Z585" i="24"/>
  <c r="D51" i="24"/>
  <c r="F51" i="24"/>
  <c r="G51" i="24"/>
  <c r="H51" i="24"/>
  <c r="Z593" i="24"/>
  <c r="D59" i="24"/>
  <c r="F59" i="24"/>
  <c r="G59" i="24"/>
  <c r="H59" i="24"/>
  <c r="Z601" i="24"/>
  <c r="D67" i="24"/>
  <c r="F67" i="24"/>
  <c r="G67" i="24"/>
  <c r="H67" i="24"/>
  <c r="Z609" i="24"/>
  <c r="D75" i="24"/>
  <c r="F75" i="24"/>
  <c r="G75" i="24"/>
  <c r="H75" i="24"/>
  <c r="Z617" i="24"/>
  <c r="D83" i="24"/>
  <c r="F83" i="24"/>
  <c r="G83" i="24"/>
  <c r="H83" i="24"/>
  <c r="Z625" i="24"/>
  <c r="D91" i="24"/>
  <c r="F91" i="24"/>
  <c r="G91" i="24"/>
  <c r="H91" i="24"/>
  <c r="Z633" i="24"/>
  <c r="D99" i="24"/>
  <c r="F99" i="24"/>
  <c r="G99" i="24"/>
  <c r="H99" i="24"/>
  <c r="Z641" i="24"/>
  <c r="D118" i="24"/>
  <c r="F118" i="24"/>
  <c r="G118" i="24"/>
  <c r="H118" i="24"/>
  <c r="Z660" i="24"/>
  <c r="D107" i="24"/>
  <c r="F107" i="24"/>
  <c r="G107" i="24"/>
  <c r="H107" i="24"/>
  <c r="Z649" i="24"/>
  <c r="D92" i="24"/>
  <c r="F92" i="24"/>
  <c r="G92" i="24"/>
  <c r="H92" i="24"/>
  <c r="Z634" i="24"/>
  <c r="D76" i="24"/>
  <c r="F76" i="24"/>
  <c r="G76" i="24"/>
  <c r="H76" i="24"/>
  <c r="Z618" i="24"/>
  <c r="D60" i="24"/>
  <c r="F60" i="24"/>
  <c r="G60" i="24"/>
  <c r="H60" i="24"/>
  <c r="Z602" i="24"/>
  <c r="D44" i="24"/>
  <c r="F44" i="24"/>
  <c r="G44" i="24"/>
  <c r="H44" i="24"/>
  <c r="Z586" i="24"/>
  <c r="D71" i="24"/>
  <c r="F71" i="24"/>
  <c r="G71" i="24"/>
  <c r="H71" i="24"/>
  <c r="Z613" i="24"/>
  <c r="D55" i="24"/>
  <c r="F55" i="24"/>
  <c r="G55" i="24"/>
  <c r="H55" i="24"/>
  <c r="Z597" i="24"/>
  <c r="D39" i="24"/>
  <c r="F39" i="24"/>
  <c r="G39" i="24"/>
  <c r="H39" i="24"/>
  <c r="Z581" i="24"/>
  <c r="D126" i="24"/>
  <c r="F126" i="24"/>
  <c r="G126" i="24"/>
  <c r="H126" i="24"/>
  <c r="Z668" i="24"/>
  <c r="D115" i="24"/>
  <c r="F115" i="24"/>
  <c r="G115" i="24"/>
  <c r="H115" i="24"/>
  <c r="Z657" i="24"/>
  <c r="D101" i="24"/>
  <c r="F101" i="24"/>
  <c r="G101" i="24"/>
  <c r="H101" i="24"/>
  <c r="Z643" i="24"/>
  <c r="D85" i="24"/>
  <c r="F85" i="24"/>
  <c r="G85" i="24"/>
  <c r="H85" i="24"/>
  <c r="Z627" i="24"/>
  <c r="D69" i="24"/>
  <c r="F69" i="24"/>
  <c r="G69" i="24"/>
  <c r="H69" i="24"/>
  <c r="Z611" i="24"/>
  <c r="D53" i="24"/>
  <c r="F53" i="24"/>
  <c r="G53" i="24"/>
  <c r="H53" i="24"/>
  <c r="Z595" i="24"/>
  <c r="K532" i="24"/>
  <c r="L532" i="24"/>
  <c r="K524" i="24"/>
  <c r="L524" i="24"/>
  <c r="K516" i="24"/>
  <c r="L516" i="24"/>
  <c r="K508" i="24"/>
  <c r="L508" i="24"/>
  <c r="K500" i="24"/>
  <c r="L500" i="24"/>
  <c r="K492" i="24"/>
  <c r="L492" i="24"/>
  <c r="K484" i="24"/>
  <c r="L484" i="24"/>
  <c r="K476" i="24"/>
  <c r="L476" i="24"/>
  <c r="K468" i="24"/>
  <c r="L468" i="24"/>
  <c r="K459" i="24"/>
  <c r="L459" i="24"/>
  <c r="K450" i="24"/>
  <c r="L450" i="24"/>
  <c r="K441" i="24"/>
  <c r="L441" i="24"/>
  <c r="K431" i="24"/>
  <c r="L431" i="24"/>
  <c r="K419" i="24"/>
  <c r="L419" i="24"/>
  <c r="K409" i="24"/>
  <c r="L409" i="24"/>
  <c r="K399" i="24"/>
  <c r="L399" i="24"/>
  <c r="K385" i="24"/>
  <c r="L385" i="24"/>
  <c r="K371" i="24"/>
  <c r="L371" i="24"/>
  <c r="K355" i="24"/>
  <c r="L355" i="24"/>
  <c r="K339" i="24"/>
  <c r="L339" i="24"/>
  <c r="K323" i="24"/>
  <c r="L323" i="24"/>
  <c r="K307" i="24"/>
  <c r="L307" i="24"/>
  <c r="K289" i="24"/>
  <c r="L289" i="24"/>
  <c r="K266" i="24"/>
  <c r="L266" i="24"/>
  <c r="K243" i="24"/>
  <c r="L243" i="24"/>
  <c r="K225" i="24"/>
  <c r="L225" i="24"/>
  <c r="K202" i="24"/>
  <c r="L202" i="24"/>
  <c r="K179" i="24"/>
  <c r="L179" i="24"/>
  <c r="K161" i="24"/>
  <c r="L161" i="24"/>
  <c r="K138" i="24"/>
  <c r="L138" i="24"/>
  <c r="K115" i="24"/>
  <c r="L115" i="24"/>
  <c r="K97" i="24"/>
  <c r="L97" i="24"/>
  <c r="K74" i="24"/>
  <c r="L74" i="24"/>
  <c r="K51" i="24"/>
  <c r="L51" i="24"/>
  <c r="K531" i="24"/>
  <c r="L531" i="24"/>
  <c r="K523" i="24"/>
  <c r="L523" i="24"/>
  <c r="K515" i="24"/>
  <c r="L515" i="24"/>
  <c r="K507" i="24"/>
  <c r="L507" i="24"/>
  <c r="K499" i="24"/>
  <c r="L499" i="24"/>
  <c r="K491" i="24"/>
  <c r="L491" i="24"/>
  <c r="K483" i="24"/>
  <c r="L483" i="24"/>
  <c r="K475" i="24"/>
  <c r="L475" i="24"/>
  <c r="K467" i="24"/>
  <c r="L467" i="24"/>
  <c r="K458" i="24"/>
  <c r="L458" i="24"/>
  <c r="K449" i="24"/>
  <c r="L449" i="24"/>
  <c r="K440" i="24"/>
  <c r="L440" i="24"/>
  <c r="K430" i="24"/>
  <c r="L430" i="24"/>
  <c r="K418" i="24"/>
  <c r="L418" i="24"/>
  <c r="K408" i="24"/>
  <c r="L408" i="24"/>
  <c r="K395" i="24"/>
  <c r="L395" i="24"/>
  <c r="K384" i="24"/>
  <c r="L384" i="24"/>
  <c r="K370" i="24"/>
  <c r="L370" i="24"/>
  <c r="K354" i="24"/>
  <c r="L354" i="24"/>
  <c r="K338" i="24"/>
  <c r="L338" i="24"/>
  <c r="K322" i="24"/>
  <c r="L322" i="24"/>
  <c r="K306" i="24"/>
  <c r="L306" i="24"/>
  <c r="K283" i="24"/>
  <c r="L283" i="24"/>
  <c r="K265" i="24"/>
  <c r="L265" i="24"/>
  <c r="K242" i="24"/>
  <c r="L242" i="24"/>
  <c r="K219" i="24"/>
  <c r="L219" i="24"/>
  <c r="K201" i="24"/>
  <c r="L201" i="24"/>
  <c r="K178" i="24"/>
  <c r="L178" i="24"/>
  <c r="K155" i="24"/>
  <c r="L155" i="24"/>
  <c r="K137" i="24"/>
  <c r="L137" i="24"/>
  <c r="K114" i="24"/>
  <c r="L114" i="24"/>
  <c r="K91" i="24"/>
  <c r="L91" i="24"/>
  <c r="K73" i="24"/>
  <c r="L73" i="24"/>
  <c r="K50" i="24"/>
  <c r="L50" i="24"/>
  <c r="K29" i="24"/>
  <c r="L29" i="24"/>
  <c r="K36" i="24"/>
  <c r="L36" i="24"/>
  <c r="K530" i="24"/>
  <c r="L530" i="24"/>
  <c r="K522" i="24"/>
  <c r="L522" i="24"/>
  <c r="K514" i="24"/>
  <c r="L514" i="24"/>
  <c r="K506" i="24"/>
  <c r="L506" i="24"/>
  <c r="K498" i="24"/>
  <c r="L498" i="24"/>
  <c r="K490" i="24"/>
  <c r="L490" i="24"/>
  <c r="K482" i="24"/>
  <c r="L482" i="24"/>
  <c r="K474" i="24"/>
  <c r="L474" i="24"/>
  <c r="K466" i="24"/>
  <c r="L466" i="24"/>
  <c r="K457" i="24"/>
  <c r="L457" i="24"/>
  <c r="K448" i="24"/>
  <c r="L448" i="24"/>
  <c r="K439" i="24"/>
  <c r="L439" i="24"/>
  <c r="K427" i="24"/>
  <c r="L427" i="24"/>
  <c r="K417" i="24"/>
  <c r="L417" i="24"/>
  <c r="K407" i="24"/>
  <c r="L407" i="24"/>
  <c r="K394" i="24"/>
  <c r="L394" i="24"/>
  <c r="K383" i="24"/>
  <c r="L383" i="24"/>
  <c r="K369" i="24"/>
  <c r="L369" i="24"/>
  <c r="K353" i="24"/>
  <c r="L353" i="24"/>
  <c r="K337" i="24"/>
  <c r="L337" i="24"/>
  <c r="K321" i="24"/>
  <c r="L321" i="24"/>
  <c r="K305" i="24"/>
  <c r="L305" i="24"/>
  <c r="K282" i="24"/>
  <c r="L282" i="24"/>
  <c r="K259" i="24"/>
  <c r="L259" i="24"/>
  <c r="K241" i="24"/>
  <c r="L241" i="24"/>
  <c r="K218" i="24"/>
  <c r="L218" i="24"/>
  <c r="K195" i="24"/>
  <c r="L195" i="24"/>
  <c r="K177" i="24"/>
  <c r="L177" i="24"/>
  <c r="K154" i="24"/>
  <c r="L154" i="24"/>
  <c r="K131" i="24"/>
  <c r="L131" i="24"/>
  <c r="K113" i="24"/>
  <c r="L113" i="24"/>
  <c r="K90" i="24"/>
  <c r="L90" i="24"/>
  <c r="K67" i="24"/>
  <c r="L67" i="24"/>
  <c r="T59" i="24"/>
  <c r="U59" i="24"/>
  <c r="P32" i="24"/>
  <c r="P33" i="24"/>
  <c r="K44" i="24"/>
  <c r="L44" i="24"/>
  <c r="K52" i="24"/>
  <c r="L52" i="24"/>
  <c r="K60" i="24"/>
  <c r="L60" i="24"/>
  <c r="K68" i="24"/>
  <c r="L68" i="24"/>
  <c r="K76" i="24"/>
  <c r="L76" i="24"/>
  <c r="K84" i="24"/>
  <c r="L84" i="24"/>
  <c r="K92" i="24"/>
  <c r="L92" i="24"/>
  <c r="K100" i="24"/>
  <c r="L100" i="24"/>
  <c r="K108" i="24"/>
  <c r="L108" i="24"/>
  <c r="K116" i="24"/>
  <c r="L116" i="24"/>
  <c r="K124" i="24"/>
  <c r="L124" i="24"/>
  <c r="K132" i="24"/>
  <c r="L132" i="24"/>
  <c r="K140" i="24"/>
  <c r="L140" i="24"/>
  <c r="K148" i="24"/>
  <c r="L148" i="24"/>
  <c r="K156" i="24"/>
  <c r="L156" i="24"/>
  <c r="K164" i="24"/>
  <c r="L164" i="24"/>
  <c r="K172" i="24"/>
  <c r="L172" i="24"/>
  <c r="K180" i="24"/>
  <c r="L180" i="24"/>
  <c r="K188" i="24"/>
  <c r="L188" i="24"/>
  <c r="K196" i="24"/>
  <c r="L196" i="24"/>
  <c r="K204" i="24"/>
  <c r="L204" i="24"/>
  <c r="K212" i="24"/>
  <c r="L212" i="24"/>
  <c r="K220" i="24"/>
  <c r="L220" i="24"/>
  <c r="K228" i="24"/>
  <c r="L228" i="24"/>
  <c r="K236" i="24"/>
  <c r="L236" i="24"/>
  <c r="K244" i="24"/>
  <c r="L244" i="24"/>
  <c r="K252" i="24"/>
  <c r="L252" i="24"/>
  <c r="K260" i="24"/>
  <c r="L260" i="24"/>
  <c r="K268" i="24"/>
  <c r="L268" i="24"/>
  <c r="K276" i="24"/>
  <c r="L276" i="24"/>
  <c r="K284" i="24"/>
  <c r="L284" i="24"/>
  <c r="K292" i="24"/>
  <c r="L292" i="24"/>
  <c r="K300" i="24"/>
  <c r="L300" i="24"/>
  <c r="K308" i="24"/>
  <c r="L308" i="24"/>
  <c r="K316" i="24"/>
  <c r="L316" i="24"/>
  <c r="K324" i="24"/>
  <c r="L324" i="24"/>
  <c r="K332" i="24"/>
  <c r="L332" i="24"/>
  <c r="K340" i="24"/>
  <c r="L340" i="24"/>
  <c r="K348" i="24"/>
  <c r="L348" i="24"/>
  <c r="K356" i="24"/>
  <c r="L356" i="24"/>
  <c r="K364" i="24"/>
  <c r="L364" i="24"/>
  <c r="K372" i="24"/>
  <c r="L372" i="24"/>
  <c r="K380" i="24"/>
  <c r="L380" i="24"/>
  <c r="K388" i="24"/>
  <c r="L388" i="24"/>
  <c r="K396" i="24"/>
  <c r="L396" i="24"/>
  <c r="K404" i="24"/>
  <c r="L404" i="24"/>
  <c r="K412" i="24"/>
  <c r="L412" i="24"/>
  <c r="K420" i="24"/>
  <c r="L420" i="24"/>
  <c r="K428" i="24"/>
  <c r="L428" i="24"/>
  <c r="K436" i="24"/>
  <c r="L436" i="24"/>
  <c r="K45" i="24"/>
  <c r="L45" i="24"/>
  <c r="K53" i="24"/>
  <c r="L53" i="24"/>
  <c r="K61" i="24"/>
  <c r="L61" i="24"/>
  <c r="K69" i="24"/>
  <c r="L69" i="24"/>
  <c r="K77" i="24"/>
  <c r="L77" i="24"/>
  <c r="K85" i="24"/>
  <c r="L85" i="24"/>
  <c r="K93" i="24"/>
  <c r="L93" i="24"/>
  <c r="K101" i="24"/>
  <c r="L101" i="24"/>
  <c r="K109" i="24"/>
  <c r="L109" i="24"/>
  <c r="K117" i="24"/>
  <c r="L117" i="24"/>
  <c r="K125" i="24"/>
  <c r="L125" i="24"/>
  <c r="K133" i="24"/>
  <c r="L133" i="24"/>
  <c r="K141" i="24"/>
  <c r="L141" i="24"/>
  <c r="K149" i="24"/>
  <c r="L149" i="24"/>
  <c r="K157" i="24"/>
  <c r="L157" i="24"/>
  <c r="K165" i="24"/>
  <c r="L165" i="24"/>
  <c r="K173" i="24"/>
  <c r="L173" i="24"/>
  <c r="K181" i="24"/>
  <c r="L181" i="24"/>
  <c r="K189" i="24"/>
  <c r="L189" i="24"/>
  <c r="K197" i="24"/>
  <c r="L197" i="24"/>
  <c r="K205" i="24"/>
  <c r="L205" i="24"/>
  <c r="K213" i="24"/>
  <c r="L213" i="24"/>
  <c r="K221" i="24"/>
  <c r="L221" i="24"/>
  <c r="K229" i="24"/>
  <c r="L229" i="24"/>
  <c r="K237" i="24"/>
  <c r="L237" i="24"/>
  <c r="K245" i="24"/>
  <c r="L245" i="24"/>
  <c r="K253" i="24"/>
  <c r="L253" i="24"/>
  <c r="K261" i="24"/>
  <c r="L261" i="24"/>
  <c r="K269" i="24"/>
  <c r="L269" i="24"/>
  <c r="K277" i="24"/>
  <c r="L277" i="24"/>
  <c r="K285" i="24"/>
  <c r="L285" i="24"/>
  <c r="K293" i="24"/>
  <c r="L293" i="24"/>
  <c r="K301" i="24"/>
  <c r="L301" i="24"/>
  <c r="K309" i="24"/>
  <c r="L309" i="24"/>
  <c r="K317" i="24"/>
  <c r="L317" i="24"/>
  <c r="K325" i="24"/>
  <c r="L325" i="24"/>
  <c r="K333" i="24"/>
  <c r="L333" i="24"/>
  <c r="K341" i="24"/>
  <c r="L341" i="24"/>
  <c r="K349" i="24"/>
  <c r="L349" i="24"/>
  <c r="K357" i="24"/>
  <c r="L357" i="24"/>
  <c r="K365" i="24"/>
  <c r="L365" i="24"/>
  <c r="K373" i="24"/>
  <c r="L373" i="24"/>
  <c r="K381" i="24"/>
  <c r="L381" i="24"/>
  <c r="K389" i="24"/>
  <c r="L389" i="24"/>
  <c r="K397" i="24"/>
  <c r="L397" i="24"/>
  <c r="K405" i="24"/>
  <c r="L405" i="24"/>
  <c r="K413" i="24"/>
  <c r="L413" i="24"/>
  <c r="K421" i="24"/>
  <c r="L421" i="24"/>
  <c r="K429" i="24"/>
  <c r="L429" i="24"/>
  <c r="K437" i="24"/>
  <c r="L437" i="24"/>
  <c r="K445" i="24"/>
  <c r="L445" i="24"/>
  <c r="K453" i="24"/>
  <c r="L453" i="24"/>
  <c r="K461" i="24"/>
  <c r="L461" i="24"/>
  <c r="K38" i="24"/>
  <c r="L38" i="24"/>
  <c r="K46" i="24"/>
  <c r="L46" i="24"/>
  <c r="K54" i="24"/>
  <c r="L54" i="24"/>
  <c r="K62" i="24"/>
  <c r="L62" i="24"/>
  <c r="K70" i="24"/>
  <c r="L70" i="24"/>
  <c r="K78" i="24"/>
  <c r="L78" i="24"/>
  <c r="K86" i="24"/>
  <c r="L86" i="24"/>
  <c r="K94" i="24"/>
  <c r="L94" i="24"/>
  <c r="K102" i="24"/>
  <c r="L102" i="24"/>
  <c r="K110" i="24"/>
  <c r="L110" i="24"/>
  <c r="K118" i="24"/>
  <c r="L118" i="24"/>
  <c r="K126" i="24"/>
  <c r="L126" i="24"/>
  <c r="K134" i="24"/>
  <c r="L134" i="24"/>
  <c r="K142" i="24"/>
  <c r="L142" i="24"/>
  <c r="K150" i="24"/>
  <c r="L150" i="24"/>
  <c r="K158" i="24"/>
  <c r="L158" i="24"/>
  <c r="K166" i="24"/>
  <c r="L166" i="24"/>
  <c r="K174" i="24"/>
  <c r="L174" i="24"/>
  <c r="K182" i="24"/>
  <c r="L182" i="24"/>
  <c r="K190" i="24"/>
  <c r="L190" i="24"/>
  <c r="K198" i="24"/>
  <c r="L198" i="24"/>
  <c r="K206" i="24"/>
  <c r="L206" i="24"/>
  <c r="K214" i="24"/>
  <c r="L214" i="24"/>
  <c r="K222" i="24"/>
  <c r="L222" i="24"/>
  <c r="K230" i="24"/>
  <c r="L230" i="24"/>
  <c r="K238" i="24"/>
  <c r="L238" i="24"/>
  <c r="K246" i="24"/>
  <c r="L246" i="24"/>
  <c r="K254" i="24"/>
  <c r="L254" i="24"/>
  <c r="K262" i="24"/>
  <c r="L262" i="24"/>
  <c r="K270" i="24"/>
  <c r="L270" i="24"/>
  <c r="K278" i="24"/>
  <c r="L278" i="24"/>
  <c r="K286" i="24"/>
  <c r="L286" i="24"/>
  <c r="K294" i="24"/>
  <c r="L294" i="24"/>
  <c r="K302" i="24"/>
  <c r="L302" i="24"/>
  <c r="K310" i="24"/>
  <c r="L310" i="24"/>
  <c r="K318" i="24"/>
  <c r="L318" i="24"/>
  <c r="K326" i="24"/>
  <c r="L326" i="24"/>
  <c r="K334" i="24"/>
  <c r="L334" i="24"/>
  <c r="K342" i="24"/>
  <c r="L342" i="24"/>
  <c r="K350" i="24"/>
  <c r="L350" i="24"/>
  <c r="K358" i="24"/>
  <c r="L358" i="24"/>
  <c r="K366" i="24"/>
  <c r="L366" i="24"/>
  <c r="K374" i="24"/>
  <c r="L374" i="24"/>
  <c r="K382" i="24"/>
  <c r="L382" i="24"/>
  <c r="K390" i="24"/>
  <c r="L390" i="24"/>
  <c r="K398" i="24"/>
  <c r="L398" i="24"/>
  <c r="K39" i="24"/>
  <c r="L39" i="24"/>
  <c r="K47" i="24"/>
  <c r="L47" i="24"/>
  <c r="K55" i="24"/>
  <c r="L55" i="24"/>
  <c r="K63" i="24"/>
  <c r="L63" i="24"/>
  <c r="K71" i="24"/>
  <c r="L71" i="24"/>
  <c r="K79" i="24"/>
  <c r="L79" i="24"/>
  <c r="K87" i="24"/>
  <c r="L87" i="24"/>
  <c r="K95" i="24"/>
  <c r="L95" i="24"/>
  <c r="K103" i="24"/>
  <c r="L103" i="24"/>
  <c r="K111" i="24"/>
  <c r="L111" i="24"/>
  <c r="K119" i="24"/>
  <c r="L119" i="24"/>
  <c r="K127" i="24"/>
  <c r="L127" i="24"/>
  <c r="K135" i="24"/>
  <c r="L135" i="24"/>
  <c r="K143" i="24"/>
  <c r="L143" i="24"/>
  <c r="K151" i="24"/>
  <c r="L151" i="24"/>
  <c r="K159" i="24"/>
  <c r="L159" i="24"/>
  <c r="K167" i="24"/>
  <c r="L167" i="24"/>
  <c r="K175" i="24"/>
  <c r="L175" i="24"/>
  <c r="K183" i="24"/>
  <c r="L183" i="24"/>
  <c r="K191" i="24"/>
  <c r="L191" i="24"/>
  <c r="K199" i="24"/>
  <c r="L199" i="24"/>
  <c r="K207" i="24"/>
  <c r="L207" i="24"/>
  <c r="K215" i="24"/>
  <c r="L215" i="24"/>
  <c r="K223" i="24"/>
  <c r="L223" i="24"/>
  <c r="K231" i="24"/>
  <c r="L231" i="24"/>
  <c r="K239" i="24"/>
  <c r="L239" i="24"/>
  <c r="K247" i="24"/>
  <c r="L247" i="24"/>
  <c r="K255" i="24"/>
  <c r="L255" i="24"/>
  <c r="K263" i="24"/>
  <c r="L263" i="24"/>
  <c r="K271" i="24"/>
  <c r="L271" i="24"/>
  <c r="K279" i="24"/>
  <c r="L279" i="24"/>
  <c r="K287" i="24"/>
  <c r="L287" i="24"/>
  <c r="K295" i="24"/>
  <c r="L295" i="24"/>
  <c r="K303" i="24"/>
  <c r="L303" i="24"/>
  <c r="K311" i="24"/>
  <c r="L311" i="24"/>
  <c r="K319" i="24"/>
  <c r="L319" i="24"/>
  <c r="K327" i="24"/>
  <c r="L327" i="24"/>
  <c r="K335" i="24"/>
  <c r="L335" i="24"/>
  <c r="K343" i="24"/>
  <c r="L343" i="24"/>
  <c r="K351" i="24"/>
  <c r="L351" i="24"/>
  <c r="K359" i="24"/>
  <c r="L359" i="24"/>
  <c r="K367" i="24"/>
  <c r="L367" i="24"/>
  <c r="K40" i="24"/>
  <c r="L40" i="24"/>
  <c r="K48" i="24"/>
  <c r="L48" i="24"/>
  <c r="K56" i="24"/>
  <c r="L56" i="24"/>
  <c r="K64" i="24"/>
  <c r="L64" i="24"/>
  <c r="K72" i="24"/>
  <c r="L72" i="24"/>
  <c r="K80" i="24"/>
  <c r="L80" i="24"/>
  <c r="K88" i="24"/>
  <c r="L88" i="24"/>
  <c r="K96" i="24"/>
  <c r="L96" i="24"/>
  <c r="K104" i="24"/>
  <c r="L104" i="24"/>
  <c r="K112" i="24"/>
  <c r="L112" i="24"/>
  <c r="K120" i="24"/>
  <c r="L120" i="24"/>
  <c r="K128" i="24"/>
  <c r="L128" i="24"/>
  <c r="K136" i="24"/>
  <c r="L136" i="24"/>
  <c r="K144" i="24"/>
  <c r="L144" i="24"/>
  <c r="K152" i="24"/>
  <c r="L152" i="24"/>
  <c r="K160" i="24"/>
  <c r="L160" i="24"/>
  <c r="K168" i="24"/>
  <c r="L168" i="24"/>
  <c r="K176" i="24"/>
  <c r="L176" i="24"/>
  <c r="K184" i="24"/>
  <c r="L184" i="24"/>
  <c r="K192" i="24"/>
  <c r="L192" i="24"/>
  <c r="K200" i="24"/>
  <c r="L200" i="24"/>
  <c r="K208" i="24"/>
  <c r="L208" i="24"/>
  <c r="K216" i="24"/>
  <c r="L216" i="24"/>
  <c r="K224" i="24"/>
  <c r="L224" i="24"/>
  <c r="K232" i="24"/>
  <c r="L232" i="24"/>
  <c r="K240" i="24"/>
  <c r="L240" i="24"/>
  <c r="K248" i="24"/>
  <c r="L248" i="24"/>
  <c r="K256" i="24"/>
  <c r="L256" i="24"/>
  <c r="K264" i="24"/>
  <c r="L264" i="24"/>
  <c r="K272" i="24"/>
  <c r="L272" i="24"/>
  <c r="K280" i="24"/>
  <c r="L280" i="24"/>
  <c r="K288" i="24"/>
  <c r="L288" i="24"/>
  <c r="K296" i="24"/>
  <c r="L296" i="24"/>
  <c r="K304" i="24"/>
  <c r="L304" i="24"/>
  <c r="F117" i="24"/>
  <c r="G117" i="24"/>
  <c r="H117" i="24"/>
  <c r="Z659" i="24"/>
  <c r="F61" i="24"/>
  <c r="G61" i="24"/>
  <c r="H61" i="24"/>
  <c r="Z603" i="24"/>
  <c r="K37" i="24"/>
  <c r="L37" i="24"/>
  <c r="K529" i="24"/>
  <c r="L529" i="24"/>
  <c r="K521" i="24"/>
  <c r="L521" i="24"/>
  <c r="K513" i="24"/>
  <c r="L513" i="24"/>
  <c r="K505" i="24"/>
  <c r="L505" i="24"/>
  <c r="K497" i="24"/>
  <c r="L497" i="24"/>
  <c r="K489" i="24"/>
  <c r="L489" i="24"/>
  <c r="K481" i="24"/>
  <c r="L481" i="24"/>
  <c r="K473" i="24"/>
  <c r="L473" i="24"/>
  <c r="K465" i="24"/>
  <c r="L465" i="24"/>
  <c r="K456" i="24"/>
  <c r="L456" i="24"/>
  <c r="K447" i="24"/>
  <c r="L447" i="24"/>
  <c r="K438" i="24"/>
  <c r="L438" i="24"/>
  <c r="K426" i="24"/>
  <c r="L426" i="24"/>
  <c r="K416" i="24"/>
  <c r="L416" i="24"/>
  <c r="K406" i="24"/>
  <c r="L406" i="24"/>
  <c r="K393" i="24"/>
  <c r="L393" i="24"/>
  <c r="K379" i="24"/>
  <c r="L379" i="24"/>
  <c r="K368" i="24"/>
  <c r="L368" i="24"/>
  <c r="K352" i="24"/>
  <c r="L352" i="24"/>
  <c r="K336" i="24"/>
  <c r="L336" i="24"/>
  <c r="K320" i="24"/>
  <c r="L320" i="24"/>
  <c r="K299" i="24"/>
  <c r="L299" i="24"/>
  <c r="K281" i="24"/>
  <c r="L281" i="24"/>
  <c r="K258" i="24"/>
  <c r="L258" i="24"/>
  <c r="K235" i="24"/>
  <c r="L235" i="24"/>
  <c r="K217" i="24"/>
  <c r="L217" i="24"/>
  <c r="K194" i="24"/>
  <c r="L194" i="24"/>
  <c r="K171" i="24"/>
  <c r="L171" i="24"/>
  <c r="K153" i="24"/>
  <c r="L153" i="24"/>
  <c r="K130" i="24"/>
  <c r="L130" i="24"/>
  <c r="K107" i="24"/>
  <c r="L107" i="24"/>
  <c r="K89" i="24"/>
  <c r="L89" i="24"/>
  <c r="K66" i="24"/>
  <c r="L66" i="24"/>
  <c r="K43" i="24"/>
  <c r="L43" i="24"/>
  <c r="B31" i="24"/>
  <c r="B33" i="24"/>
  <c r="A36" i="24"/>
  <c r="F68" i="24"/>
  <c r="G68" i="24"/>
  <c r="H68" i="24"/>
  <c r="Z610" i="24"/>
  <c r="F52" i="24"/>
  <c r="G52" i="24"/>
  <c r="H52" i="24"/>
  <c r="Z594" i="24"/>
  <c r="K536" i="24"/>
  <c r="L536" i="24"/>
  <c r="K528" i="24"/>
  <c r="L528" i="24"/>
  <c r="K520" i="24"/>
  <c r="L520" i="24"/>
  <c r="K512" i="24"/>
  <c r="L512" i="24"/>
  <c r="K504" i="24"/>
  <c r="L504" i="24"/>
  <c r="K496" i="24"/>
  <c r="L496" i="24"/>
  <c r="K488" i="24"/>
  <c r="L488" i="24"/>
  <c r="K480" i="24"/>
  <c r="L480" i="24"/>
  <c r="K472" i="24"/>
  <c r="L472" i="24"/>
  <c r="K464" i="24"/>
  <c r="L464" i="24"/>
  <c r="K455" i="24"/>
  <c r="L455" i="24"/>
  <c r="K446" i="24"/>
  <c r="L446" i="24"/>
  <c r="K435" i="24"/>
  <c r="L435" i="24"/>
  <c r="K425" i="24"/>
  <c r="L425" i="24"/>
  <c r="K415" i="24"/>
  <c r="L415" i="24"/>
  <c r="K403" i="24"/>
  <c r="L403" i="24"/>
  <c r="K392" i="24"/>
  <c r="L392" i="24"/>
  <c r="K378" i="24"/>
  <c r="L378" i="24"/>
  <c r="K363" i="24"/>
  <c r="L363" i="24"/>
  <c r="K347" i="24"/>
  <c r="L347" i="24"/>
  <c r="K331" i="24"/>
  <c r="L331" i="24"/>
  <c r="K315" i="24"/>
  <c r="L315" i="24"/>
  <c r="K298" i="24"/>
  <c r="L298" i="24"/>
  <c r="K275" i="24"/>
  <c r="L275" i="24"/>
  <c r="K257" i="24"/>
  <c r="L257" i="24"/>
  <c r="K234" i="24"/>
  <c r="L234" i="24"/>
  <c r="K211" i="24"/>
  <c r="L211" i="24"/>
  <c r="K193" i="24"/>
  <c r="L193" i="24"/>
  <c r="K170" i="24"/>
  <c r="L170" i="24"/>
  <c r="K147" i="24"/>
  <c r="L147" i="24"/>
  <c r="K129" i="24"/>
  <c r="L129" i="24"/>
  <c r="K106" i="24"/>
  <c r="L106" i="24"/>
  <c r="K83" i="24"/>
  <c r="L83" i="24"/>
  <c r="K65" i="24"/>
  <c r="L65" i="24"/>
  <c r="K42" i="24"/>
  <c r="L42" i="24"/>
  <c r="S44" i="24"/>
  <c r="T44" i="24"/>
  <c r="U44" i="24"/>
  <c r="S52" i="24"/>
  <c r="T52" i="24"/>
  <c r="U52" i="24"/>
  <c r="S60" i="24"/>
  <c r="T60" i="24"/>
  <c r="U60" i="24"/>
  <c r="S68" i="24"/>
  <c r="T68" i="24"/>
  <c r="U68" i="24"/>
  <c r="S76" i="24"/>
  <c r="T76" i="24"/>
  <c r="U76" i="24"/>
  <c r="S84" i="24"/>
  <c r="T84" i="24"/>
  <c r="U84" i="24"/>
  <c r="S37" i="24"/>
  <c r="T37" i="24"/>
  <c r="U37" i="24"/>
  <c r="S45" i="24"/>
  <c r="T45" i="24"/>
  <c r="U45" i="24"/>
  <c r="S53" i="24"/>
  <c r="T53" i="24"/>
  <c r="U53" i="24"/>
  <c r="S61" i="24"/>
  <c r="T61" i="24"/>
  <c r="U61" i="24"/>
  <c r="S69" i="24"/>
  <c r="T69" i="24"/>
  <c r="U69" i="24"/>
  <c r="S77" i="24"/>
  <c r="T77" i="24"/>
  <c r="U77" i="24"/>
  <c r="S85" i="24"/>
  <c r="T85" i="24"/>
  <c r="U85" i="24"/>
  <c r="S38" i="24"/>
  <c r="T38" i="24"/>
  <c r="U38" i="24"/>
  <c r="S46" i="24"/>
  <c r="T46" i="24"/>
  <c r="U46" i="24"/>
  <c r="S54" i="24"/>
  <c r="T54" i="24"/>
  <c r="U54" i="24"/>
  <c r="S62" i="24"/>
  <c r="T62" i="24"/>
  <c r="U62" i="24"/>
  <c r="S70" i="24"/>
  <c r="T70" i="24"/>
  <c r="U70" i="24"/>
  <c r="S78" i="24"/>
  <c r="T78" i="24"/>
  <c r="U78" i="24"/>
  <c r="S86" i="24"/>
  <c r="T86" i="24"/>
  <c r="U86" i="24"/>
  <c r="S40" i="24"/>
  <c r="T40" i="24"/>
  <c r="U40" i="24"/>
  <c r="S48" i="24"/>
  <c r="T48" i="24"/>
  <c r="U48" i="24"/>
  <c r="S56" i="24"/>
  <c r="T56" i="24"/>
  <c r="U56" i="24"/>
  <c r="S64" i="24"/>
  <c r="T64" i="24"/>
  <c r="U64" i="24"/>
  <c r="S72" i="24"/>
  <c r="T72" i="24"/>
  <c r="U72" i="24"/>
  <c r="S80" i="24"/>
  <c r="T80" i="24"/>
  <c r="U80" i="24"/>
  <c r="S50" i="24"/>
  <c r="T50" i="24"/>
  <c r="U50" i="24"/>
  <c r="S66" i="24"/>
  <c r="T66" i="24"/>
  <c r="U66" i="24"/>
  <c r="S82" i="24"/>
  <c r="T82" i="24"/>
  <c r="U82" i="24"/>
  <c r="S51" i="24"/>
  <c r="T51" i="24"/>
  <c r="U51" i="24"/>
  <c r="S67" i="24"/>
  <c r="T67" i="24"/>
  <c r="U67" i="24"/>
  <c r="S83" i="24"/>
  <c r="T83" i="24"/>
  <c r="U83" i="24"/>
  <c r="S39" i="24"/>
  <c r="T39" i="24"/>
  <c r="U39" i="24"/>
  <c r="S55" i="24"/>
  <c r="T55" i="24"/>
  <c r="U55" i="24"/>
  <c r="S71" i="24"/>
  <c r="T71" i="24"/>
  <c r="U71" i="24"/>
  <c r="S36" i="24"/>
  <c r="T36" i="24"/>
  <c r="U36" i="24"/>
  <c r="S41" i="24"/>
  <c r="T41" i="24"/>
  <c r="U41" i="24"/>
  <c r="S57" i="24"/>
  <c r="T57" i="24"/>
  <c r="U57" i="24"/>
  <c r="S73" i="24"/>
  <c r="T73" i="24"/>
  <c r="U73" i="24"/>
  <c r="S42" i="24"/>
  <c r="T42" i="24"/>
  <c r="U42" i="24"/>
  <c r="S58" i="24"/>
  <c r="T58" i="24"/>
  <c r="U58" i="24"/>
  <c r="S74" i="24"/>
  <c r="T74" i="24"/>
  <c r="U74" i="24"/>
  <c r="S49" i="24"/>
  <c r="T49" i="24"/>
  <c r="U49" i="24"/>
  <c r="S47" i="24"/>
  <c r="T47" i="24"/>
  <c r="U47" i="24"/>
  <c r="D321" i="14"/>
  <c r="D322" i="14"/>
  <c r="D323" i="14"/>
  <c r="D324" i="14"/>
  <c r="D325" i="14"/>
  <c r="D326" i="14"/>
  <c r="D327" i="14"/>
  <c r="A321" i="14"/>
  <c r="A322" i="14"/>
  <c r="A323" i="14"/>
  <c r="A324" i="14"/>
  <c r="A325" i="14"/>
  <c r="A326" i="14"/>
  <c r="A327" i="14"/>
  <c r="Z29" i="24"/>
  <c r="S91" i="25"/>
  <c r="T91" i="25"/>
  <c r="U91" i="25"/>
  <c r="S65" i="25"/>
  <c r="T65" i="25"/>
  <c r="U65" i="25"/>
  <c r="S71" i="25"/>
  <c r="T71" i="25"/>
  <c r="U71" i="25"/>
  <c r="S77" i="25"/>
  <c r="T77" i="25"/>
  <c r="U77" i="25"/>
  <c r="S82" i="25"/>
  <c r="T82" i="25"/>
  <c r="U82" i="25"/>
  <c r="S76" i="25"/>
  <c r="T76" i="25"/>
  <c r="U76" i="25"/>
  <c r="S79" i="25"/>
  <c r="T79" i="25"/>
  <c r="U79" i="25"/>
  <c r="S74" i="25"/>
  <c r="T74" i="25"/>
  <c r="U74" i="25"/>
  <c r="S84" i="25"/>
  <c r="T84" i="25"/>
  <c r="U84" i="25"/>
  <c r="S93" i="25"/>
  <c r="T93" i="25"/>
  <c r="U93" i="25"/>
  <c r="S105" i="25"/>
  <c r="T105" i="25"/>
  <c r="U105" i="25"/>
  <c r="S101" i="25"/>
  <c r="T101" i="25"/>
  <c r="U101" i="25"/>
  <c r="S90" i="25"/>
  <c r="T90" i="25"/>
  <c r="U90" i="25"/>
  <c r="S104" i="25"/>
  <c r="T104" i="25"/>
  <c r="U104" i="25"/>
  <c r="S100" i="25"/>
  <c r="T100" i="25"/>
  <c r="U100" i="25"/>
  <c r="S59" i="25"/>
  <c r="T59" i="25"/>
  <c r="U59" i="25"/>
  <c r="S78" i="25"/>
  <c r="T78" i="25"/>
  <c r="U78" i="25"/>
  <c r="S94" i="25"/>
  <c r="T94" i="25"/>
  <c r="U94" i="25"/>
  <c r="S85" i="25"/>
  <c r="T85" i="25"/>
  <c r="U85" i="25"/>
  <c r="S63" i="25"/>
  <c r="T63" i="25"/>
  <c r="U63" i="25"/>
  <c r="S61" i="25"/>
  <c r="T61" i="25"/>
  <c r="U61" i="25"/>
  <c r="S98" i="25"/>
  <c r="T98" i="25"/>
  <c r="U98" i="25"/>
  <c r="S75" i="25"/>
  <c r="T75" i="25"/>
  <c r="U75" i="25"/>
  <c r="S73" i="25"/>
  <c r="T73" i="25"/>
  <c r="U73" i="25"/>
  <c r="S107" i="25"/>
  <c r="T107" i="25"/>
  <c r="U107" i="25"/>
  <c r="S88" i="25"/>
  <c r="T88" i="25"/>
  <c r="U88" i="25"/>
  <c r="S95" i="25"/>
  <c r="T95" i="25"/>
  <c r="U95" i="25"/>
  <c r="D114" i="25"/>
  <c r="F114" i="25"/>
  <c r="G114" i="25"/>
  <c r="H114" i="25"/>
  <c r="D135" i="25"/>
  <c r="F135" i="25"/>
  <c r="G135" i="25"/>
  <c r="H135" i="25"/>
  <c r="D125" i="25"/>
  <c r="F125" i="25"/>
  <c r="G125" i="25"/>
  <c r="Z1092" i="25"/>
  <c r="D136" i="25"/>
  <c r="F136" i="25"/>
  <c r="G136" i="25"/>
  <c r="H136" i="25"/>
  <c r="D70" i="25"/>
  <c r="F70" i="25"/>
  <c r="G70" i="25"/>
  <c r="H70" i="25"/>
  <c r="D147" i="25"/>
  <c r="F147" i="25"/>
  <c r="G147" i="25"/>
  <c r="H147" i="25"/>
  <c r="D93" i="25"/>
  <c r="F93" i="25"/>
  <c r="G93" i="25"/>
  <c r="H93" i="25"/>
  <c r="D91" i="25"/>
  <c r="F91" i="25"/>
  <c r="G91" i="25"/>
  <c r="H91" i="25"/>
  <c r="D152" i="25"/>
  <c r="D90" i="25"/>
  <c r="F90" i="25"/>
  <c r="G90" i="25"/>
  <c r="Z1057" i="25"/>
  <c r="D127" i="25"/>
  <c r="F127" i="25"/>
  <c r="G127" i="25"/>
  <c r="H127" i="25"/>
  <c r="D119" i="25"/>
  <c r="F119" i="25"/>
  <c r="G119" i="25"/>
  <c r="H119" i="25"/>
  <c r="D101" i="25"/>
  <c r="F101" i="25"/>
  <c r="G101" i="25"/>
  <c r="H101" i="25"/>
  <c r="D94" i="25"/>
  <c r="F94" i="25"/>
  <c r="G94" i="25"/>
  <c r="H94" i="25"/>
  <c r="D132" i="25"/>
  <c r="F132" i="25"/>
  <c r="G132" i="25"/>
  <c r="H132" i="25"/>
  <c r="D99" i="25"/>
  <c r="F99" i="25"/>
  <c r="G99" i="25"/>
  <c r="H99" i="25"/>
  <c r="D145" i="25"/>
  <c r="F145" i="25"/>
  <c r="G145" i="25"/>
  <c r="H145" i="25"/>
  <c r="D141" i="25"/>
  <c r="F141" i="25"/>
  <c r="G141" i="25"/>
  <c r="H141" i="25"/>
  <c r="D62" i="25"/>
  <c r="F62" i="25"/>
  <c r="G62" i="25"/>
  <c r="H62" i="25"/>
  <c r="D149" i="25"/>
  <c r="F149" i="25"/>
  <c r="G149" i="25"/>
  <c r="Z1116" i="25"/>
  <c r="D124" i="25"/>
  <c r="F124" i="25"/>
  <c r="G124" i="25"/>
  <c r="Z1091" i="25"/>
  <c r="D95" i="25"/>
  <c r="F95" i="25"/>
  <c r="G95" i="25"/>
  <c r="H95" i="25"/>
  <c r="D66" i="25"/>
  <c r="F66" i="25"/>
  <c r="G66" i="25"/>
  <c r="H66" i="25"/>
  <c r="D105" i="25"/>
  <c r="F105" i="25"/>
  <c r="G105" i="25"/>
  <c r="H105" i="25"/>
  <c r="D103" i="25"/>
  <c r="F103" i="25"/>
  <c r="G103" i="25"/>
  <c r="H103" i="25"/>
  <c r="D77" i="25"/>
  <c r="F77" i="25"/>
  <c r="G77" i="25"/>
  <c r="H77" i="25"/>
  <c r="D100" i="25"/>
  <c r="F100" i="25"/>
  <c r="G100" i="25"/>
  <c r="Z1067" i="25"/>
  <c r="D109" i="25"/>
  <c r="F109" i="25"/>
  <c r="G109" i="25"/>
  <c r="Z1076" i="25"/>
  <c r="D102" i="25"/>
  <c r="F102" i="25"/>
  <c r="G102" i="25"/>
  <c r="H102" i="25"/>
  <c r="D146" i="25"/>
  <c r="F146" i="25"/>
  <c r="G146" i="25"/>
  <c r="H146" i="25"/>
  <c r="D107" i="25"/>
  <c r="F107" i="25"/>
  <c r="G107" i="25"/>
  <c r="H107" i="25"/>
  <c r="D151" i="25"/>
  <c r="F151" i="25"/>
  <c r="G151" i="25"/>
  <c r="H151" i="25"/>
  <c r="D128" i="25"/>
  <c r="F128" i="25"/>
  <c r="G128" i="25"/>
  <c r="H128" i="25"/>
  <c r="D65" i="25"/>
  <c r="F65" i="25"/>
  <c r="G65" i="25"/>
  <c r="H65" i="25"/>
  <c r="D130" i="25"/>
  <c r="F130" i="25"/>
  <c r="G130" i="25"/>
  <c r="H130" i="25"/>
  <c r="D126" i="25"/>
  <c r="F126" i="25"/>
  <c r="G126" i="25"/>
  <c r="H126" i="25"/>
  <c r="D133" i="25"/>
  <c r="F133" i="25"/>
  <c r="G133" i="25"/>
  <c r="H133" i="25"/>
  <c r="D110" i="25"/>
  <c r="F110" i="25"/>
  <c r="G110" i="25"/>
  <c r="H110" i="25"/>
  <c r="D98" i="25"/>
  <c r="F98" i="25"/>
  <c r="G98" i="25"/>
  <c r="H98" i="25"/>
  <c r="D143" i="25"/>
  <c r="F143" i="25"/>
  <c r="G143" i="25"/>
  <c r="H143" i="25"/>
  <c r="D140" i="25"/>
  <c r="F140" i="25"/>
  <c r="G140" i="25"/>
  <c r="H140" i="25"/>
  <c r="D72" i="25"/>
  <c r="F72" i="25"/>
  <c r="G72" i="25"/>
  <c r="H72" i="25"/>
  <c r="D92" i="25"/>
  <c r="F92" i="25"/>
  <c r="G92" i="25"/>
  <c r="Z1059" i="25"/>
  <c r="D117" i="25"/>
  <c r="F117" i="25"/>
  <c r="G117" i="25"/>
  <c r="H117" i="25"/>
  <c r="D106" i="25"/>
  <c r="F106" i="25"/>
  <c r="G106" i="25"/>
  <c r="Z1073" i="25"/>
  <c r="D79" i="25"/>
  <c r="F79" i="25"/>
  <c r="G79" i="25"/>
  <c r="H79" i="25"/>
  <c r="D113" i="25"/>
  <c r="F113" i="25"/>
  <c r="G113" i="25"/>
  <c r="H113" i="25"/>
  <c r="D134" i="25"/>
  <c r="F134" i="25"/>
  <c r="G134" i="25"/>
  <c r="H134" i="25"/>
  <c r="D118" i="25"/>
  <c r="F118" i="25"/>
  <c r="G118" i="25"/>
  <c r="H118" i="25"/>
  <c r="D144" i="25"/>
  <c r="F144" i="25"/>
  <c r="G144" i="25"/>
  <c r="H144" i="25"/>
  <c r="D138" i="25"/>
  <c r="F138" i="25"/>
  <c r="G138" i="25"/>
  <c r="H138" i="25"/>
  <c r="D81" i="25"/>
  <c r="F81" i="25"/>
  <c r="G81" i="25"/>
  <c r="H81" i="25"/>
  <c r="D120" i="25"/>
  <c r="F120" i="25"/>
  <c r="G120" i="25"/>
  <c r="H120" i="25"/>
  <c r="D64" i="25"/>
  <c r="F64" i="25"/>
  <c r="G64" i="25"/>
  <c r="H64" i="25"/>
  <c r="D76" i="25"/>
  <c r="F76" i="25"/>
  <c r="G76" i="25"/>
  <c r="H76" i="25"/>
  <c r="D123" i="25"/>
  <c r="F123" i="25"/>
  <c r="G123" i="25"/>
  <c r="H123" i="25"/>
  <c r="D115" i="25"/>
  <c r="F115" i="25"/>
  <c r="G115" i="25"/>
  <c r="H115" i="25"/>
  <c r="D83" i="25"/>
  <c r="F83" i="25"/>
  <c r="G83" i="25"/>
  <c r="H83" i="25"/>
  <c r="D121" i="25"/>
  <c r="F121" i="25"/>
  <c r="G121" i="25"/>
  <c r="H121" i="25"/>
  <c r="D142" i="25"/>
  <c r="F142" i="25"/>
  <c r="G142" i="25"/>
  <c r="H142" i="25"/>
  <c r="D82" i="25"/>
  <c r="F82" i="25"/>
  <c r="G82" i="25"/>
  <c r="H82" i="25"/>
  <c r="D97" i="25"/>
  <c r="F97" i="25"/>
  <c r="G97" i="25"/>
  <c r="H97" i="25"/>
  <c r="D108" i="25"/>
  <c r="F108" i="25"/>
  <c r="G108" i="25"/>
  <c r="H108" i="25"/>
  <c r="D148" i="25"/>
  <c r="F148" i="25"/>
  <c r="G148" i="25"/>
  <c r="H148" i="25"/>
  <c r="D60" i="25"/>
  <c r="F60" i="25"/>
  <c r="G60" i="25"/>
  <c r="H60" i="25"/>
  <c r="D89" i="25"/>
  <c r="F89" i="25"/>
  <c r="G89" i="25"/>
  <c r="H89" i="25"/>
  <c r="D139" i="25"/>
  <c r="F139" i="25"/>
  <c r="G139" i="25"/>
  <c r="H139" i="25"/>
  <c r="D122" i="25"/>
  <c r="F122" i="25"/>
  <c r="G122" i="25"/>
  <c r="H122" i="25"/>
  <c r="D87" i="25"/>
  <c r="F87" i="25"/>
  <c r="G87" i="25"/>
  <c r="H87" i="25"/>
  <c r="D129" i="25"/>
  <c r="F129" i="25"/>
  <c r="G129" i="25"/>
  <c r="H129" i="25"/>
  <c r="D150" i="25"/>
  <c r="F150" i="25"/>
  <c r="G150" i="25"/>
  <c r="Z1117" i="25"/>
  <c r="D74" i="25"/>
  <c r="F74" i="25"/>
  <c r="G74" i="25"/>
  <c r="H74" i="25"/>
  <c r="S81" i="25"/>
  <c r="T81" i="25"/>
  <c r="U81" i="25"/>
  <c r="S106" i="25"/>
  <c r="T106" i="25"/>
  <c r="U106" i="25"/>
  <c r="S92" i="25"/>
  <c r="T92" i="25"/>
  <c r="U92" i="25"/>
  <c r="S83" i="25"/>
  <c r="T83" i="25"/>
  <c r="U83" i="25"/>
  <c r="S103" i="25"/>
  <c r="T103" i="25"/>
  <c r="U103" i="25"/>
  <c r="S108" i="25"/>
  <c r="T108" i="25"/>
  <c r="U108" i="25"/>
  <c r="D63" i="25"/>
  <c r="F63" i="25"/>
  <c r="G63" i="25"/>
  <c r="H63" i="25"/>
  <c r="D75" i="25"/>
  <c r="F75" i="25"/>
  <c r="G75" i="25"/>
  <c r="H75" i="25"/>
  <c r="D84" i="25"/>
  <c r="F84" i="25"/>
  <c r="G84" i="25"/>
  <c r="Z1051" i="25"/>
  <c r="H131" i="25"/>
  <c r="Z1098" i="25"/>
  <c r="H149" i="25"/>
  <c r="S68" i="25"/>
  <c r="T68" i="25"/>
  <c r="U68" i="25"/>
  <c r="S69" i="25"/>
  <c r="T69" i="25"/>
  <c r="U69" i="25"/>
  <c r="S86" i="25"/>
  <c r="T86" i="25"/>
  <c r="U86" i="25"/>
  <c r="S99" i="25"/>
  <c r="T99" i="25"/>
  <c r="U99" i="25"/>
  <c r="S96" i="25"/>
  <c r="T96" i="25"/>
  <c r="U96" i="25"/>
  <c r="S111" i="25"/>
  <c r="T111" i="25"/>
  <c r="U111" i="25"/>
  <c r="S58" i="25"/>
  <c r="T58" i="25"/>
  <c r="U58" i="25"/>
  <c r="S117" i="25"/>
  <c r="T117" i="25"/>
  <c r="U117" i="25"/>
  <c r="S109" i="25"/>
  <c r="T109" i="25"/>
  <c r="U109" i="25"/>
  <c r="S118" i="25"/>
  <c r="T118" i="25"/>
  <c r="U118" i="25"/>
  <c r="S113" i="25"/>
  <c r="T113" i="25"/>
  <c r="U113" i="25"/>
  <c r="S116" i="25"/>
  <c r="T116" i="25"/>
  <c r="U116" i="25"/>
  <c r="S110" i="25"/>
  <c r="T110" i="25"/>
  <c r="U110" i="25"/>
  <c r="S112" i="25"/>
  <c r="T112" i="25"/>
  <c r="U112" i="25"/>
  <c r="S114" i="25"/>
  <c r="T114" i="25"/>
  <c r="U114" i="25"/>
  <c r="S115" i="25"/>
  <c r="T115" i="25"/>
  <c r="U115" i="25"/>
  <c r="S67" i="25"/>
  <c r="T67" i="25"/>
  <c r="U67" i="25"/>
  <c r="S72" i="25"/>
  <c r="T72" i="25"/>
  <c r="U72" i="25"/>
  <c r="S87" i="25"/>
  <c r="T87" i="25"/>
  <c r="U87" i="25"/>
  <c r="S102" i="25"/>
  <c r="T102" i="25"/>
  <c r="U102" i="25"/>
  <c r="S80" i="25"/>
  <c r="T80" i="25"/>
  <c r="U80" i="25"/>
  <c r="S64" i="25"/>
  <c r="T64" i="25"/>
  <c r="U64" i="25"/>
  <c r="S97" i="25"/>
  <c r="T97" i="25"/>
  <c r="U97" i="25"/>
  <c r="D86" i="25"/>
  <c r="F86" i="25"/>
  <c r="G86" i="25"/>
  <c r="D68" i="25"/>
  <c r="F68" i="25"/>
  <c r="G68" i="25"/>
  <c r="Z1035" i="25"/>
  <c r="S70" i="25"/>
  <c r="T70" i="25"/>
  <c r="U70" i="25"/>
  <c r="D137" i="25"/>
  <c r="F137" i="25"/>
  <c r="G137" i="25"/>
  <c r="S89" i="25"/>
  <c r="T89" i="25"/>
  <c r="U89" i="25"/>
  <c r="S66" i="25"/>
  <c r="T66" i="25"/>
  <c r="U66" i="25"/>
  <c r="S62" i="25"/>
  <c r="T62" i="25"/>
  <c r="U62" i="25"/>
  <c r="D88" i="25"/>
  <c r="F88" i="25"/>
  <c r="G88" i="25"/>
  <c r="D80" i="25"/>
  <c r="F80" i="25"/>
  <c r="G80" i="25"/>
  <c r="D96" i="25"/>
  <c r="F96" i="25"/>
  <c r="G96" i="25"/>
  <c r="D111" i="25"/>
  <c r="F111" i="25"/>
  <c r="G111" i="25"/>
  <c r="D61" i="25"/>
  <c r="F61" i="25"/>
  <c r="G61" i="25"/>
  <c r="H61" i="25"/>
  <c r="D104" i="25"/>
  <c r="F104" i="25"/>
  <c r="G104" i="25"/>
  <c r="D59" i="25"/>
  <c r="F59" i="25"/>
  <c r="G59" i="25"/>
  <c r="H59" i="25"/>
  <c r="D85" i="25"/>
  <c r="F85" i="25"/>
  <c r="G85" i="25"/>
  <c r="D58" i="25"/>
  <c r="F58" i="25"/>
  <c r="G58" i="25"/>
  <c r="H58" i="25"/>
  <c r="D73" i="25"/>
  <c r="F73" i="25"/>
  <c r="G73" i="25"/>
  <c r="D69" i="25"/>
  <c r="F69" i="25"/>
  <c r="G69" i="25"/>
  <c r="D71" i="25"/>
  <c r="F71" i="25"/>
  <c r="G71" i="25"/>
  <c r="D67" i="25"/>
  <c r="F67" i="25"/>
  <c r="G67" i="25"/>
  <c r="H67" i="25"/>
  <c r="D78" i="25"/>
  <c r="F78" i="25"/>
  <c r="G78" i="25"/>
  <c r="D116" i="25"/>
  <c r="F116" i="25"/>
  <c r="G116" i="25"/>
  <c r="D112" i="25"/>
  <c r="F112" i="25"/>
  <c r="G112" i="25"/>
  <c r="Z87" i="24"/>
  <c r="Z261" i="24"/>
  <c r="Z412" i="24"/>
  <c r="Z500" i="24"/>
  <c r="Z565" i="24"/>
  <c r="Z173" i="24"/>
  <c r="Z342" i="24"/>
  <c r="Z426" i="24"/>
  <c r="Z362" i="24"/>
  <c r="Z298" i="24"/>
  <c r="Z234" i="24"/>
  <c r="Z170" i="24"/>
  <c r="Z106" i="24"/>
  <c r="Z473" i="24"/>
  <c r="Z409" i="24"/>
  <c r="Z345" i="24"/>
  <c r="Z281" i="24"/>
  <c r="Z217" i="24"/>
  <c r="Z153" i="24"/>
  <c r="Z89" i="24"/>
  <c r="Z424" i="24"/>
  <c r="Z360" i="24"/>
  <c r="Z459" i="24"/>
  <c r="Z532" i="24"/>
  <c r="Z39" i="24"/>
  <c r="Z28" i="24"/>
  <c r="Z58" i="24"/>
  <c r="Z78" i="24"/>
  <c r="Z69" i="24"/>
  <c r="Z60" i="24"/>
  <c r="Z232" i="24"/>
  <c r="Z104" i="24"/>
  <c r="Z41" i="24"/>
  <c r="Z63" i="24"/>
  <c r="Z42" i="24"/>
  <c r="Z70" i="24"/>
  <c r="Z292" i="24"/>
  <c r="Z228" i="24"/>
  <c r="Z164" i="24"/>
  <c r="Z100" i="24"/>
  <c r="Z371" i="24"/>
  <c r="Z307" i="24"/>
  <c r="Z243" i="24"/>
  <c r="Z179" i="24"/>
  <c r="Z115" i="24"/>
  <c r="Z66" i="24"/>
  <c r="Z62" i="24"/>
  <c r="Z214" i="24"/>
  <c r="Z548" i="24"/>
  <c r="Z437" i="24"/>
  <c r="Z346" i="24"/>
  <c r="Z154" i="24"/>
  <c r="Z408" i="24"/>
  <c r="Z216" i="24"/>
  <c r="Z88" i="24"/>
  <c r="Z286" i="24"/>
  <c r="Z575" i="24"/>
  <c r="Z476" i="24"/>
  <c r="Z270" i="24"/>
  <c r="Z390" i="24"/>
  <c r="Z277" i="24"/>
  <c r="Z531" i="24"/>
  <c r="Z47" i="24"/>
  <c r="Z53" i="24"/>
  <c r="Z375" i="24"/>
  <c r="Z302" i="24"/>
  <c r="Z410" i="24"/>
  <c r="Z218" i="24"/>
  <c r="Z457" i="24"/>
  <c r="Z472" i="24"/>
  <c r="Z344" i="24"/>
  <c r="Z152" i="24"/>
  <c r="Z428" i="24"/>
  <c r="Z340" i="24"/>
  <c r="Z276" i="24"/>
  <c r="Z212" i="24"/>
  <c r="Z148" i="24"/>
  <c r="Z84" i="24"/>
  <c r="Z355" i="24"/>
  <c r="Z291" i="24"/>
  <c r="Z227" i="24"/>
  <c r="Z163" i="24"/>
  <c r="Z99" i="24"/>
  <c r="Z71" i="24"/>
  <c r="Z111" i="24"/>
  <c r="Z285" i="24"/>
  <c r="Z405" i="24"/>
  <c r="Z296" i="24"/>
  <c r="Z72" i="24"/>
  <c r="Z44" i="24"/>
  <c r="Z479" i="24"/>
  <c r="Z133" i="24"/>
  <c r="Z517" i="24"/>
  <c r="Z282" i="24"/>
  <c r="Z90" i="24"/>
  <c r="Z280" i="24"/>
  <c r="Z57" i="24"/>
  <c r="Z117" i="24"/>
  <c r="Z511" i="24"/>
  <c r="Z31" i="24"/>
  <c r="Z36" i="24"/>
  <c r="Z34" i="24"/>
  <c r="Z75" i="24"/>
  <c r="Z56" i="24"/>
  <c r="Z46" i="24"/>
  <c r="Z37" i="24"/>
  <c r="Z86" i="24"/>
  <c r="Z255" i="24"/>
  <c r="Z407" i="24"/>
  <c r="Z499" i="24"/>
  <c r="Z564" i="24"/>
  <c r="Z174" i="24"/>
  <c r="Z343" i="24"/>
  <c r="Z460" i="24"/>
  <c r="Z533" i="24"/>
  <c r="Z394" i="24"/>
  <c r="Z330" i="24"/>
  <c r="Z266" i="24"/>
  <c r="Z202" i="24"/>
  <c r="Z138" i="24"/>
  <c r="Z505" i="24"/>
  <c r="Z441" i="24"/>
  <c r="Z377" i="24"/>
  <c r="Z313" i="24"/>
  <c r="Z249" i="24"/>
  <c r="Z185" i="24"/>
  <c r="Z121" i="24"/>
  <c r="Z456" i="24"/>
  <c r="Z392" i="24"/>
  <c r="Z328" i="24"/>
  <c r="Z264" i="24"/>
  <c r="Z200" i="24"/>
  <c r="Z136" i="24"/>
  <c r="Z196" i="24"/>
  <c r="Z132" i="24"/>
  <c r="Z275" i="24"/>
  <c r="Z211" i="24"/>
  <c r="Z147" i="24"/>
  <c r="Z83" i="24"/>
  <c r="Z420" i="24"/>
  <c r="Z59" i="24"/>
  <c r="Z260" i="24"/>
  <c r="Z403" i="24"/>
  <c r="Z49" i="24"/>
  <c r="Z40" i="24"/>
  <c r="Z30" i="24"/>
  <c r="Z76" i="24"/>
  <c r="Z127" i="24"/>
  <c r="Z301" i="24"/>
  <c r="Z436" i="24"/>
  <c r="Z516" i="24"/>
  <c r="Z215" i="24"/>
  <c r="Z380" i="24"/>
  <c r="Z482" i="24"/>
  <c r="Z549" i="24"/>
  <c r="Z168" i="24"/>
  <c r="Z65" i="24"/>
  <c r="Z48" i="24"/>
  <c r="Z324" i="24"/>
  <c r="Z339" i="24"/>
  <c r="Z43" i="24"/>
  <c r="Z77" i="24"/>
  <c r="Z51" i="24"/>
  <c r="Z93" i="24"/>
  <c r="Z467" i="24"/>
  <c r="Z406" i="24"/>
  <c r="Z545" i="24"/>
  <c r="Z478" i="24"/>
  <c r="Z389" i="24"/>
  <c r="Z427" i="24"/>
  <c r="Z510" i="24"/>
  <c r="Z574" i="24"/>
  <c r="Z317" i="24"/>
  <c r="Z563" i="24"/>
  <c r="Z446" i="24"/>
  <c r="Z125" i="24"/>
  <c r="Z142" i="24"/>
  <c r="Z206" i="24"/>
  <c r="Z504" i="24"/>
  <c r="Z547" i="24"/>
  <c r="Z166" i="24"/>
  <c r="Z507" i="24"/>
  <c r="Z341" i="24"/>
  <c r="Z50" i="24"/>
  <c r="Z64" i="24"/>
  <c r="Z54" i="24"/>
  <c r="Z45" i="24"/>
  <c r="Z237" i="24"/>
  <c r="Z391" i="24"/>
  <c r="Z490" i="24"/>
  <c r="Z556" i="24"/>
  <c r="Z110" i="24"/>
  <c r="Z279" i="24"/>
  <c r="Z423" i="24"/>
  <c r="Z509" i="24"/>
  <c r="Z573" i="24"/>
  <c r="Z316" i="24"/>
  <c r="Z252" i="24"/>
  <c r="Z188" i="24"/>
  <c r="Z124" i="24"/>
  <c r="Z395" i="24"/>
  <c r="Z331" i="24"/>
  <c r="Z267" i="24"/>
  <c r="Z203" i="24"/>
  <c r="Z139" i="24"/>
  <c r="Z386" i="24"/>
  <c r="Z322" i="24"/>
  <c r="Z258" i="24"/>
  <c r="Z194" i="24"/>
  <c r="Z130" i="24"/>
  <c r="Z497" i="24"/>
  <c r="Z433" i="24"/>
  <c r="Z369" i="24"/>
  <c r="Z305" i="24"/>
  <c r="Z241" i="24"/>
  <c r="Z177" i="24"/>
  <c r="Z113" i="24"/>
  <c r="Z448" i="24"/>
  <c r="Z384" i="24"/>
  <c r="Z320" i="24"/>
  <c r="Z256" i="24"/>
  <c r="Z192" i="24"/>
  <c r="Z128" i="24"/>
  <c r="Z55" i="24"/>
  <c r="Z454" i="24"/>
  <c r="Z498" i="24"/>
  <c r="Z81" i="24"/>
  <c r="Z308" i="24"/>
  <c r="Z244" i="24"/>
  <c r="Z180" i="24"/>
  <c r="Z116" i="24"/>
  <c r="Z387" i="24"/>
  <c r="Z323" i="24"/>
  <c r="Z259" i="24"/>
  <c r="Z195" i="24"/>
  <c r="Z131" i="24"/>
  <c r="Z442" i="24"/>
  <c r="Z378" i="24"/>
  <c r="Z314" i="24"/>
  <c r="Z250" i="24"/>
  <c r="Z186" i="24"/>
  <c r="Z122" i="24"/>
  <c r="Z489" i="24"/>
  <c r="Z425" i="24"/>
  <c r="Z361" i="24"/>
  <c r="Z297" i="24"/>
  <c r="Z233" i="24"/>
  <c r="Z169" i="24"/>
  <c r="Z105" i="24"/>
  <c r="Z458" i="24"/>
  <c r="Z38" i="24"/>
  <c r="Z109" i="24"/>
  <c r="Z278" i="24"/>
  <c r="Z422" i="24"/>
  <c r="Z508" i="24"/>
  <c r="Z572" i="24"/>
  <c r="Z151" i="24"/>
  <c r="Z325" i="24"/>
  <c r="Z450" i="24"/>
  <c r="Z525" i="24"/>
  <c r="Z300" i="24"/>
  <c r="Z236" i="24"/>
  <c r="Z172" i="24"/>
  <c r="Z108" i="24"/>
  <c r="Z379" i="24"/>
  <c r="Z315" i="24"/>
  <c r="Z251" i="24"/>
  <c r="Z187" i="24"/>
  <c r="Z123" i="24"/>
  <c r="Z434" i="24"/>
  <c r="Z370" i="24"/>
  <c r="Z306" i="24"/>
  <c r="Z242" i="24"/>
  <c r="Z178" i="24"/>
  <c r="Z114" i="24"/>
  <c r="Z481" i="24"/>
  <c r="Z432" i="24"/>
  <c r="Z368" i="24"/>
  <c r="Z304" i="24"/>
  <c r="Z240" i="24"/>
  <c r="Z176" i="24"/>
  <c r="Z112" i="24"/>
  <c r="Z246" i="24"/>
  <c r="Z399" i="24"/>
  <c r="Z494" i="24"/>
  <c r="Z560" i="24"/>
  <c r="Z189" i="24"/>
  <c r="Z198" i="24"/>
  <c r="Z365" i="24"/>
  <c r="Z542" i="24"/>
  <c r="Z199" i="24"/>
  <c r="Z366" i="24"/>
  <c r="Z474" i="24"/>
  <c r="Z543" i="24"/>
  <c r="Z95" i="24"/>
  <c r="Z415" i="24"/>
  <c r="Z503" i="24"/>
  <c r="Z568" i="24"/>
  <c r="Z357" i="24"/>
  <c r="Z356" i="24"/>
  <c r="Z506" i="24"/>
  <c r="Z404" i="24"/>
  <c r="Z471" i="24"/>
  <c r="Z269" i="24"/>
  <c r="Z33" i="24"/>
  <c r="Z74" i="24"/>
  <c r="Z32" i="24"/>
  <c r="Z68" i="24"/>
  <c r="Z150" i="24"/>
  <c r="Z319" i="24"/>
  <c r="Z447" i="24"/>
  <c r="Z524" i="24"/>
  <c r="Z197" i="24"/>
  <c r="Z364" i="24"/>
  <c r="Z470" i="24"/>
  <c r="Z541" i="24"/>
  <c r="Z348" i="24"/>
  <c r="Z284" i="24"/>
  <c r="Z220" i="24"/>
  <c r="Z156" i="24"/>
  <c r="Z92" i="24"/>
  <c r="Z363" i="24"/>
  <c r="Z299" i="24"/>
  <c r="Z235" i="24"/>
  <c r="Z171" i="24"/>
  <c r="Z107" i="24"/>
  <c r="Z418" i="24"/>
  <c r="Z354" i="24"/>
  <c r="Z290" i="24"/>
  <c r="Z226" i="24"/>
  <c r="Z162" i="24"/>
  <c r="Z98" i="24"/>
  <c r="Z465" i="24"/>
  <c r="Z401" i="24"/>
  <c r="Z337" i="24"/>
  <c r="Z273" i="24"/>
  <c r="Z209" i="24"/>
  <c r="Z145" i="24"/>
  <c r="Z221" i="24"/>
  <c r="Z381" i="24"/>
  <c r="Z483" i="24"/>
  <c r="Z550" i="24"/>
  <c r="Z222" i="24"/>
  <c r="Z382" i="24"/>
  <c r="Z484" i="24"/>
  <c r="Z551" i="24"/>
  <c r="Z118" i="24"/>
  <c r="Z287" i="24"/>
  <c r="Z429" i="24"/>
  <c r="Z512" i="24"/>
  <c r="Z576" i="24"/>
  <c r="Z318" i="24"/>
  <c r="Z495" i="24"/>
  <c r="Z335" i="24"/>
  <c r="Z522" i="24"/>
  <c r="Z239" i="24"/>
  <c r="Z397" i="24"/>
  <c r="Z492" i="24"/>
  <c r="Z558" i="24"/>
  <c r="Z245" i="24"/>
  <c r="Z398" i="24"/>
  <c r="Z493" i="24"/>
  <c r="Z559" i="24"/>
  <c r="Z373" i="24"/>
  <c r="Z190" i="24"/>
  <c r="Z421" i="24"/>
  <c r="Z435" i="24"/>
  <c r="Z431" i="24"/>
  <c r="Z515" i="24"/>
  <c r="Z477" i="24"/>
  <c r="Z61" i="24"/>
  <c r="Z52" i="24"/>
  <c r="Z191" i="24"/>
  <c r="Z359" i="24"/>
  <c r="Z469" i="24"/>
  <c r="Z540" i="24"/>
  <c r="Z238" i="24"/>
  <c r="Z396" i="24"/>
  <c r="Z491" i="24"/>
  <c r="Z557" i="24"/>
  <c r="Z332" i="24"/>
  <c r="Z268" i="24"/>
  <c r="Z204" i="24"/>
  <c r="Z140" i="24"/>
  <c r="Z411" i="24"/>
  <c r="Z347" i="24"/>
  <c r="Z283" i="24"/>
  <c r="Z219" i="24"/>
  <c r="Z155" i="24"/>
  <c r="Z91" i="24"/>
  <c r="Z402" i="24"/>
  <c r="Z338" i="24"/>
  <c r="Z274" i="24"/>
  <c r="Z210" i="24"/>
  <c r="Z146" i="24"/>
  <c r="Z82" i="24"/>
  <c r="Z449" i="24"/>
  <c r="Z385" i="24"/>
  <c r="Z321" i="24"/>
  <c r="Z257" i="24"/>
  <c r="Z193" i="24"/>
  <c r="Z129" i="24"/>
  <c r="Z464" i="24"/>
  <c r="Z400" i="24"/>
  <c r="Z336" i="24"/>
  <c r="Z272" i="24"/>
  <c r="Z208" i="24"/>
  <c r="Z144" i="24"/>
  <c r="Z67" i="24"/>
  <c r="Z159" i="24"/>
  <c r="Z333" i="24"/>
  <c r="Z453" i="24"/>
  <c r="Z528" i="24"/>
  <c r="Z213" i="24"/>
  <c r="Z293" i="24"/>
  <c r="Z488" i="24"/>
  <c r="Z513" i="24"/>
  <c r="Z229" i="24"/>
  <c r="Z417" i="24"/>
  <c r="Z353" i="24"/>
  <c r="Z289" i="24"/>
  <c r="Z225" i="24"/>
  <c r="Z161" i="24"/>
  <c r="Z97" i="24"/>
  <c r="Z440" i="24"/>
  <c r="Z376" i="24"/>
  <c r="Z312" i="24"/>
  <c r="Z248" i="24"/>
  <c r="Z184" i="24"/>
  <c r="Z120" i="24"/>
  <c r="Z262" i="24"/>
  <c r="Z413" i="24"/>
  <c r="Z501" i="24"/>
  <c r="Z566" i="24"/>
  <c r="Z94" i="24"/>
  <c r="Z263" i="24"/>
  <c r="Z414" i="24"/>
  <c r="Z502" i="24"/>
  <c r="Z567" i="24"/>
  <c r="Z141" i="24"/>
  <c r="Z310" i="24"/>
  <c r="Z443" i="24"/>
  <c r="Z520" i="24"/>
  <c r="Z102" i="24"/>
  <c r="Z529" i="24"/>
  <c r="Z538" i="24"/>
  <c r="Z445" i="24"/>
  <c r="Z388" i="24"/>
  <c r="Z430" i="24"/>
  <c r="Z561" i="24"/>
  <c r="Z569" i="24"/>
  <c r="Z466" i="24"/>
  <c r="Z253" i="24"/>
  <c r="Z523" i="24"/>
  <c r="Z455" i="24"/>
  <c r="Z134" i="24"/>
  <c r="Z303" i="24"/>
  <c r="Z438" i="24"/>
  <c r="Z518" i="24"/>
  <c r="Z80" i="24"/>
  <c r="Z79" i="24"/>
  <c r="Z135" i="24"/>
  <c r="Z309" i="24"/>
  <c r="Z439" i="24"/>
  <c r="Z519" i="24"/>
  <c r="Z182" i="24"/>
  <c r="Z351" i="24"/>
  <c r="Z463" i="24"/>
  <c r="Z536" i="24"/>
  <c r="Z101" i="24"/>
  <c r="Z271" i="24"/>
  <c r="Z570" i="24"/>
  <c r="Z530" i="24"/>
  <c r="Z311" i="24"/>
  <c r="Z419" i="24"/>
  <c r="Z119" i="24"/>
  <c r="Z554" i="24"/>
  <c r="Z444" i="24"/>
  <c r="Z183" i="24"/>
  <c r="Z514" i="24"/>
  <c r="Z126" i="24"/>
  <c r="Z496" i="24"/>
  <c r="Z358" i="24"/>
  <c r="Z165" i="24"/>
  <c r="Z393" i="24"/>
  <c r="Z329" i="24"/>
  <c r="Z265" i="24"/>
  <c r="Z201" i="24"/>
  <c r="Z137" i="24"/>
  <c r="Z480" i="24"/>
  <c r="Z416" i="24"/>
  <c r="Z352" i="24"/>
  <c r="Z288" i="24"/>
  <c r="Z224" i="24"/>
  <c r="Z160" i="24"/>
  <c r="Z96" i="24"/>
  <c r="Z35" i="24"/>
  <c r="Z73" i="24"/>
  <c r="Z157" i="24"/>
  <c r="Z326" i="24"/>
  <c r="Z451" i="24"/>
  <c r="Z526" i="24"/>
  <c r="Z158" i="24"/>
  <c r="Z327" i="24"/>
  <c r="Z452" i="24"/>
  <c r="Z527" i="24"/>
  <c r="Z205" i="24"/>
  <c r="Z367" i="24"/>
  <c r="Z475" i="24"/>
  <c r="Z544" i="24"/>
  <c r="Z149" i="24"/>
  <c r="Z334" i="24"/>
  <c r="Z553" i="24"/>
  <c r="Z468" i="24"/>
  <c r="Z546" i="24"/>
  <c r="Z167" i="24"/>
  <c r="Z577" i="24"/>
  <c r="Z539" i="24"/>
  <c r="Z231" i="24"/>
  <c r="Z537" i="24"/>
  <c r="Z247" i="24"/>
  <c r="Z85" i="24"/>
  <c r="Z562" i="24"/>
  <c r="Z486" i="24"/>
  <c r="Z175" i="24"/>
  <c r="Z349" i="24"/>
  <c r="Z461" i="24"/>
  <c r="Z534" i="24"/>
  <c r="Z181" i="24"/>
  <c r="Z350" i="24"/>
  <c r="Z462" i="24"/>
  <c r="Z535" i="24"/>
  <c r="Z223" i="24"/>
  <c r="Z383" i="24"/>
  <c r="Z485" i="24"/>
  <c r="Z552" i="24"/>
  <c r="Z207" i="24"/>
  <c r="Z374" i="24"/>
  <c r="Z571" i="24"/>
  <c r="Z521" i="24"/>
  <c r="Z103" i="24"/>
  <c r="Z230" i="24"/>
  <c r="Z143" i="24"/>
  <c r="Z294" i="24"/>
  <c r="Z555" i="24"/>
  <c r="Z295" i="24"/>
  <c r="Z372" i="24"/>
  <c r="Z254" i="24"/>
  <c r="Z487" i="24"/>
  <c r="D582" i="7"/>
  <c r="D583" i="7"/>
  <c r="D584" i="7"/>
  <c r="D585" i="7"/>
  <c r="A582" i="7"/>
  <c r="A583" i="7"/>
  <c r="A584" i="7"/>
  <c r="A585" i="7"/>
  <c r="H125" i="25"/>
  <c r="Z1105" i="25"/>
  <c r="Z1060" i="25"/>
  <c r="H150" i="25"/>
  <c r="H109" i="25"/>
  <c r="Z1094" i="25"/>
  <c r="Z1043" i="25"/>
  <c r="Z1099" i="25"/>
  <c r="Z1080" i="25"/>
  <c r="Z1081" i="25"/>
  <c r="Z1088" i="25"/>
  <c r="H106" i="25"/>
  <c r="Z1072" i="25"/>
  <c r="H124" i="25"/>
  <c r="Z1037" i="25"/>
  <c r="Z1074" i="25"/>
  <c r="Z1049" i="25"/>
  <c r="Z1065" i="25"/>
  <c r="Z1087" i="25"/>
  <c r="Z1069" i="25"/>
  <c r="Z1100" i="25"/>
  <c r="Z1068" i="25"/>
  <c r="Z1054" i="25"/>
  <c r="Z1118" i="25"/>
  <c r="Z1086" i="25"/>
  <c r="Z1093" i="25"/>
  <c r="Z1103" i="25"/>
  <c r="Z1042" i="25"/>
  <c r="Z1109" i="25"/>
  <c r="H92" i="25"/>
  <c r="Z1113" i="25"/>
  <c r="Z1046" i="25"/>
  <c r="Z1064" i="25"/>
  <c r="Z1114" i="25"/>
  <c r="Z1077" i="25"/>
  <c r="Z1048" i="25"/>
  <c r="Z1066" i="25"/>
  <c r="Z1084" i="25"/>
  <c r="Z1089" i="25"/>
  <c r="Z1061" i="25"/>
  <c r="Z1062" i="25"/>
  <c r="H90" i="25"/>
  <c r="Z1102" i="25"/>
  <c r="H100" i="25"/>
  <c r="Z1044" i="25"/>
  <c r="Z1111" i="25"/>
  <c r="Z1115" i="25"/>
  <c r="Z1039" i="25"/>
  <c r="Z1056" i="25"/>
  <c r="Z1106" i="25"/>
  <c r="Z1058" i="25"/>
  <c r="Z1097" i="25"/>
  <c r="Z1108" i="25"/>
  <c r="Z1050" i="25"/>
  <c r="Z1101" i="25"/>
  <c r="Z1090" i="25"/>
  <c r="Z1041" i="25"/>
  <c r="Z1110" i="25"/>
  <c r="Z1070" i="25"/>
  <c r="Z1095" i="25"/>
  <c r="Z1107" i="25"/>
  <c r="Z1085" i="25"/>
  <c r="Z1075" i="25"/>
  <c r="Z1082" i="25"/>
  <c r="Z1112" i="25"/>
  <c r="Z1096" i="25"/>
  <c r="H84" i="25"/>
  <c r="H80" i="25"/>
  <c r="Z1047" i="25"/>
  <c r="H112" i="25"/>
  <c r="Z1079" i="25"/>
  <c r="H85" i="25"/>
  <c r="Z1052" i="25"/>
  <c r="H78" i="25"/>
  <c r="Z1045" i="25"/>
  <c r="H86" i="25"/>
  <c r="Z1053" i="25"/>
  <c r="H104" i="25"/>
  <c r="Z1071" i="25"/>
  <c r="H73" i="25"/>
  <c r="Z1040" i="25"/>
  <c r="H116" i="25"/>
  <c r="Z1083" i="25"/>
  <c r="H137" i="25"/>
  <c r="Z1104" i="25"/>
  <c r="H111" i="25"/>
  <c r="Z1078" i="25"/>
  <c r="H71" i="25"/>
  <c r="Z1038" i="25"/>
  <c r="H69" i="25"/>
  <c r="Z1036" i="25"/>
  <c r="H96" i="25"/>
  <c r="Z1063" i="25"/>
  <c r="H68" i="25"/>
  <c r="Z30" i="25"/>
  <c r="H88" i="25"/>
  <c r="Z1055" i="25"/>
  <c r="Z83" i="25"/>
  <c r="Z53" i="25"/>
  <c r="Z75" i="25"/>
  <c r="Z67" i="25"/>
  <c r="Z74" i="25"/>
  <c r="Z80" i="25"/>
  <c r="Z38" i="25"/>
  <c r="Z39" i="25"/>
  <c r="Z37" i="25"/>
  <c r="Z69" i="25"/>
  <c r="Z82" i="25"/>
  <c r="Z68" i="25"/>
  <c r="Z66" i="25"/>
  <c r="Z33" i="25"/>
  <c r="Z48" i="25"/>
  <c r="Z35" i="25"/>
  <c r="Z41" i="25"/>
  <c r="Z79" i="25"/>
  <c r="Z78" i="25"/>
  <c r="Z55" i="25"/>
  <c r="Z46" i="25"/>
  <c r="Z49" i="25"/>
  <c r="Z34" i="25"/>
  <c r="Z84" i="25"/>
  <c r="Z36" i="25"/>
  <c r="Z43" i="25"/>
  <c r="Z24" i="25"/>
  <c r="Z32" i="25"/>
  <c r="Z42" i="25"/>
  <c r="Z81" i="25"/>
  <c r="Z57" i="25"/>
  <c r="Z59" i="25"/>
  <c r="Z71" i="25"/>
  <c r="Z29" i="25"/>
  <c r="Z56" i="25"/>
  <c r="Z64" i="25"/>
  <c r="Z70" i="25"/>
  <c r="Z63" i="25"/>
  <c r="Z50" i="25"/>
  <c r="Z60" i="25"/>
  <c r="Z51" i="25"/>
  <c r="Z47" i="25"/>
  <c r="Z27" i="25"/>
  <c r="Z58" i="25"/>
  <c r="Z31" i="25"/>
  <c r="Z40" i="25"/>
  <c r="Z44" i="25"/>
  <c r="Z54" i="25"/>
  <c r="Z61" i="25"/>
  <c r="Z62" i="25"/>
  <c r="Z72" i="25"/>
  <c r="Z538" i="25"/>
  <c r="Z96" i="25"/>
  <c r="Z577" i="25"/>
  <c r="Z503" i="25"/>
  <c r="Z145" i="25"/>
  <c r="Z294" i="25"/>
  <c r="Z243" i="25"/>
  <c r="Z512" i="25"/>
  <c r="Z231" i="25"/>
  <c r="Z160" i="25"/>
  <c r="Z364" i="25"/>
  <c r="Z158" i="25"/>
  <c r="Z104" i="25"/>
  <c r="Z287" i="25"/>
  <c r="Z589" i="25"/>
  <c r="Z583" i="25"/>
  <c r="Z376" i="25"/>
  <c r="Z483" i="25"/>
  <c r="Z899" i="25"/>
  <c r="Z907" i="25"/>
  <c r="Z863" i="25"/>
  <c r="Z859" i="25"/>
  <c r="Z618" i="25"/>
  <c r="Z154" i="25"/>
  <c r="Z497" i="25"/>
  <c r="Z439" i="25"/>
  <c r="Z462" i="25"/>
  <c r="Z466" i="25"/>
  <c r="Z961" i="25"/>
  <c r="Z825" i="25"/>
  <c r="Z917" i="25"/>
  <c r="Z448" i="25"/>
  <c r="Z419" i="25"/>
  <c r="Z247" i="25"/>
  <c r="Z519" i="25"/>
  <c r="Z454" i="25"/>
  <c r="Z403" i="25"/>
  <c r="Z394" i="25"/>
  <c r="Z874" i="25"/>
  <c r="Z882" i="25"/>
  <c r="Z845" i="25"/>
  <c r="Z841" i="25"/>
  <c r="Z137" i="25"/>
  <c r="Z555" i="25"/>
  <c r="Z361" i="25"/>
  <c r="Z252" i="25"/>
  <c r="Z382" i="25"/>
  <c r="Z139" i="25"/>
  <c r="Z861" i="25"/>
  <c r="Z870" i="25"/>
  <c r="Z836" i="25"/>
  <c r="Z831" i="25"/>
  <c r="Z163" i="25"/>
  <c r="Z571" i="25"/>
  <c r="Z375" i="25"/>
  <c r="Z316" i="25"/>
  <c r="Z374" i="25"/>
  <c r="Z323" i="25"/>
  <c r="Z314" i="25"/>
  <c r="Z709" i="25"/>
  <c r="Z725" i="25"/>
  <c r="Z750" i="25"/>
  <c r="Z743" i="25"/>
  <c r="Z745" i="25"/>
  <c r="Z933" i="25"/>
  <c r="Z514" i="25"/>
  <c r="Z525" i="25"/>
  <c r="Z237" i="25"/>
  <c r="Z440" i="25"/>
  <c r="Z107" i="25"/>
  <c r="Z562" i="25"/>
  <c r="Z889" i="25"/>
  <c r="Z828" i="25"/>
  <c r="Z807" i="25"/>
  <c r="Z731" i="25"/>
  <c r="Z103" i="25"/>
  <c r="Z922" i="25"/>
  <c r="Z905" i="25"/>
  <c r="Z805" i="25"/>
  <c r="Z636" i="25"/>
  <c r="Z856" i="25"/>
  <c r="Z988" i="25"/>
  <c r="Z405" i="25"/>
  <c r="Z357" i="25"/>
  <c r="Z284" i="25"/>
  <c r="Z338" i="25"/>
  <c r="Z396" i="25"/>
  <c r="Z88" i="25"/>
  <c r="Z365" i="25"/>
  <c r="Z548" i="25"/>
  <c r="Z499" i="25"/>
  <c r="Z109" i="25"/>
  <c r="Z541" i="25"/>
  <c r="Z311" i="25"/>
  <c r="Z567" i="25"/>
  <c r="Z414" i="25"/>
  <c r="Z363" i="25"/>
  <c r="Z305" i="25"/>
  <c r="Z584" i="25"/>
  <c r="Z221" i="25"/>
  <c r="Z493" i="25"/>
  <c r="Z406" i="25"/>
  <c r="Z282" i="25"/>
  <c r="Z707" i="25"/>
  <c r="Z694" i="25"/>
  <c r="Z860" i="25"/>
  <c r="Z684" i="25"/>
  <c r="Z194" i="25"/>
  <c r="Z444" i="25"/>
  <c r="Z100" i="25"/>
  <c r="Z288" i="25"/>
  <c r="Z806" i="25"/>
  <c r="Z834" i="25"/>
  <c r="Z770" i="25"/>
  <c r="Z920" i="25"/>
  <c r="Z916" i="25"/>
  <c r="Z319" i="25"/>
  <c r="Z114" i="25"/>
  <c r="Z91" i="25"/>
  <c r="Z300" i="25"/>
  <c r="Z198" i="25"/>
  <c r="Z147" i="25"/>
  <c r="Z138" i="25"/>
  <c r="Z654" i="25"/>
  <c r="Z645" i="25"/>
  <c r="Z842" i="25"/>
  <c r="Z668" i="25"/>
  <c r="Z343" i="25"/>
  <c r="Z409" i="25"/>
  <c r="Z212" i="25"/>
  <c r="Z415" i="25"/>
  <c r="Z395" i="25"/>
  <c r="Z322" i="25"/>
  <c r="Z629" i="25"/>
  <c r="Z621" i="25"/>
  <c r="Z833" i="25"/>
  <c r="Z660" i="25"/>
  <c r="Z383" i="25"/>
  <c r="Z461" i="25"/>
  <c r="Z224" i="25"/>
  <c r="Z428" i="25"/>
  <c r="Z116" i="25"/>
  <c r="Z570" i="25"/>
  <c r="Z902" i="25"/>
  <c r="Z843" i="25"/>
  <c r="Z821" i="25"/>
  <c r="Z746" i="25"/>
  <c r="Z588" i="25"/>
  <c r="Z808" i="25"/>
  <c r="Z177" i="25"/>
  <c r="Z579" i="25"/>
  <c r="Z388" i="25"/>
  <c r="Z353" i="25"/>
  <c r="Z366" i="25"/>
  <c r="Z315" i="25"/>
  <c r="Z306" i="25"/>
  <c r="Z685" i="25"/>
  <c r="Z701" i="25"/>
  <c r="Z735" i="25"/>
  <c r="Z362" i="25"/>
  <c r="Z817" i="25"/>
  <c r="Z826" i="25"/>
  <c r="Z809" i="25"/>
  <c r="Z804" i="25"/>
  <c r="Z1001" i="25"/>
  <c r="Z600" i="25"/>
  <c r="Z1024" i="25"/>
  <c r="Z484" i="25"/>
  <c r="Z359" i="25"/>
  <c r="Z245" i="25"/>
  <c r="Z524" i="25"/>
  <c r="Z297" i="25"/>
  <c r="Z558" i="25"/>
  <c r="Z422" i="25"/>
  <c r="Z371" i="25"/>
  <c r="Z232" i="25"/>
  <c r="Z585" i="25"/>
  <c r="Z516" i="25"/>
  <c r="Z159" i="25"/>
  <c r="Z286" i="25"/>
  <c r="Z235" i="25"/>
  <c r="Z219" i="25"/>
  <c r="Z564" i="25"/>
  <c r="Z425" i="25"/>
  <c r="Z903" i="25"/>
  <c r="Z150" i="25"/>
  <c r="Z847" i="25"/>
  <c r="Z783" i="25"/>
  <c r="Z764" i="25"/>
  <c r="Z683" i="25"/>
  <c r="Z943" i="25"/>
  <c r="Z476" i="25"/>
  <c r="Z437" i="25"/>
  <c r="Z233" i="25"/>
  <c r="Z389" i="25"/>
  <c r="Z878" i="25"/>
  <c r="Z887" i="25"/>
  <c r="Z782" i="25"/>
  <c r="Z781" i="25"/>
  <c r="Z420" i="25"/>
  <c r="Z352" i="25"/>
  <c r="Z129" i="25"/>
  <c r="Z301" i="25"/>
  <c r="Z504" i="25"/>
  <c r="Z638" i="25"/>
  <c r="Z522" i="25"/>
  <c r="Z819" i="25"/>
  <c r="Z751" i="25"/>
  <c r="Z718" i="25"/>
  <c r="Z651" i="25"/>
  <c r="Z85" i="25"/>
  <c r="Z360" i="25"/>
  <c r="Z157" i="25"/>
  <c r="Z429" i="25"/>
  <c r="Z510" i="25"/>
  <c r="Z267" i="25"/>
  <c r="Z803" i="25"/>
  <c r="Z726" i="25"/>
  <c r="Z693" i="25"/>
  <c r="Z635" i="25"/>
  <c r="Z141" i="25"/>
  <c r="Z424" i="25"/>
  <c r="Z169" i="25"/>
  <c r="Z441" i="25"/>
  <c r="Z502" i="25"/>
  <c r="Z451" i="25"/>
  <c r="Z442" i="25"/>
  <c r="Z611" i="25"/>
  <c r="Z102" i="25"/>
  <c r="Z896" i="25"/>
  <c r="Z293" i="25"/>
  <c r="Z533" i="25"/>
  <c r="Z400" i="25"/>
  <c r="Z392" i="25"/>
  <c r="Z358" i="25"/>
  <c r="Z307" i="25"/>
  <c r="Z124" i="25"/>
  <c r="Z149" i="25"/>
  <c r="Z557" i="25"/>
  <c r="Z261" i="25"/>
  <c r="Z222" i="25"/>
  <c r="Z171" i="25"/>
  <c r="Z398" i="25"/>
  <c r="Z215" i="25"/>
  <c r="Z528" i="25"/>
  <c r="Z172" i="25"/>
  <c r="Z915" i="25"/>
  <c r="Z710" i="25"/>
  <c r="Z598" i="25"/>
  <c r="Z1005" i="25"/>
  <c r="Z924" i="25"/>
  <c r="Z682" i="25"/>
  <c r="Z191" i="25"/>
  <c r="Z411" i="25"/>
  <c r="Z336" i="25"/>
  <c r="Z492" i="25"/>
  <c r="Z530" i="25"/>
  <c r="Z773" i="25"/>
  <c r="Z597" i="25"/>
  <c r="Z671" i="25"/>
  <c r="Z126" i="25"/>
  <c r="Z445" i="25"/>
  <c r="Z144" i="25"/>
  <c r="Z416" i="25"/>
  <c r="Z518" i="25"/>
  <c r="Z467" i="25"/>
  <c r="Z458" i="25"/>
  <c r="Z661" i="25"/>
  <c r="Z118" i="25"/>
  <c r="Z912" i="25"/>
  <c r="Z908" i="25"/>
  <c r="Z130" i="25"/>
  <c r="Z485" i="25"/>
  <c r="Z260" i="25"/>
  <c r="Z531" i="25"/>
  <c r="Z446" i="25"/>
  <c r="Z203" i="25"/>
  <c r="Z637" i="25"/>
  <c r="Z110" i="25"/>
  <c r="Z904" i="25"/>
  <c r="Z900" i="25"/>
  <c r="Z184" i="25"/>
  <c r="Z501" i="25"/>
  <c r="Z272" i="25"/>
  <c r="Z540" i="25"/>
  <c r="Z438" i="25"/>
  <c r="Z387" i="25"/>
  <c r="Z378" i="25"/>
  <c r="Z846" i="25"/>
  <c r="Z855" i="25"/>
  <c r="Z827" i="25"/>
  <c r="Z218" i="25"/>
  <c r="Z397" i="25"/>
  <c r="Z468" i="25"/>
  <c r="Z435" i="25"/>
  <c r="Z542" i="25"/>
  <c r="Z691" i="25"/>
  <c r="Z299" i="25"/>
  <c r="Z417" i="25"/>
  <c r="Z576" i="25"/>
  <c r="Z865" i="25"/>
  <c r="Z879" i="25"/>
  <c r="Z620" i="25"/>
  <c r="Z304" i="25"/>
  <c r="Z526" i="25"/>
  <c r="Z535" i="25"/>
  <c r="Z248" i="25"/>
  <c r="Z179" i="25"/>
  <c r="Z613" i="25"/>
  <c r="Z465" i="25"/>
  <c r="Z95" i="25"/>
  <c r="Z269" i="25"/>
  <c r="Z479" i="25"/>
  <c r="Z788" i="25"/>
  <c r="Z790" i="25"/>
  <c r="Z959" i="25"/>
  <c r="Z572" i="25"/>
  <c r="Z334" i="25"/>
  <c r="Z829" i="25"/>
  <c r="Z851" i="25"/>
  <c r="Z505" i="25"/>
  <c r="Z188" i="25"/>
  <c r="Z339" i="25"/>
  <c r="Z755" i="25"/>
  <c r="Z772" i="25"/>
  <c r="Z273" i="25"/>
  <c r="Z464" i="25"/>
  <c r="Z254" i="25"/>
  <c r="Z734" i="25"/>
  <c r="Z763" i="25"/>
  <c r="Z168" i="25"/>
  <c r="Z477" i="25"/>
  <c r="Z310" i="25"/>
  <c r="Z250" i="25"/>
  <c r="Z894" i="25"/>
  <c r="Z892" i="25"/>
  <c r="Z681" i="25"/>
  <c r="Z200" i="25"/>
  <c r="Z495" i="25"/>
  <c r="Z340" i="25"/>
  <c r="Z430" i="25"/>
  <c r="Z187" i="25"/>
  <c r="Z774" i="25"/>
  <c r="Z839" i="25"/>
  <c r="Z885" i="25"/>
  <c r="Z875" i="25"/>
  <c r="Z86" i="25"/>
  <c r="Z591" i="25"/>
  <c r="Z985" i="25"/>
  <c r="Z664" i="25"/>
  <c r="Z123" i="25"/>
  <c r="Z460" i="25"/>
  <c r="Z412" i="25"/>
  <c r="Z162" i="25"/>
  <c r="Z733" i="25"/>
  <c r="Z283" i="25"/>
  <c r="Z205" i="25"/>
  <c r="Z351" i="25"/>
  <c r="Z113" i="25"/>
  <c r="Z101" i="25"/>
  <c r="Z566" i="25"/>
  <c r="Z125" i="25"/>
  <c r="Z849" i="25"/>
  <c r="Z575" i="25"/>
  <c r="Z606" i="25"/>
  <c r="Z687" i="25"/>
  <c r="Z713" i="25"/>
  <c r="Z835" i="25"/>
  <c r="Z270" i="25"/>
  <c r="Z678" i="25"/>
  <c r="Z778" i="25"/>
  <c r="Z407" i="25"/>
  <c r="Z90" i="25"/>
  <c r="Z275" i="25"/>
  <c r="Z923" i="25"/>
  <c r="Z655" i="25"/>
  <c r="Z190" i="25"/>
  <c r="Z556" i="25"/>
  <c r="Z523" i="25"/>
  <c r="Z911" i="25"/>
  <c r="Z639" i="25"/>
  <c r="Z206" i="25"/>
  <c r="Z565" i="25"/>
  <c r="Z246" i="25"/>
  <c r="Z186" i="25"/>
  <c r="Z780" i="25"/>
  <c r="Z822" i="25"/>
  <c r="Z617" i="25"/>
  <c r="Z277" i="25"/>
  <c r="Z180" i="25"/>
  <c r="Z455" i="25"/>
  <c r="Z302" i="25"/>
  <c r="Z122" i="25"/>
  <c r="Z983" i="25"/>
  <c r="Z881" i="25"/>
  <c r="Z814" i="25"/>
  <c r="Z759" i="25"/>
  <c r="Z675" i="25"/>
  <c r="Z877" i="25"/>
  <c r="Z698" i="25"/>
  <c r="Z993" i="25"/>
  <c r="Z239" i="25"/>
  <c r="Z552" i="25"/>
  <c r="Z1026" i="25"/>
  <c r="Z93" i="25"/>
  <c r="Z910" i="25"/>
  <c r="Z891" i="25"/>
  <c r="Z796" i="25"/>
  <c r="Z628" i="25"/>
  <c r="Z848" i="25"/>
  <c r="Z980" i="25"/>
  <c r="Z189" i="25"/>
  <c r="Z561" i="25"/>
  <c r="Z1021" i="25"/>
  <c r="Z942" i="25"/>
  <c r="Z850" i="25"/>
  <c r="Z610" i="25"/>
  <c r="Z640" i="25"/>
  <c r="Z962" i="25"/>
  <c r="Z730" i="25"/>
  <c r="Z760" i="25"/>
  <c r="Z987" i="25"/>
  <c r="Z432" i="25"/>
  <c r="Z553" i="25"/>
  <c r="Z658" i="25"/>
  <c r="Z688" i="25"/>
  <c r="Z1010" i="25"/>
  <c r="Z940" i="25"/>
  <c r="Z151" i="25"/>
  <c r="Z433" i="25"/>
  <c r="Z193" i="25"/>
  <c r="Z813" i="25"/>
  <c r="Z1023" i="25"/>
  <c r="Z608" i="25"/>
  <c r="Z930" i="25"/>
  <c r="Z471" i="25"/>
  <c r="Z345" i="25"/>
  <c r="Z559" i="25"/>
  <c r="Z258" i="25"/>
  <c r="Z563" i="25"/>
  <c r="Z453" i="25"/>
  <c r="Z317" i="25"/>
  <c r="Z208" i="25"/>
  <c r="Z478" i="25"/>
  <c r="Z271" i="25"/>
  <c r="Z117" i="25"/>
  <c r="Z470" i="25"/>
  <c r="Z844" i="25"/>
  <c r="Z925" i="25"/>
  <c r="Z649" i="25"/>
  <c r="Z320" i="25"/>
  <c r="Z142" i="25"/>
  <c r="Z883" i="25"/>
  <c r="Z667" i="25"/>
  <c r="Z26" i="25"/>
  <c r="Z197" i="25"/>
  <c r="Z211" i="25"/>
  <c r="Z815" i="25"/>
  <c r="Z909" i="25"/>
  <c r="Z355" i="25"/>
  <c r="Z106" i="25"/>
  <c r="Z459" i="25"/>
  <c r="Z801" i="25"/>
  <c r="Z901" i="25"/>
  <c r="Z308" i="25"/>
  <c r="Z120" i="25"/>
  <c r="Z182" i="25"/>
  <c r="Z121" i="25"/>
  <c r="Z595" i="25"/>
  <c r="Z615" i="25"/>
  <c r="Z935" i="25"/>
  <c r="Z214" i="25"/>
  <c r="Z890" i="25"/>
  <c r="Z549" i="25"/>
  <c r="Z238" i="25"/>
  <c r="Z498" i="25"/>
  <c r="Z830" i="25"/>
  <c r="Z765" i="25"/>
  <c r="Z554" i="25"/>
  <c r="Z926" i="25"/>
  <c r="Z867" i="25"/>
  <c r="Z715" i="25"/>
  <c r="Z634" i="25"/>
  <c r="Z1022" i="25"/>
  <c r="Z176" i="25"/>
  <c r="Z217" i="25"/>
  <c r="Z546" i="25"/>
  <c r="Z862" i="25"/>
  <c r="Z798" i="25"/>
  <c r="Z779" i="25"/>
  <c r="Z699" i="25"/>
  <c r="Z965" i="25"/>
  <c r="Z784" i="25"/>
  <c r="Z1011" i="25"/>
  <c r="Z292" i="25"/>
  <c r="Z244" i="25"/>
  <c r="Z840" i="25"/>
  <c r="Z972" i="25"/>
  <c r="Z777" i="25"/>
  <c r="Z937" i="25"/>
  <c r="Z997" i="25"/>
  <c r="Z1000" i="25"/>
  <c r="Z666" i="25"/>
  <c r="Z696" i="25"/>
  <c r="Z1018" i="25"/>
  <c r="Z97" i="25"/>
  <c r="Z488" i="25"/>
  <c r="Z196" i="25"/>
  <c r="Z486" i="25"/>
  <c r="Z257" i="25"/>
  <c r="Z413" i="25"/>
  <c r="Z350" i="25"/>
  <c r="Z136" i="25"/>
  <c r="Z324" i="25"/>
  <c r="Z342" i="25"/>
  <c r="Z897" i="25"/>
  <c r="Z787" i="25"/>
  <c r="Z268" i="25"/>
  <c r="Z111" i="25"/>
  <c r="Z582" i="25"/>
  <c r="Z230" i="25"/>
  <c r="Z321" i="25"/>
  <c r="Z263" i="25"/>
  <c r="Z89" i="25"/>
  <c r="Z402" i="25"/>
  <c r="Z173" i="25"/>
  <c r="Z291" i="25"/>
  <c r="Z797" i="25"/>
  <c r="Z786" i="25"/>
  <c r="Z227" i="25"/>
  <c r="Z537" i="25"/>
  <c r="Z274" i="25"/>
  <c r="Z670" i="25"/>
  <c r="Z240" i="25"/>
  <c r="Z349" i="25"/>
  <c r="Z390" i="25"/>
  <c r="Z330" i="25"/>
  <c r="Z766" i="25"/>
  <c r="Z767" i="25"/>
  <c r="Z513" i="25"/>
  <c r="Z105" i="25"/>
  <c r="Z989" i="25"/>
  <c r="Z749" i="25"/>
  <c r="Z757" i="25"/>
  <c r="Z521" i="25"/>
  <c r="Z119" i="25"/>
  <c r="Z259" i="25"/>
  <c r="Z898" i="25"/>
  <c r="Z623" i="25"/>
  <c r="Z652" i="25"/>
  <c r="Z680" i="25"/>
  <c r="Z373" i="25"/>
  <c r="Z285" i="25"/>
  <c r="Z236" i="25"/>
  <c r="Z507" i="25"/>
  <c r="Z370" i="25"/>
  <c r="Z771" i="25"/>
  <c r="Z643" i="25"/>
  <c r="Z426" i="25"/>
  <c r="Z873" i="25"/>
  <c r="Z793" i="25"/>
  <c r="Z876" i="25"/>
  <c r="Z665" i="25"/>
  <c r="Z1019" i="25"/>
  <c r="Z381" i="25"/>
  <c r="Z115" i="25"/>
  <c r="Z418" i="25"/>
  <c r="Z913" i="25"/>
  <c r="Z216" i="25"/>
  <c r="Z148" i="25"/>
  <c r="Z166" i="25"/>
  <c r="Z456" i="25"/>
  <c r="Z377" i="25"/>
  <c r="Z491" i="25"/>
  <c r="Z280" i="25"/>
  <c r="Z276" i="25"/>
  <c r="Z410" i="25"/>
  <c r="Z622" i="25"/>
  <c r="Z679" i="25"/>
  <c r="Z201" i="25"/>
  <c r="Z717" i="25"/>
  <c r="Z146" i="25"/>
  <c r="Z866" i="25"/>
  <c r="Z278" i="25"/>
  <c r="Z452" i="25"/>
  <c r="Z326" i="25"/>
  <c r="Z266" i="25"/>
  <c r="Z919" i="25"/>
  <c r="Z647" i="25"/>
  <c r="Z431" i="25"/>
  <c r="Z209" i="25"/>
  <c r="Z450" i="25"/>
  <c r="Z906" i="25"/>
  <c r="Z631" i="25"/>
  <c r="Z463" i="25"/>
  <c r="Z223" i="25"/>
  <c r="Z195" i="25"/>
  <c r="Z785" i="25"/>
  <c r="Z893" i="25"/>
  <c r="Z714" i="25"/>
  <c r="Z616" i="25"/>
  <c r="Z474" i="25"/>
  <c r="Z489" i="25"/>
  <c r="Z337" i="25"/>
  <c r="Z443" i="25"/>
  <c r="Z242" i="25"/>
  <c r="Z945" i="25"/>
  <c r="Z888" i="25"/>
  <c r="Z298" i="25"/>
  <c r="Z754" i="25"/>
  <c r="Z614" i="25"/>
  <c r="Z711" i="25"/>
  <c r="Z601" i="25"/>
  <c r="Z955" i="25"/>
  <c r="Z569" i="25"/>
  <c r="Z568" i="25"/>
  <c r="Z354" i="25"/>
  <c r="Z802" i="25"/>
  <c r="Z811" i="25"/>
  <c r="Z799" i="25"/>
  <c r="Z795" i="25"/>
  <c r="Z981" i="25"/>
  <c r="Z592" i="25"/>
  <c r="Z1016" i="25"/>
  <c r="Z578" i="25"/>
  <c r="Z449" i="25"/>
  <c r="Z648" i="25"/>
  <c r="Z970" i="25"/>
  <c r="Z676" i="25"/>
  <c r="Z999" i="25"/>
  <c r="Z934" i="25"/>
  <c r="Z423" i="25"/>
  <c r="Z697" i="25"/>
  <c r="Z1013" i="25"/>
  <c r="Z928" i="25"/>
  <c r="Z511" i="25"/>
  <c r="Z527" i="25"/>
  <c r="Z625" i="25"/>
  <c r="Z982" i="25"/>
  <c r="Z1030" i="25"/>
  <c r="Z976" i="25"/>
  <c r="Z551" i="25"/>
  <c r="Z473" i="25"/>
  <c r="Z1025" i="25"/>
  <c r="Z644" i="25"/>
  <c r="Z864" i="25"/>
  <c r="Z996" i="25"/>
  <c r="Z380" i="25"/>
  <c r="Z344" i="25"/>
  <c r="Z181" i="25"/>
  <c r="Z281" i="25"/>
  <c r="Z249" i="25"/>
  <c r="Z98" i="25"/>
  <c r="Z256" i="25"/>
  <c r="Z480" i="25"/>
  <c r="Z427" i="25"/>
  <c r="Z421" i="25"/>
  <c r="Z391" i="25"/>
  <c r="Z346" i="25"/>
  <c r="Z838" i="25"/>
  <c r="Z748" i="25"/>
  <c r="Z303" i="25"/>
  <c r="Z185" i="25"/>
  <c r="Z741" i="25"/>
  <c r="Z742" i="25"/>
  <c r="Z347" i="25"/>
  <c r="Z547" i="25"/>
  <c r="Z262" i="25"/>
  <c r="Z202" i="25"/>
  <c r="Z810" i="25"/>
  <c r="Z732" i="25"/>
  <c r="Z128" i="25"/>
  <c r="Z312" i="25"/>
  <c r="Z386" i="25"/>
  <c r="Z794" i="25"/>
  <c r="Z724" i="25"/>
  <c r="Z153" i="25"/>
  <c r="Z325" i="25"/>
  <c r="Z131" i="25"/>
  <c r="Z605" i="25"/>
  <c r="Z823" i="25"/>
  <c r="Z650" i="25"/>
  <c r="Z228" i="25"/>
  <c r="Z509" i="25"/>
  <c r="Z574" i="25"/>
  <c r="Z539" i="25"/>
  <c r="Z379" i="25"/>
  <c r="Z178" i="25"/>
  <c r="Z677" i="25"/>
  <c r="Z818" i="25"/>
  <c r="Z234" i="25"/>
  <c r="Z812" i="25"/>
  <c r="Z880" i="25"/>
  <c r="Z1009" i="25"/>
  <c r="Z792" i="25"/>
  <c r="Z986" i="25"/>
  <c r="Z152" i="25"/>
  <c r="Z385" i="25"/>
  <c r="Z290" i="25"/>
  <c r="Z630" i="25"/>
  <c r="Z646" i="25"/>
  <c r="Z703" i="25"/>
  <c r="Z695" i="25"/>
  <c r="Z721" i="25"/>
  <c r="Z973" i="25"/>
  <c r="Z952" i="25"/>
  <c r="Z165" i="25"/>
  <c r="Z399" i="25"/>
  <c r="Z1017" i="25"/>
  <c r="Z1008" i="25"/>
  <c r="Z612" i="25"/>
  <c r="Z832" i="25"/>
  <c r="Z964" i="25"/>
  <c r="Z544" i="25"/>
  <c r="Z633" i="25"/>
  <c r="Z990" i="25"/>
  <c r="Z175" i="25"/>
  <c r="Z99" i="25"/>
  <c r="Z508" i="25"/>
  <c r="Z852" i="25"/>
  <c r="Z914" i="25"/>
  <c r="Z529" i="25"/>
  <c r="Z586" i="25"/>
  <c r="Z494" i="25"/>
  <c r="Z607" i="25"/>
  <c r="Z700" i="25"/>
  <c r="Z296" i="25"/>
  <c r="Z723" i="25"/>
  <c r="Z692" i="25"/>
  <c r="Z950" i="25"/>
  <c r="Z472" i="25"/>
  <c r="Z1006" i="25"/>
  <c r="Z674" i="25"/>
  <c r="Z931" i="25"/>
  <c r="Z824" i="25"/>
  <c r="Z329" i="25"/>
  <c r="Z596" i="25"/>
  <c r="Z624" i="25"/>
  <c r="Z775" i="25"/>
  <c r="Z213" i="25"/>
  <c r="Z534" i="25"/>
  <c r="Z469" i="25"/>
  <c r="Z706" i="25"/>
  <c r="Z1015" i="25"/>
  <c r="Z225" i="25"/>
  <c r="Z543" i="25"/>
  <c r="Z1033" i="25"/>
  <c r="Z132" i="25"/>
  <c r="Z372" i="25"/>
  <c r="Z769" i="25"/>
  <c r="Z857" i="25"/>
  <c r="Z515" i="25"/>
  <c r="Z744" i="25"/>
  <c r="Z174" i="25"/>
  <c r="Z490" i="25"/>
  <c r="Z729" i="25"/>
  <c r="Z482" i="25"/>
  <c r="Z590" i="25"/>
  <c r="Z690" i="25"/>
  <c r="Z947" i="25"/>
  <c r="Z384" i="25"/>
  <c r="Z1003" i="25"/>
  <c r="Z705" i="25"/>
  <c r="Z936" i="25"/>
  <c r="Z632" i="25"/>
  <c r="Z204" i="25"/>
  <c r="Z722" i="25"/>
  <c r="Z953" i="25"/>
  <c r="Z969" i="25"/>
  <c r="Z367" i="25"/>
  <c r="Z167" i="25"/>
  <c r="Z1031" i="25"/>
  <c r="Z642" i="25"/>
  <c r="Z949" i="25"/>
  <c r="Z164" i="25"/>
  <c r="Z192" i="25"/>
  <c r="Z1032" i="25"/>
  <c r="Z404" i="25"/>
  <c r="Z199" i="25"/>
  <c r="Z155" i="25"/>
  <c r="Z837" i="25"/>
  <c r="Z506" i="25"/>
  <c r="Z210" i="25"/>
  <c r="Z251" i="25"/>
  <c r="Z170" i="25"/>
  <c r="Z728" i="25"/>
  <c r="Z226" i="25"/>
  <c r="Z872" i="25"/>
  <c r="Z626" i="25"/>
  <c r="Z978" i="25"/>
  <c r="Z143" i="25"/>
  <c r="Z939" i="25"/>
  <c r="Z641" i="25"/>
  <c r="Z820" i="25"/>
  <c r="Z975" i="25"/>
  <c r="Z408" i="25"/>
  <c r="Z594" i="25"/>
  <c r="Z991" i="25"/>
  <c r="Z974" i="25"/>
  <c r="Z253" i="25"/>
  <c r="Z333" i="25"/>
  <c r="Z603" i="25"/>
  <c r="Z737" i="25"/>
  <c r="Z966" i="25"/>
  <c r="Z265" i="25"/>
  <c r="Z487" i="25"/>
  <c r="Z475" i="25"/>
  <c r="Z401" i="25"/>
  <c r="Z536" i="25"/>
  <c r="Z758" i="25"/>
  <c r="Z789" i="25"/>
  <c r="Z348" i="25"/>
  <c r="Z434" i="25"/>
  <c r="Z659" i="25"/>
  <c r="Z958" i="25"/>
  <c r="Z739" i="25"/>
  <c r="Z967" i="25"/>
  <c r="Z657" i="25"/>
  <c r="Z264" i="25"/>
  <c r="Z335" i="25"/>
  <c r="Z944" i="25"/>
  <c r="Z768" i="25"/>
  <c r="Z1028" i="25"/>
  <c r="Z1020" i="25"/>
  <c r="Z295" i="25"/>
  <c r="Z753" i="25"/>
  <c r="Z1012" i="25"/>
  <c r="Z1004" i="25"/>
  <c r="Z356" i="25"/>
  <c r="Z580" i="25"/>
  <c r="Z884" i="25"/>
  <c r="Z673" i="25"/>
  <c r="Z932" i="25"/>
  <c r="Z368" i="25"/>
  <c r="Z87" i="25"/>
  <c r="Z686" i="25"/>
  <c r="Z134" i="25"/>
  <c r="Z156" i="25"/>
  <c r="Z161" i="25"/>
  <c r="Z702" i="25"/>
  <c r="Z545" i="25"/>
  <c r="Z112" i="25"/>
  <c r="Z653" i="25"/>
  <c r="Z960" i="25"/>
  <c r="Z858" i="25"/>
  <c r="Z869" i="25"/>
  <c r="Z593" i="25"/>
  <c r="Z791" i="25"/>
  <c r="Z1034" i="25"/>
  <c r="Z1027" i="25"/>
  <c r="Z704" i="25"/>
  <c r="Z604" i="25"/>
  <c r="Z956" i="25"/>
  <c r="Z436" i="25"/>
  <c r="Z689" i="25"/>
  <c r="Z948" i="25"/>
  <c r="Z971" i="25"/>
  <c r="Z457" i="25"/>
  <c r="Z481" i="25"/>
  <c r="Z727" i="25"/>
  <c r="Z609" i="25"/>
  <c r="Z963" i="25"/>
  <c r="Z560" i="25"/>
  <c r="Z532" i="25"/>
  <c r="Z895" i="25"/>
  <c r="Z762" i="25"/>
  <c r="Z313" i="25"/>
  <c r="Z341" i="25"/>
  <c r="Z669" i="25"/>
  <c r="Z183" i="25"/>
  <c r="Z886" i="25"/>
  <c r="Z747" i="25"/>
  <c r="Z279" i="25"/>
  <c r="Z627" i="25"/>
  <c r="Z941" i="25"/>
  <c r="Z720" i="25"/>
  <c r="Z393" i="25"/>
  <c r="Z776" i="25"/>
  <c r="Z663" i="25"/>
  <c r="Z929" i="25"/>
  <c r="Z602" i="25"/>
  <c r="Z954" i="25"/>
  <c r="Z581" i="25"/>
  <c r="Z957" i="25"/>
  <c r="Z979" i="25"/>
  <c r="Z1002" i="25"/>
  <c r="Z127" i="25"/>
  <c r="Z573" i="25"/>
  <c r="Z599" i="25"/>
  <c r="Z800" i="25"/>
  <c r="Z994" i="25"/>
  <c r="Z140" i="25"/>
  <c r="Z289" i="25"/>
  <c r="Z854" i="25"/>
  <c r="Z927" i="25"/>
  <c r="Z517" i="25"/>
  <c r="Z662" i="25"/>
  <c r="Z619" i="25"/>
  <c r="Z135" i="25"/>
  <c r="Z94" i="25"/>
  <c r="Z719" i="25"/>
  <c r="Z255" i="25"/>
  <c r="Z921" i="25"/>
  <c r="Z868" i="25"/>
  <c r="Z656" i="25"/>
  <c r="Z496" i="25"/>
  <c r="Z712" i="25"/>
  <c r="Z740" i="25"/>
  <c r="Z998" i="25"/>
  <c r="Z761" i="25"/>
  <c r="Z992" i="25"/>
  <c r="Z550" i="25"/>
  <c r="Z816" i="25"/>
  <c r="Z946" i="25"/>
  <c r="Z938" i="25"/>
  <c r="Z229" i="25"/>
  <c r="Z520" i="25"/>
  <c r="Z708" i="25"/>
  <c r="Z736" i="25"/>
  <c r="Z968" i="25"/>
  <c r="Z241" i="25"/>
  <c r="Z207" i="25"/>
  <c r="Z318" i="25"/>
  <c r="Z871" i="25"/>
  <c r="Z331" i="25"/>
  <c r="Z327" i="25"/>
  <c r="Z716" i="25"/>
  <c r="Z133" i="25"/>
  <c r="Z918" i="25"/>
  <c r="Z587" i="25"/>
  <c r="Z500" i="25"/>
  <c r="Z853" i="25"/>
  <c r="Z756" i="25"/>
  <c r="Z1014" i="25"/>
  <c r="Z369" i="25"/>
  <c r="Z951" i="25"/>
  <c r="Z738" i="25"/>
  <c r="Z995" i="25"/>
  <c r="Z977" i="25"/>
  <c r="Z328" i="25"/>
  <c r="Z1029" i="25"/>
  <c r="Z752" i="25"/>
  <c r="Z984" i="25"/>
  <c r="Z92" i="25"/>
  <c r="Z332" i="25"/>
  <c r="Z220" i="25"/>
  <c r="Z1007" i="25"/>
  <c r="Z672" i="25"/>
  <c r="Z108" i="25"/>
  <c r="Z447" i="25"/>
  <c r="Z309" i="25"/>
  <c r="Z45" i="25"/>
  <c r="Z25" i="25"/>
  <c r="Z73" i="25"/>
  <c r="Z52" i="25"/>
  <c r="Z65" i="25"/>
  <c r="Z76" i="25"/>
  <c r="Z77" i="25"/>
  <c r="Z28" i="25"/>
  <c r="D582" i="23"/>
  <c r="D583" i="23"/>
  <c r="D584" i="23"/>
  <c r="A582" i="23"/>
  <c r="A583" i="23"/>
  <c r="A584" i="23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A160" i="23"/>
  <c r="A161" i="23"/>
  <c r="A162" i="23"/>
  <c r="A163" i="23"/>
  <c r="A164" i="23"/>
  <c r="A165" i="23"/>
  <c r="A166" i="23"/>
  <c r="A167" i="23"/>
  <c r="A168" i="23"/>
  <c r="A169" i="23"/>
  <c r="A170" i="23"/>
  <c r="A171" i="23"/>
  <c r="A172" i="23"/>
  <c r="A173" i="23"/>
  <c r="A174" i="23"/>
  <c r="A175" i="23"/>
  <c r="A176" i="23"/>
  <c r="A177" i="23"/>
  <c r="A178" i="23"/>
  <c r="A179" i="23"/>
  <c r="A180" i="23"/>
  <c r="A181" i="23"/>
  <c r="A182" i="23"/>
  <c r="A183" i="23"/>
  <c r="A184" i="23"/>
  <c r="A185" i="23"/>
  <c r="A186" i="23"/>
  <c r="A187" i="23"/>
  <c r="A188" i="23"/>
  <c r="A189" i="23"/>
  <c r="A190" i="23"/>
  <c r="A191" i="23"/>
  <c r="A192" i="23"/>
  <c r="A193" i="23"/>
  <c r="A194" i="23"/>
  <c r="A195" i="23"/>
  <c r="A196" i="23"/>
  <c r="A197" i="23"/>
  <c r="A198" i="23"/>
  <c r="A199" i="23"/>
  <c r="A200" i="23"/>
  <c r="A201" i="23"/>
  <c r="A202" i="23"/>
  <c r="A203" i="23"/>
  <c r="A204" i="23"/>
  <c r="A205" i="23"/>
  <c r="A206" i="23"/>
  <c r="A207" i="23"/>
  <c r="A208" i="23"/>
  <c r="A209" i="23"/>
  <c r="A210" i="23"/>
  <c r="A211" i="23"/>
  <c r="A212" i="23"/>
  <c r="A213" i="23"/>
  <c r="A214" i="23"/>
  <c r="A215" i="23"/>
  <c r="A216" i="23"/>
  <c r="A217" i="23"/>
  <c r="A218" i="23"/>
  <c r="A219" i="23"/>
  <c r="A220" i="23"/>
  <c r="A221" i="23"/>
  <c r="A222" i="23"/>
  <c r="A223" i="23"/>
  <c r="A224" i="23"/>
  <c r="A225" i="23"/>
  <c r="A226" i="23"/>
  <c r="A227" i="23"/>
  <c r="A228" i="23"/>
  <c r="A229" i="23"/>
  <c r="A230" i="23"/>
  <c r="A231" i="23"/>
  <c r="A232" i="23"/>
  <c r="A233" i="23"/>
  <c r="A234" i="23"/>
  <c r="A235" i="23"/>
  <c r="A236" i="23"/>
  <c r="A237" i="23"/>
  <c r="A238" i="23"/>
  <c r="A239" i="23"/>
  <c r="A240" i="23"/>
  <c r="A241" i="23"/>
  <c r="A242" i="23"/>
  <c r="A243" i="23"/>
  <c r="A244" i="23"/>
  <c r="A245" i="23"/>
  <c r="A246" i="23"/>
  <c r="A247" i="23"/>
  <c r="A248" i="23"/>
  <c r="A249" i="23"/>
  <c r="A250" i="23"/>
  <c r="A251" i="23"/>
  <c r="A252" i="23"/>
  <c r="A253" i="23"/>
  <c r="A254" i="23"/>
  <c r="A255" i="23"/>
  <c r="A256" i="23"/>
  <c r="A257" i="23"/>
  <c r="A258" i="23"/>
  <c r="A259" i="23"/>
  <c r="A260" i="23"/>
  <c r="A261" i="23"/>
  <c r="A262" i="23"/>
  <c r="A263" i="23"/>
  <c r="A264" i="23"/>
  <c r="A265" i="23"/>
  <c r="A266" i="23"/>
  <c r="A267" i="23"/>
  <c r="A268" i="23"/>
  <c r="A269" i="23"/>
  <c r="A270" i="23"/>
  <c r="A271" i="23"/>
  <c r="A272" i="23"/>
  <c r="A273" i="23"/>
  <c r="A274" i="23"/>
  <c r="A275" i="23"/>
  <c r="A276" i="23"/>
  <c r="A277" i="23"/>
  <c r="A278" i="23"/>
  <c r="A279" i="23"/>
  <c r="A280" i="23"/>
  <c r="A281" i="23"/>
  <c r="A282" i="23"/>
  <c r="A283" i="23"/>
  <c r="A284" i="23"/>
  <c r="A285" i="23"/>
  <c r="A286" i="23"/>
  <c r="A287" i="23"/>
  <c r="A288" i="23"/>
  <c r="A289" i="23"/>
  <c r="A290" i="23"/>
  <c r="A291" i="23"/>
  <c r="A292" i="23"/>
  <c r="A293" i="23"/>
  <c r="A294" i="23"/>
  <c r="A295" i="23"/>
  <c r="A296" i="23"/>
  <c r="A297" i="23"/>
  <c r="A298" i="23"/>
  <c r="A299" i="23"/>
  <c r="A300" i="23"/>
  <c r="A301" i="23"/>
  <c r="A302" i="23"/>
  <c r="A303" i="23"/>
  <c r="A304" i="23"/>
  <c r="A305" i="23"/>
  <c r="A306" i="23"/>
  <c r="A307" i="23"/>
  <c r="A308" i="23"/>
  <c r="A309" i="23"/>
  <c r="A310" i="23"/>
  <c r="A311" i="23"/>
  <c r="A312" i="23"/>
  <c r="A313" i="23"/>
  <c r="A314" i="23"/>
  <c r="A315" i="23"/>
  <c r="A316" i="23"/>
  <c r="A317" i="23"/>
  <c r="A318" i="23"/>
  <c r="A319" i="23"/>
  <c r="A320" i="23"/>
  <c r="A321" i="23"/>
  <c r="A322" i="23"/>
  <c r="A323" i="23"/>
  <c r="A324" i="23"/>
  <c r="A325" i="23"/>
  <c r="A326" i="23"/>
  <c r="A327" i="23"/>
  <c r="A328" i="23"/>
  <c r="A329" i="23"/>
  <c r="A330" i="23"/>
  <c r="A331" i="23"/>
  <c r="A332" i="23"/>
  <c r="A333" i="23"/>
  <c r="A334" i="23"/>
  <c r="A335" i="23"/>
  <c r="A336" i="23"/>
  <c r="A337" i="23"/>
  <c r="A338" i="23"/>
  <c r="A339" i="23"/>
  <c r="A340" i="23"/>
  <c r="A341" i="23"/>
  <c r="A342" i="23"/>
  <c r="A343" i="23"/>
  <c r="A344" i="23"/>
  <c r="A345" i="23"/>
  <c r="A346" i="23"/>
  <c r="A347" i="23"/>
  <c r="A348" i="23"/>
  <c r="A349" i="23"/>
  <c r="A350" i="23"/>
  <c r="A351" i="23"/>
  <c r="A352" i="23"/>
  <c r="A353" i="23"/>
  <c r="A354" i="23"/>
  <c r="A355" i="23"/>
  <c r="A356" i="23"/>
  <c r="A357" i="23"/>
  <c r="A358" i="23"/>
  <c r="A359" i="23"/>
  <c r="A360" i="23"/>
  <c r="A361" i="23"/>
  <c r="A362" i="23"/>
  <c r="A363" i="23"/>
  <c r="A364" i="23"/>
  <c r="A365" i="23"/>
  <c r="A366" i="23"/>
  <c r="A367" i="23"/>
  <c r="A368" i="23"/>
  <c r="A369" i="23"/>
  <c r="A370" i="23"/>
  <c r="A371" i="23"/>
  <c r="A372" i="23"/>
  <c r="A373" i="23"/>
  <c r="A374" i="23"/>
  <c r="A375" i="23"/>
  <c r="A376" i="23"/>
  <c r="A377" i="23"/>
  <c r="A378" i="23"/>
  <c r="A379" i="23"/>
  <c r="A380" i="23"/>
  <c r="A381" i="23"/>
  <c r="A382" i="23"/>
  <c r="A383" i="23"/>
  <c r="A384" i="23"/>
  <c r="A385" i="23"/>
  <c r="A386" i="23"/>
  <c r="A387" i="23"/>
  <c r="A388" i="23"/>
  <c r="A389" i="23"/>
  <c r="A390" i="23"/>
  <c r="A391" i="23"/>
  <c r="A392" i="23"/>
  <c r="A393" i="23"/>
  <c r="A394" i="23"/>
  <c r="A395" i="23"/>
  <c r="A396" i="23"/>
  <c r="A397" i="23"/>
  <c r="A398" i="23"/>
  <c r="A399" i="23"/>
  <c r="A400" i="23"/>
  <c r="A401" i="23"/>
  <c r="A402" i="23"/>
  <c r="A403" i="23"/>
  <c r="A404" i="23"/>
  <c r="A405" i="23"/>
  <c r="A406" i="23"/>
  <c r="A407" i="23"/>
  <c r="A408" i="23"/>
  <c r="A409" i="23"/>
  <c r="A410" i="23"/>
  <c r="A411" i="23"/>
  <c r="A412" i="23"/>
  <c r="A413" i="23"/>
  <c r="A414" i="23"/>
  <c r="A415" i="23"/>
  <c r="A416" i="23"/>
  <c r="A417" i="23"/>
  <c r="A418" i="23"/>
  <c r="A419" i="23"/>
  <c r="A420" i="23"/>
  <c r="A421" i="23"/>
  <c r="A422" i="23"/>
  <c r="A423" i="23"/>
  <c r="A424" i="23"/>
  <c r="A425" i="23"/>
  <c r="A426" i="23"/>
  <c r="A427" i="23"/>
  <c r="A428" i="23"/>
  <c r="A429" i="23"/>
  <c r="A430" i="23"/>
  <c r="A431" i="23"/>
  <c r="A432" i="23"/>
  <c r="A433" i="23"/>
  <c r="A434" i="23"/>
  <c r="A435" i="23"/>
  <c r="A436" i="23"/>
  <c r="A437" i="23"/>
  <c r="A438" i="23"/>
  <c r="A439" i="23"/>
  <c r="A440" i="23"/>
  <c r="A441" i="23"/>
  <c r="A442" i="23"/>
  <c r="A443" i="23"/>
  <c r="A444" i="23"/>
  <c r="A445" i="23"/>
  <c r="A446" i="23"/>
  <c r="A447" i="23"/>
  <c r="A448" i="23"/>
  <c r="A449" i="23"/>
  <c r="A450" i="23"/>
  <c r="A451" i="23"/>
  <c r="A452" i="23"/>
  <c r="A453" i="23"/>
  <c r="A454" i="23"/>
  <c r="A455" i="23"/>
  <c r="A456" i="23"/>
  <c r="A457" i="23"/>
  <c r="A458" i="23"/>
  <c r="A459" i="23"/>
  <c r="A460" i="23"/>
  <c r="A461" i="23"/>
  <c r="A462" i="23"/>
  <c r="A463" i="23"/>
  <c r="A464" i="23"/>
  <c r="A465" i="23"/>
  <c r="A466" i="23"/>
  <c r="A467" i="23"/>
  <c r="A468" i="23"/>
  <c r="A469" i="23"/>
  <c r="A470" i="23"/>
  <c r="A471" i="23"/>
  <c r="A472" i="23"/>
  <c r="A473" i="23"/>
  <c r="A474" i="23"/>
  <c r="A475" i="23"/>
  <c r="A476" i="23"/>
  <c r="A477" i="23"/>
  <c r="A478" i="23"/>
  <c r="A479" i="23"/>
  <c r="A480" i="23"/>
  <c r="A481" i="23"/>
  <c r="A482" i="23"/>
  <c r="A483" i="23"/>
  <c r="A484" i="23"/>
  <c r="A485" i="23"/>
  <c r="A486" i="23"/>
  <c r="A487" i="23"/>
  <c r="A488" i="23"/>
  <c r="A489" i="23"/>
  <c r="A490" i="23"/>
  <c r="A491" i="23"/>
  <c r="A492" i="23"/>
  <c r="A493" i="23"/>
  <c r="A494" i="23"/>
  <c r="A495" i="23"/>
  <c r="A496" i="23"/>
  <c r="A497" i="23"/>
  <c r="A498" i="23"/>
  <c r="A499" i="23"/>
  <c r="A500" i="23"/>
  <c r="A501" i="23"/>
  <c r="A502" i="23"/>
  <c r="A503" i="23"/>
  <c r="A504" i="23"/>
  <c r="A505" i="23"/>
  <c r="A506" i="23"/>
  <c r="A507" i="23"/>
  <c r="A508" i="23"/>
  <c r="A509" i="23"/>
  <c r="A510" i="23"/>
  <c r="A511" i="23"/>
  <c r="A512" i="23"/>
  <c r="A513" i="23"/>
  <c r="A514" i="23"/>
  <c r="A515" i="23"/>
  <c r="A516" i="23"/>
  <c r="A517" i="23"/>
  <c r="A518" i="23"/>
  <c r="A519" i="23"/>
  <c r="A520" i="23"/>
  <c r="A521" i="23"/>
  <c r="A522" i="23"/>
  <c r="A523" i="23"/>
  <c r="A524" i="23"/>
  <c r="A525" i="23"/>
  <c r="A526" i="23"/>
  <c r="A527" i="23"/>
  <c r="A528" i="23"/>
  <c r="A529" i="23"/>
  <c r="A530" i="23"/>
  <c r="A531" i="23"/>
  <c r="A532" i="23"/>
  <c r="A533" i="23"/>
  <c r="A534" i="23"/>
  <c r="A535" i="23"/>
  <c r="A536" i="23"/>
  <c r="A537" i="23"/>
  <c r="A538" i="23"/>
  <c r="A539" i="23"/>
  <c r="A540" i="23"/>
  <c r="A541" i="23"/>
  <c r="A542" i="23"/>
  <c r="A543" i="23"/>
  <c r="A544" i="23"/>
  <c r="A545" i="23"/>
  <c r="A546" i="23"/>
  <c r="A547" i="23"/>
  <c r="A548" i="23"/>
  <c r="A549" i="23"/>
  <c r="A550" i="23"/>
  <c r="A551" i="23"/>
  <c r="A552" i="23"/>
  <c r="A553" i="23"/>
  <c r="A554" i="23"/>
  <c r="A555" i="23"/>
  <c r="A556" i="23"/>
  <c r="A557" i="23"/>
  <c r="A558" i="23"/>
  <c r="A559" i="23"/>
  <c r="A560" i="23"/>
  <c r="A561" i="23"/>
  <c r="A562" i="23"/>
  <c r="A563" i="23"/>
  <c r="A564" i="23"/>
  <c r="A565" i="23"/>
  <c r="A566" i="23"/>
  <c r="A567" i="23"/>
  <c r="A568" i="23"/>
  <c r="A569" i="23"/>
  <c r="A570" i="23"/>
  <c r="A571" i="23"/>
  <c r="A572" i="23"/>
  <c r="A573" i="23"/>
  <c r="A574" i="23"/>
  <c r="A575" i="23"/>
  <c r="A576" i="23"/>
  <c r="A577" i="23"/>
  <c r="A578" i="23"/>
  <c r="A579" i="23"/>
  <c r="A580" i="23"/>
  <c r="A581" i="23"/>
  <c r="D581" i="23"/>
  <c r="D580" i="23"/>
  <c r="D579" i="23"/>
  <c r="D578" i="23"/>
  <c r="D577" i="23"/>
  <c r="D576" i="23"/>
  <c r="D575" i="23"/>
  <c r="D574" i="23"/>
  <c r="D573" i="23"/>
  <c r="D572" i="23"/>
  <c r="D571" i="23"/>
  <c r="D570" i="23"/>
  <c r="D569" i="23"/>
  <c r="D568" i="23"/>
  <c r="D567" i="23"/>
  <c r="D566" i="23"/>
  <c r="D565" i="23"/>
  <c r="D564" i="23"/>
  <c r="D563" i="23"/>
  <c r="D562" i="23"/>
  <c r="D561" i="23"/>
  <c r="D560" i="23"/>
  <c r="D559" i="23"/>
  <c r="D558" i="23"/>
  <c r="D557" i="23"/>
  <c r="D556" i="23"/>
  <c r="D555" i="23"/>
  <c r="D554" i="23"/>
  <c r="D553" i="23"/>
  <c r="D552" i="23"/>
  <c r="D551" i="23"/>
  <c r="D550" i="23"/>
  <c r="D549" i="23"/>
  <c r="D548" i="23"/>
  <c r="D547" i="23"/>
  <c r="D546" i="23"/>
  <c r="D545" i="23"/>
  <c r="D544" i="23"/>
  <c r="D543" i="23"/>
  <c r="D542" i="23"/>
  <c r="D541" i="23"/>
  <c r="D540" i="23"/>
  <c r="D539" i="23"/>
  <c r="D538" i="23"/>
  <c r="D537" i="23"/>
  <c r="D536" i="23"/>
  <c r="D535" i="23"/>
  <c r="D534" i="23"/>
  <c r="D533" i="23"/>
  <c r="D532" i="23"/>
  <c r="D531" i="23"/>
  <c r="D530" i="23"/>
  <c r="D529" i="23"/>
  <c r="D528" i="23"/>
  <c r="D527" i="23"/>
  <c r="D526" i="23"/>
  <c r="D525" i="23"/>
  <c r="D524" i="23"/>
  <c r="D523" i="23"/>
  <c r="D522" i="23"/>
  <c r="D521" i="23"/>
  <c r="D520" i="23"/>
  <c r="D519" i="23"/>
  <c r="D518" i="23"/>
  <c r="D517" i="23"/>
  <c r="D516" i="23"/>
  <c r="D515" i="23"/>
  <c r="D514" i="23"/>
  <c r="D513" i="23"/>
  <c r="D512" i="23"/>
  <c r="D511" i="23"/>
  <c r="D510" i="23"/>
  <c r="D509" i="23"/>
  <c r="D508" i="23"/>
  <c r="D507" i="23"/>
  <c r="D506" i="23"/>
  <c r="D505" i="23"/>
  <c r="D504" i="23"/>
  <c r="D503" i="23"/>
  <c r="D502" i="23"/>
  <c r="D501" i="23"/>
  <c r="D500" i="23"/>
  <c r="D499" i="23"/>
  <c r="D498" i="23"/>
  <c r="D497" i="23"/>
  <c r="D496" i="23"/>
  <c r="D495" i="23"/>
  <c r="D494" i="23"/>
  <c r="D493" i="23"/>
  <c r="D492" i="23"/>
  <c r="D491" i="23"/>
  <c r="D490" i="23"/>
  <c r="D489" i="23"/>
  <c r="D488" i="23"/>
  <c r="D487" i="23"/>
  <c r="D486" i="23"/>
  <c r="D485" i="23"/>
  <c r="D484" i="23"/>
  <c r="D483" i="23"/>
  <c r="D482" i="23"/>
  <c r="D481" i="23"/>
  <c r="D480" i="23"/>
  <c r="D479" i="23"/>
  <c r="D478" i="23"/>
  <c r="D477" i="23"/>
  <c r="D476" i="23"/>
  <c r="D475" i="23"/>
  <c r="D474" i="23"/>
  <c r="D473" i="23"/>
  <c r="D472" i="23"/>
  <c r="D471" i="23"/>
  <c r="D470" i="23"/>
  <c r="D469" i="23"/>
  <c r="D468" i="23"/>
  <c r="D467" i="23"/>
  <c r="D466" i="23"/>
  <c r="D465" i="23"/>
  <c r="D464" i="23"/>
  <c r="D463" i="23"/>
  <c r="D462" i="23"/>
  <c r="D461" i="23"/>
  <c r="D460" i="23"/>
  <c r="D459" i="23"/>
  <c r="D458" i="23"/>
  <c r="D457" i="23"/>
  <c r="D456" i="23"/>
  <c r="D455" i="23"/>
  <c r="D454" i="23"/>
  <c r="D453" i="23"/>
  <c r="D452" i="23"/>
  <c r="D451" i="23"/>
  <c r="D450" i="23"/>
  <c r="D449" i="23"/>
  <c r="D448" i="23"/>
  <c r="D447" i="23"/>
  <c r="D446" i="23"/>
  <c r="D445" i="23"/>
  <c r="D444" i="23"/>
  <c r="D443" i="23"/>
  <c r="D442" i="23"/>
  <c r="D441" i="23"/>
  <c r="D440" i="23"/>
  <c r="D439" i="23"/>
  <c r="D438" i="23"/>
  <c r="D437" i="23"/>
  <c r="D436" i="23"/>
  <c r="D435" i="23"/>
  <c r="D434" i="23"/>
  <c r="D433" i="23"/>
  <c r="D432" i="23"/>
  <c r="D431" i="23"/>
  <c r="D430" i="23"/>
  <c r="D429" i="23"/>
  <c r="D428" i="23"/>
  <c r="D427" i="23"/>
  <c r="D426" i="23"/>
  <c r="D425" i="23"/>
  <c r="D424" i="23"/>
  <c r="D423" i="23"/>
  <c r="D422" i="23"/>
  <c r="D421" i="23"/>
  <c r="D420" i="23"/>
  <c r="D419" i="23"/>
  <c r="D418" i="23"/>
  <c r="D417" i="23"/>
  <c r="D416" i="23"/>
  <c r="D415" i="23"/>
  <c r="D414" i="23"/>
  <c r="D413" i="23"/>
  <c r="D412" i="23"/>
  <c r="D411" i="23"/>
  <c r="D410" i="23"/>
  <c r="D409" i="23"/>
  <c r="D408" i="23"/>
  <c r="D407" i="23"/>
  <c r="D406" i="23"/>
  <c r="D405" i="23"/>
  <c r="D404" i="23"/>
  <c r="D403" i="23"/>
  <c r="D402" i="23"/>
  <c r="D401" i="23"/>
  <c r="D400" i="23"/>
  <c r="D399" i="23"/>
  <c r="D398" i="23"/>
  <c r="D397" i="23"/>
  <c r="D396" i="23"/>
  <c r="D395" i="23"/>
  <c r="D394" i="23"/>
  <c r="D393" i="23"/>
  <c r="D392" i="23"/>
  <c r="D391" i="23"/>
  <c r="D390" i="23"/>
  <c r="D389" i="23"/>
  <c r="D388" i="23"/>
  <c r="D387" i="23"/>
  <c r="D386" i="23"/>
  <c r="D385" i="23"/>
  <c r="D384" i="23"/>
  <c r="D383" i="23"/>
  <c r="D382" i="23"/>
  <c r="D381" i="23"/>
  <c r="D380" i="23"/>
  <c r="D379" i="23"/>
  <c r="D378" i="23"/>
  <c r="D377" i="23"/>
  <c r="D376" i="23"/>
  <c r="D375" i="23"/>
  <c r="D374" i="23"/>
  <c r="D373" i="23"/>
  <c r="D372" i="23"/>
  <c r="D371" i="23"/>
  <c r="D370" i="23"/>
  <c r="D369" i="23"/>
  <c r="D368" i="23"/>
  <c r="D367" i="23"/>
  <c r="D366" i="23"/>
  <c r="D365" i="23"/>
  <c r="D364" i="23"/>
  <c r="D363" i="23"/>
  <c r="D362" i="23"/>
  <c r="D361" i="23"/>
  <c r="D360" i="23"/>
  <c r="D359" i="23"/>
  <c r="D358" i="23"/>
  <c r="D357" i="23"/>
  <c r="D356" i="23"/>
  <c r="D355" i="23"/>
  <c r="D354" i="23"/>
  <c r="D353" i="23"/>
  <c r="D352" i="23"/>
  <c r="D351" i="23"/>
  <c r="D350" i="23"/>
  <c r="D349" i="23"/>
  <c r="D348" i="23"/>
  <c r="D347" i="23"/>
  <c r="D346" i="23"/>
  <c r="D345" i="23"/>
  <c r="D344" i="23"/>
  <c r="D343" i="23"/>
  <c r="D342" i="23"/>
  <c r="D341" i="23"/>
  <c r="D340" i="23"/>
  <c r="D339" i="23"/>
  <c r="D338" i="23"/>
  <c r="D337" i="23"/>
  <c r="D336" i="23"/>
  <c r="D335" i="23"/>
  <c r="D334" i="23"/>
  <c r="D333" i="23"/>
  <c r="D332" i="23"/>
  <c r="D331" i="23"/>
  <c r="D330" i="23"/>
  <c r="D329" i="23"/>
  <c r="D328" i="23"/>
  <c r="D327" i="23"/>
  <c r="D326" i="23"/>
  <c r="D325" i="23"/>
  <c r="D324" i="23"/>
  <c r="D323" i="23"/>
  <c r="D322" i="23"/>
  <c r="D321" i="23"/>
  <c r="D320" i="23"/>
  <c r="D319" i="23"/>
  <c r="D318" i="23"/>
  <c r="D317" i="23"/>
  <c r="D316" i="23"/>
  <c r="D315" i="23"/>
  <c r="D314" i="23"/>
  <c r="D313" i="23"/>
  <c r="D312" i="23"/>
  <c r="D311" i="23"/>
  <c r="D310" i="23"/>
  <c r="D309" i="23"/>
  <c r="D308" i="23"/>
  <c r="D307" i="23"/>
  <c r="D306" i="23"/>
  <c r="D305" i="23"/>
  <c r="D304" i="23"/>
  <c r="D303" i="23"/>
  <c r="D302" i="23"/>
  <c r="D301" i="23"/>
  <c r="D300" i="23"/>
  <c r="D299" i="23"/>
  <c r="D298" i="23"/>
  <c r="D297" i="23"/>
  <c r="D296" i="23"/>
  <c r="D295" i="23"/>
  <c r="D294" i="23"/>
  <c r="D293" i="23"/>
  <c r="D292" i="23"/>
  <c r="D291" i="23"/>
  <c r="D290" i="23"/>
  <c r="D289" i="23"/>
  <c r="D288" i="23"/>
  <c r="D287" i="23"/>
  <c r="D286" i="23"/>
  <c r="D285" i="23"/>
  <c r="D284" i="23"/>
  <c r="D283" i="23"/>
  <c r="D282" i="23"/>
  <c r="D281" i="23"/>
  <c r="D280" i="23"/>
  <c r="D279" i="23"/>
  <c r="D278" i="23"/>
  <c r="D277" i="23"/>
  <c r="D276" i="23"/>
  <c r="D275" i="23"/>
  <c r="D274" i="23"/>
  <c r="D273" i="23"/>
  <c r="D272" i="23"/>
  <c r="D271" i="23"/>
  <c r="D270" i="23"/>
  <c r="D269" i="23"/>
  <c r="D268" i="23"/>
  <c r="D267" i="23"/>
  <c r="D266" i="23"/>
  <c r="D265" i="23"/>
  <c r="D264" i="23"/>
  <c r="D263" i="23"/>
  <c r="D262" i="23"/>
  <c r="D261" i="23"/>
  <c r="D260" i="23"/>
  <c r="D259" i="23"/>
  <c r="D258" i="23"/>
  <c r="D257" i="23"/>
  <c r="D256" i="23"/>
  <c r="D255" i="23"/>
  <c r="D254" i="23"/>
  <c r="D253" i="23"/>
  <c r="D252" i="23"/>
  <c r="D251" i="23"/>
  <c r="D250" i="23"/>
  <c r="D249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A2" i="23"/>
  <c r="K101" i="3"/>
  <c r="K83" i="3"/>
  <c r="K84" i="3"/>
  <c r="K100" i="3"/>
  <c r="D871" i="22"/>
  <c r="D872" i="22"/>
  <c r="D873" i="22"/>
  <c r="A871" i="22"/>
  <c r="A872" i="22"/>
  <c r="A873" i="22"/>
  <c r="D870" i="22"/>
  <c r="A870" i="22"/>
  <c r="D869" i="22"/>
  <c r="A869" i="22"/>
  <c r="D868" i="22"/>
  <c r="A868" i="22"/>
  <c r="D867" i="22"/>
  <c r="A867" i="22"/>
  <c r="D866" i="22"/>
  <c r="A866" i="22"/>
  <c r="D865" i="22"/>
  <c r="A865" i="22"/>
  <c r="D864" i="22"/>
  <c r="A864" i="22"/>
  <c r="D863" i="22"/>
  <c r="A863" i="22"/>
  <c r="D862" i="22"/>
  <c r="A862" i="22"/>
  <c r="D861" i="22"/>
  <c r="A861" i="22"/>
  <c r="D860" i="22"/>
  <c r="A860" i="22"/>
  <c r="D859" i="22"/>
  <c r="A859" i="22"/>
  <c r="D858" i="22"/>
  <c r="A858" i="22"/>
  <c r="D857" i="22"/>
  <c r="A857" i="22"/>
  <c r="D856" i="22"/>
  <c r="A856" i="22"/>
  <c r="D855" i="22"/>
  <c r="A855" i="22"/>
  <c r="D854" i="22"/>
  <c r="A854" i="22"/>
  <c r="D853" i="22"/>
  <c r="A853" i="22"/>
  <c r="D852" i="22"/>
  <c r="A852" i="22"/>
  <c r="D851" i="22"/>
  <c r="A851" i="22"/>
  <c r="D850" i="22"/>
  <c r="A850" i="22"/>
  <c r="D849" i="22"/>
  <c r="A849" i="22"/>
  <c r="D848" i="22"/>
  <c r="A848" i="22"/>
  <c r="D847" i="22"/>
  <c r="A847" i="22"/>
  <c r="D846" i="22"/>
  <c r="A846" i="22"/>
  <c r="D845" i="22"/>
  <c r="A845" i="22"/>
  <c r="D844" i="22"/>
  <c r="A844" i="22"/>
  <c r="D843" i="22"/>
  <c r="A843" i="22"/>
  <c r="D842" i="22"/>
  <c r="A842" i="22"/>
  <c r="D841" i="22"/>
  <c r="A841" i="22"/>
  <c r="D840" i="22"/>
  <c r="A840" i="22"/>
  <c r="D839" i="22"/>
  <c r="A839" i="22"/>
  <c r="D838" i="22"/>
  <c r="A838" i="22"/>
  <c r="D837" i="22"/>
  <c r="A837" i="22"/>
  <c r="D836" i="22"/>
  <c r="A836" i="22"/>
  <c r="D835" i="22"/>
  <c r="A835" i="22"/>
  <c r="D834" i="22"/>
  <c r="A834" i="22"/>
  <c r="D833" i="22"/>
  <c r="A833" i="22"/>
  <c r="D832" i="22"/>
  <c r="A832" i="22"/>
  <c r="D831" i="22"/>
  <c r="A831" i="22"/>
  <c r="D830" i="22"/>
  <c r="A830" i="22"/>
  <c r="D829" i="22"/>
  <c r="A829" i="22"/>
  <c r="D828" i="22"/>
  <c r="A828" i="22"/>
  <c r="D827" i="22"/>
  <c r="A827" i="22"/>
  <c r="D826" i="22"/>
  <c r="A826" i="22"/>
  <c r="D825" i="22"/>
  <c r="A825" i="22"/>
  <c r="D824" i="22"/>
  <c r="A824" i="22"/>
  <c r="D823" i="22"/>
  <c r="A823" i="22"/>
  <c r="D822" i="22"/>
  <c r="A822" i="22"/>
  <c r="D821" i="22"/>
  <c r="A821" i="22"/>
  <c r="D820" i="22"/>
  <c r="A820" i="22"/>
  <c r="D819" i="22"/>
  <c r="A819" i="22"/>
  <c r="D818" i="22"/>
  <c r="A818" i="22"/>
  <c r="D817" i="22"/>
  <c r="A817" i="22"/>
  <c r="D816" i="22"/>
  <c r="A816" i="22"/>
  <c r="D815" i="22"/>
  <c r="A815" i="22"/>
  <c r="D814" i="22"/>
  <c r="A814" i="22"/>
  <c r="D813" i="22"/>
  <c r="A813" i="22"/>
  <c r="D812" i="22"/>
  <c r="A812" i="22"/>
  <c r="D811" i="22"/>
  <c r="A811" i="22"/>
  <c r="D810" i="22"/>
  <c r="A810" i="22"/>
  <c r="D809" i="22"/>
  <c r="A809" i="22"/>
  <c r="D808" i="22"/>
  <c r="A808" i="22"/>
  <c r="D807" i="22"/>
  <c r="A807" i="22"/>
  <c r="D806" i="22"/>
  <c r="A806" i="22"/>
  <c r="D805" i="22"/>
  <c r="A805" i="22"/>
  <c r="D804" i="22"/>
  <c r="A804" i="22"/>
  <c r="D803" i="22"/>
  <c r="A803" i="22"/>
  <c r="D802" i="22"/>
  <c r="A802" i="22"/>
  <c r="D801" i="22"/>
  <c r="A801" i="22"/>
  <c r="D800" i="22"/>
  <c r="A800" i="22"/>
  <c r="D799" i="22"/>
  <c r="A799" i="22"/>
  <c r="D798" i="22"/>
  <c r="A798" i="22"/>
  <c r="D797" i="22"/>
  <c r="A797" i="22"/>
  <c r="D796" i="22"/>
  <c r="A796" i="22"/>
  <c r="D795" i="22"/>
  <c r="A795" i="22"/>
  <c r="D794" i="22"/>
  <c r="A794" i="22"/>
  <c r="D793" i="22"/>
  <c r="A793" i="22"/>
  <c r="D792" i="22"/>
  <c r="A792" i="22"/>
  <c r="D791" i="22"/>
  <c r="A791" i="22"/>
  <c r="D790" i="22"/>
  <c r="A790" i="22"/>
  <c r="D789" i="22"/>
  <c r="A789" i="22"/>
  <c r="D788" i="22"/>
  <c r="A788" i="22"/>
  <c r="D787" i="22"/>
  <c r="A787" i="22"/>
  <c r="D786" i="22"/>
  <c r="A786" i="22"/>
  <c r="D785" i="22"/>
  <c r="A785" i="22"/>
  <c r="D784" i="22"/>
  <c r="A784" i="22"/>
  <c r="D783" i="22"/>
  <c r="A783" i="22"/>
  <c r="D782" i="22"/>
  <c r="A782" i="22"/>
  <c r="D781" i="22"/>
  <c r="A781" i="22"/>
  <c r="D780" i="22"/>
  <c r="A780" i="22"/>
  <c r="D779" i="22"/>
  <c r="A779" i="22"/>
  <c r="D778" i="22"/>
  <c r="A778" i="22"/>
  <c r="D777" i="22"/>
  <c r="A777" i="22"/>
  <c r="D776" i="22"/>
  <c r="A776" i="22"/>
  <c r="D775" i="22"/>
  <c r="A775" i="22"/>
  <c r="D774" i="22"/>
  <c r="A774" i="22"/>
  <c r="D773" i="22"/>
  <c r="A773" i="22"/>
  <c r="D772" i="22"/>
  <c r="A772" i="22"/>
  <c r="D771" i="22"/>
  <c r="A771" i="22"/>
  <c r="D770" i="22"/>
  <c r="A770" i="22"/>
  <c r="D769" i="22"/>
  <c r="A769" i="22"/>
  <c r="D768" i="22"/>
  <c r="A768" i="22"/>
  <c r="D767" i="22"/>
  <c r="A767" i="22"/>
  <c r="D766" i="22"/>
  <c r="A766" i="22"/>
  <c r="D765" i="22"/>
  <c r="A765" i="22"/>
  <c r="D764" i="22"/>
  <c r="A764" i="22"/>
  <c r="D763" i="22"/>
  <c r="A763" i="22"/>
  <c r="D762" i="22"/>
  <c r="A762" i="22"/>
  <c r="D761" i="22"/>
  <c r="A761" i="22"/>
  <c r="D760" i="22"/>
  <c r="A760" i="22"/>
  <c r="D759" i="22"/>
  <c r="A759" i="22"/>
  <c r="D758" i="22"/>
  <c r="A758" i="22"/>
  <c r="D757" i="22"/>
  <c r="A757" i="22"/>
  <c r="D756" i="22"/>
  <c r="A756" i="22"/>
  <c r="D755" i="22"/>
  <c r="A755" i="22"/>
  <c r="D754" i="22"/>
  <c r="A754" i="22"/>
  <c r="D753" i="22"/>
  <c r="A753" i="22"/>
  <c r="D752" i="22"/>
  <c r="A752" i="22"/>
  <c r="D751" i="22"/>
  <c r="A751" i="22"/>
  <c r="D750" i="22"/>
  <c r="A750" i="22"/>
  <c r="D749" i="22"/>
  <c r="A749" i="22"/>
  <c r="D748" i="22"/>
  <c r="A748" i="22"/>
  <c r="D747" i="22"/>
  <c r="A747" i="22"/>
  <c r="D746" i="22"/>
  <c r="A746" i="22"/>
  <c r="D745" i="22"/>
  <c r="A745" i="22"/>
  <c r="D744" i="22"/>
  <c r="A744" i="22"/>
  <c r="D743" i="22"/>
  <c r="A743" i="22"/>
  <c r="D742" i="22"/>
  <c r="A742" i="22"/>
  <c r="D741" i="22"/>
  <c r="A741" i="22"/>
  <c r="D740" i="22"/>
  <c r="A740" i="22"/>
  <c r="D739" i="22"/>
  <c r="A739" i="22"/>
  <c r="D738" i="22"/>
  <c r="A738" i="22"/>
  <c r="D737" i="22"/>
  <c r="A737" i="22"/>
  <c r="D736" i="22"/>
  <c r="A736" i="22"/>
  <c r="D735" i="22"/>
  <c r="A735" i="22"/>
  <c r="D734" i="22"/>
  <c r="A734" i="22"/>
  <c r="D733" i="22"/>
  <c r="A733" i="22"/>
  <c r="D732" i="22"/>
  <c r="A732" i="22"/>
  <c r="D731" i="22"/>
  <c r="A731" i="22"/>
  <c r="D730" i="22"/>
  <c r="A730" i="22"/>
  <c r="D729" i="22"/>
  <c r="A729" i="22"/>
  <c r="D728" i="22"/>
  <c r="A728" i="22"/>
  <c r="D727" i="22"/>
  <c r="A727" i="22"/>
  <c r="D726" i="22"/>
  <c r="A726" i="22"/>
  <c r="D725" i="22"/>
  <c r="A725" i="22"/>
  <c r="D724" i="22"/>
  <c r="A724" i="22"/>
  <c r="D723" i="22"/>
  <c r="A723" i="22"/>
  <c r="D722" i="22"/>
  <c r="A722" i="22"/>
  <c r="D721" i="22"/>
  <c r="A721" i="22"/>
  <c r="D720" i="22"/>
  <c r="A720" i="22"/>
  <c r="D719" i="22"/>
  <c r="A719" i="22"/>
  <c r="D718" i="22"/>
  <c r="A718" i="22"/>
  <c r="D717" i="22"/>
  <c r="A717" i="22"/>
  <c r="D716" i="22"/>
  <c r="A716" i="22"/>
  <c r="D715" i="22"/>
  <c r="A715" i="22"/>
  <c r="D714" i="22"/>
  <c r="A714" i="22"/>
  <c r="D713" i="22"/>
  <c r="A713" i="22"/>
  <c r="D712" i="22"/>
  <c r="A712" i="22"/>
  <c r="D711" i="22"/>
  <c r="A711" i="22"/>
  <c r="D710" i="22"/>
  <c r="A710" i="22"/>
  <c r="D709" i="22"/>
  <c r="A709" i="22"/>
  <c r="D708" i="22"/>
  <c r="A708" i="22"/>
  <c r="D707" i="22"/>
  <c r="A707" i="22"/>
  <c r="D706" i="22"/>
  <c r="A706" i="22"/>
  <c r="D705" i="22"/>
  <c r="A705" i="22"/>
  <c r="D704" i="22"/>
  <c r="A704" i="22"/>
  <c r="D703" i="22"/>
  <c r="A703" i="22"/>
  <c r="D702" i="22"/>
  <c r="A702" i="22"/>
  <c r="D701" i="22"/>
  <c r="A701" i="22"/>
  <c r="D700" i="22"/>
  <c r="A700" i="22"/>
  <c r="D699" i="22"/>
  <c r="A699" i="22"/>
  <c r="D698" i="22"/>
  <c r="A698" i="22"/>
  <c r="D697" i="22"/>
  <c r="A697" i="22"/>
  <c r="D696" i="22"/>
  <c r="A696" i="22"/>
  <c r="D695" i="22"/>
  <c r="A695" i="22"/>
  <c r="D694" i="22"/>
  <c r="A694" i="22"/>
  <c r="D693" i="22"/>
  <c r="A693" i="22"/>
  <c r="D692" i="22"/>
  <c r="A692" i="22"/>
  <c r="D691" i="22"/>
  <c r="A691" i="22"/>
  <c r="D690" i="22"/>
  <c r="A690" i="22"/>
  <c r="D689" i="22"/>
  <c r="A689" i="22"/>
  <c r="D688" i="22"/>
  <c r="A688" i="22"/>
  <c r="D687" i="22"/>
  <c r="A687" i="22"/>
  <c r="D686" i="22"/>
  <c r="A686" i="22"/>
  <c r="D685" i="22"/>
  <c r="A685" i="22"/>
  <c r="D684" i="22"/>
  <c r="A684" i="22"/>
  <c r="D683" i="22"/>
  <c r="A683" i="22"/>
  <c r="D682" i="22"/>
  <c r="A682" i="22"/>
  <c r="D681" i="22"/>
  <c r="A681" i="22"/>
  <c r="D680" i="22"/>
  <c r="A680" i="22"/>
  <c r="D679" i="22"/>
  <c r="A679" i="22"/>
  <c r="D678" i="22"/>
  <c r="A678" i="22"/>
  <c r="D677" i="22"/>
  <c r="A677" i="22"/>
  <c r="D676" i="22"/>
  <c r="A676" i="22"/>
  <c r="D675" i="22"/>
  <c r="A675" i="22"/>
  <c r="D674" i="22"/>
  <c r="A674" i="22"/>
  <c r="D673" i="22"/>
  <c r="A673" i="22"/>
  <c r="D672" i="22"/>
  <c r="A672" i="22"/>
  <c r="D671" i="22"/>
  <c r="A671" i="22"/>
  <c r="D670" i="22"/>
  <c r="A670" i="22"/>
  <c r="D669" i="22"/>
  <c r="A669" i="22"/>
  <c r="D668" i="22"/>
  <c r="A668" i="22"/>
  <c r="D667" i="22"/>
  <c r="A667" i="22"/>
  <c r="D666" i="22"/>
  <c r="A666" i="22"/>
  <c r="D665" i="22"/>
  <c r="A665" i="22"/>
  <c r="D664" i="22"/>
  <c r="A664" i="22"/>
  <c r="D663" i="22"/>
  <c r="A663" i="22"/>
  <c r="D662" i="22"/>
  <c r="A662" i="22"/>
  <c r="D661" i="22"/>
  <c r="A661" i="22"/>
  <c r="D660" i="22"/>
  <c r="A660" i="22"/>
  <c r="D659" i="22"/>
  <c r="A659" i="22"/>
  <c r="D658" i="22"/>
  <c r="A658" i="22"/>
  <c r="D657" i="22"/>
  <c r="A657" i="22"/>
  <c r="D656" i="22"/>
  <c r="A656" i="22"/>
  <c r="D655" i="22"/>
  <c r="A655" i="22"/>
  <c r="D654" i="22"/>
  <c r="A654" i="22"/>
  <c r="D653" i="22"/>
  <c r="A653" i="22"/>
  <c r="D652" i="22"/>
  <c r="A652" i="22"/>
  <c r="D651" i="22"/>
  <c r="A651" i="22"/>
  <c r="D650" i="22"/>
  <c r="A650" i="22"/>
  <c r="D649" i="22"/>
  <c r="A649" i="22"/>
  <c r="D648" i="22"/>
  <c r="A648" i="22"/>
  <c r="D647" i="22"/>
  <c r="A647" i="22"/>
  <c r="D646" i="22"/>
  <c r="A646" i="22"/>
  <c r="D645" i="22"/>
  <c r="A645" i="22"/>
  <c r="D644" i="22"/>
  <c r="A644" i="22"/>
  <c r="D643" i="22"/>
  <c r="A643" i="22"/>
  <c r="D642" i="22"/>
  <c r="A642" i="22"/>
  <c r="D641" i="22"/>
  <c r="A641" i="22"/>
  <c r="D640" i="22"/>
  <c r="A640" i="22"/>
  <c r="D639" i="22"/>
  <c r="A639" i="22"/>
  <c r="D638" i="22"/>
  <c r="A638" i="22"/>
  <c r="D637" i="22"/>
  <c r="A637" i="22"/>
  <c r="D636" i="22"/>
  <c r="A636" i="22"/>
  <c r="D635" i="22"/>
  <c r="A635" i="22"/>
  <c r="D634" i="22"/>
  <c r="A634" i="22"/>
  <c r="D633" i="22"/>
  <c r="A633" i="22"/>
  <c r="D632" i="22"/>
  <c r="A632" i="22"/>
  <c r="D631" i="22"/>
  <c r="A631" i="22"/>
  <c r="D630" i="22"/>
  <c r="A630" i="22"/>
  <c r="D629" i="22"/>
  <c r="A629" i="22"/>
  <c r="D628" i="22"/>
  <c r="A628" i="22"/>
  <c r="D627" i="22"/>
  <c r="A627" i="22"/>
  <c r="D626" i="22"/>
  <c r="A626" i="22"/>
  <c r="D625" i="22"/>
  <c r="A625" i="22"/>
  <c r="D624" i="22"/>
  <c r="A624" i="22"/>
  <c r="D623" i="22"/>
  <c r="A623" i="22"/>
  <c r="D622" i="22"/>
  <c r="A622" i="22"/>
  <c r="D621" i="22"/>
  <c r="A621" i="22"/>
  <c r="D620" i="22"/>
  <c r="A620" i="22"/>
  <c r="D619" i="22"/>
  <c r="A619" i="22"/>
  <c r="D618" i="22"/>
  <c r="A618" i="22"/>
  <c r="D617" i="22"/>
  <c r="A617" i="22"/>
  <c r="D616" i="22"/>
  <c r="A616" i="22"/>
  <c r="D615" i="22"/>
  <c r="A615" i="22"/>
  <c r="D614" i="22"/>
  <c r="A614" i="22"/>
  <c r="D613" i="22"/>
  <c r="A613" i="22"/>
  <c r="D612" i="22"/>
  <c r="A612" i="22"/>
  <c r="D611" i="22"/>
  <c r="A611" i="22"/>
  <c r="D610" i="22"/>
  <c r="A610" i="22"/>
  <c r="D609" i="22"/>
  <c r="A609" i="22"/>
  <c r="D608" i="22"/>
  <c r="A608" i="22"/>
  <c r="D607" i="22"/>
  <c r="A607" i="22"/>
  <c r="D606" i="22"/>
  <c r="A606" i="22"/>
  <c r="D605" i="22"/>
  <c r="A605" i="22"/>
  <c r="D604" i="22"/>
  <c r="A604" i="22"/>
  <c r="D603" i="22"/>
  <c r="A603" i="22"/>
  <c r="D602" i="22"/>
  <c r="A602" i="22"/>
  <c r="D601" i="22"/>
  <c r="A601" i="22"/>
  <c r="A600" i="22"/>
  <c r="A599" i="22"/>
  <c r="A598" i="22"/>
  <c r="A597" i="22"/>
  <c r="A596" i="22"/>
  <c r="A595" i="22"/>
  <c r="A594" i="22"/>
  <c r="A593" i="22"/>
  <c r="A592" i="22"/>
  <c r="A591" i="22"/>
  <c r="A590" i="22"/>
  <c r="A589" i="22"/>
  <c r="A588" i="22"/>
  <c r="A587" i="22"/>
  <c r="A586" i="22"/>
  <c r="A585" i="22"/>
  <c r="A584" i="22"/>
  <c r="A583" i="22"/>
  <c r="A582" i="22"/>
  <c r="A581" i="22"/>
  <c r="A580" i="22"/>
  <c r="A579" i="22"/>
  <c r="A578" i="22"/>
  <c r="A577" i="22"/>
  <c r="A576" i="22"/>
  <c r="A575" i="22"/>
  <c r="A574" i="22"/>
  <c r="A573" i="22"/>
  <c r="A572" i="22"/>
  <c r="A571" i="22"/>
  <c r="A570" i="22"/>
  <c r="A569" i="22"/>
  <c r="A568" i="22"/>
  <c r="A567" i="22"/>
  <c r="D566" i="22"/>
  <c r="A566" i="22"/>
  <c r="D565" i="22"/>
  <c r="A565" i="22"/>
  <c r="D564" i="22"/>
  <c r="A564" i="22"/>
  <c r="D563" i="22"/>
  <c r="A563" i="22"/>
  <c r="D562" i="22"/>
  <c r="A562" i="22"/>
  <c r="D561" i="22"/>
  <c r="A561" i="22"/>
  <c r="D560" i="22"/>
  <c r="A560" i="22"/>
  <c r="D559" i="22"/>
  <c r="A559" i="22"/>
  <c r="D558" i="22"/>
  <c r="A558" i="22"/>
  <c r="D557" i="22"/>
  <c r="A557" i="22"/>
  <c r="D556" i="22"/>
  <c r="A556" i="22"/>
  <c r="D555" i="22"/>
  <c r="A555" i="22"/>
  <c r="D554" i="22"/>
  <c r="A554" i="22"/>
  <c r="D553" i="22"/>
  <c r="A553" i="22"/>
  <c r="D552" i="22"/>
  <c r="A552" i="22"/>
  <c r="D551" i="22"/>
  <c r="A551" i="22"/>
  <c r="D550" i="22"/>
  <c r="A550" i="22"/>
  <c r="D549" i="22"/>
  <c r="A549" i="22"/>
  <c r="D548" i="22"/>
  <c r="A548" i="22"/>
  <c r="D547" i="22"/>
  <c r="A547" i="22"/>
  <c r="D546" i="22"/>
  <c r="A546" i="22"/>
  <c r="D545" i="22"/>
  <c r="A545" i="22"/>
  <c r="D544" i="22"/>
  <c r="A544" i="22"/>
  <c r="D543" i="22"/>
  <c r="A543" i="22"/>
  <c r="D542" i="22"/>
  <c r="A542" i="22"/>
  <c r="D541" i="22"/>
  <c r="A541" i="22"/>
  <c r="D540" i="22"/>
  <c r="A540" i="22"/>
  <c r="D539" i="22"/>
  <c r="A539" i="22"/>
  <c r="D538" i="22"/>
  <c r="A538" i="22"/>
  <c r="D537" i="22"/>
  <c r="A537" i="22"/>
  <c r="D536" i="22"/>
  <c r="A536" i="22"/>
  <c r="D535" i="22"/>
  <c r="A535" i="22"/>
  <c r="D534" i="22"/>
  <c r="A534" i="22"/>
  <c r="D533" i="22"/>
  <c r="A533" i="22"/>
  <c r="D532" i="22"/>
  <c r="A532" i="22"/>
  <c r="D531" i="22"/>
  <c r="A531" i="22"/>
  <c r="D530" i="22"/>
  <c r="A530" i="22"/>
  <c r="D529" i="22"/>
  <c r="A529" i="22"/>
  <c r="D528" i="22"/>
  <c r="A528" i="22"/>
  <c r="D527" i="22"/>
  <c r="A527" i="22"/>
  <c r="D526" i="22"/>
  <c r="A526" i="22"/>
  <c r="D525" i="22"/>
  <c r="A525" i="22"/>
  <c r="D524" i="22"/>
  <c r="A524" i="22"/>
  <c r="D523" i="22"/>
  <c r="A523" i="22"/>
  <c r="D522" i="22"/>
  <c r="A522" i="22"/>
  <c r="D521" i="22"/>
  <c r="A521" i="22"/>
  <c r="D520" i="22"/>
  <c r="A520" i="22"/>
  <c r="D519" i="22"/>
  <c r="A519" i="22"/>
  <c r="D518" i="22"/>
  <c r="A518" i="22"/>
  <c r="D517" i="22"/>
  <c r="A517" i="22"/>
  <c r="D516" i="22"/>
  <c r="A516" i="22"/>
  <c r="D515" i="22"/>
  <c r="A515" i="22"/>
  <c r="D514" i="22"/>
  <c r="A514" i="22"/>
  <c r="D513" i="22"/>
  <c r="A513" i="22"/>
  <c r="D512" i="22"/>
  <c r="A512" i="22"/>
  <c r="D511" i="22"/>
  <c r="A511" i="22"/>
  <c r="D510" i="22"/>
  <c r="A510" i="22"/>
  <c r="D509" i="22"/>
  <c r="A509" i="22"/>
  <c r="D508" i="22"/>
  <c r="A508" i="22"/>
  <c r="D507" i="22"/>
  <c r="A507" i="22"/>
  <c r="D506" i="22"/>
  <c r="A506" i="22"/>
  <c r="D505" i="22"/>
  <c r="A505" i="22"/>
  <c r="D504" i="22"/>
  <c r="A504" i="22"/>
  <c r="D503" i="22"/>
  <c r="A503" i="22"/>
  <c r="D502" i="22"/>
  <c r="A502" i="22"/>
  <c r="D501" i="22"/>
  <c r="A501" i="22"/>
  <c r="D500" i="22"/>
  <c r="A500" i="22"/>
  <c r="D499" i="22"/>
  <c r="A499" i="22"/>
  <c r="D498" i="22"/>
  <c r="A498" i="22"/>
  <c r="D497" i="22"/>
  <c r="A497" i="22"/>
  <c r="D496" i="22"/>
  <c r="A496" i="22"/>
  <c r="D495" i="22"/>
  <c r="A495" i="22"/>
  <c r="D494" i="22"/>
  <c r="A494" i="22"/>
  <c r="D493" i="22"/>
  <c r="A493" i="22"/>
  <c r="D492" i="22"/>
  <c r="A492" i="22"/>
  <c r="D491" i="22"/>
  <c r="A491" i="22"/>
  <c r="D490" i="22"/>
  <c r="A490" i="22"/>
  <c r="D489" i="22"/>
  <c r="A489" i="22"/>
  <c r="D488" i="22"/>
  <c r="A488" i="22"/>
  <c r="D487" i="22"/>
  <c r="A487" i="22"/>
  <c r="D486" i="22"/>
  <c r="A486" i="22"/>
  <c r="D485" i="22"/>
  <c r="A485" i="22"/>
  <c r="D484" i="22"/>
  <c r="A484" i="22"/>
  <c r="D483" i="22"/>
  <c r="A483" i="22"/>
  <c r="D482" i="22"/>
  <c r="A482" i="22"/>
  <c r="D481" i="22"/>
  <c r="A481" i="22"/>
  <c r="D480" i="22"/>
  <c r="A480" i="22"/>
  <c r="D479" i="22"/>
  <c r="A479" i="22"/>
  <c r="D478" i="22"/>
  <c r="A478" i="22"/>
  <c r="D477" i="22"/>
  <c r="A477" i="22"/>
  <c r="D476" i="22"/>
  <c r="A476" i="22"/>
  <c r="D475" i="22"/>
  <c r="A475" i="22"/>
  <c r="D474" i="22"/>
  <c r="A474" i="22"/>
  <c r="D473" i="22"/>
  <c r="A473" i="22"/>
  <c r="D472" i="22"/>
  <c r="A472" i="22"/>
  <c r="D471" i="22"/>
  <c r="A471" i="22"/>
  <c r="D470" i="22"/>
  <c r="A470" i="22"/>
  <c r="D469" i="22"/>
  <c r="A469" i="22"/>
  <c r="D468" i="22"/>
  <c r="A468" i="22"/>
  <c r="D467" i="22"/>
  <c r="A467" i="22"/>
  <c r="D466" i="22"/>
  <c r="A466" i="22"/>
  <c r="D465" i="22"/>
  <c r="A465" i="22"/>
  <c r="D464" i="22"/>
  <c r="A464" i="22"/>
  <c r="D463" i="22"/>
  <c r="A463" i="22"/>
  <c r="D462" i="22"/>
  <c r="A462" i="22"/>
  <c r="D461" i="22"/>
  <c r="A461" i="22"/>
  <c r="D460" i="22"/>
  <c r="A460" i="22"/>
  <c r="D459" i="22"/>
  <c r="A459" i="22"/>
  <c r="D458" i="22"/>
  <c r="A458" i="22"/>
  <c r="D457" i="22"/>
  <c r="A457" i="22"/>
  <c r="D456" i="22"/>
  <c r="A456" i="22"/>
  <c r="D455" i="22"/>
  <c r="A455" i="22"/>
  <c r="D454" i="22"/>
  <c r="A454" i="22"/>
  <c r="D453" i="22"/>
  <c r="A453" i="22"/>
  <c r="D452" i="22"/>
  <c r="A452" i="22"/>
  <c r="D451" i="22"/>
  <c r="A451" i="22"/>
  <c r="D450" i="22"/>
  <c r="A450" i="22"/>
  <c r="D449" i="22"/>
  <c r="A449" i="22"/>
  <c r="D448" i="22"/>
  <c r="A448" i="22"/>
  <c r="D447" i="22"/>
  <c r="A447" i="22"/>
  <c r="D446" i="22"/>
  <c r="A446" i="22"/>
  <c r="D445" i="22"/>
  <c r="A445" i="22"/>
  <c r="D444" i="22"/>
  <c r="A444" i="22"/>
  <c r="D443" i="22"/>
  <c r="A443" i="22"/>
  <c r="D442" i="22"/>
  <c r="A442" i="22"/>
  <c r="D441" i="22"/>
  <c r="A441" i="22"/>
  <c r="D440" i="22"/>
  <c r="A440" i="22"/>
  <c r="D439" i="22"/>
  <c r="A439" i="22"/>
  <c r="D438" i="22"/>
  <c r="A438" i="22"/>
  <c r="D437" i="22"/>
  <c r="A437" i="22"/>
  <c r="D436" i="22"/>
  <c r="A436" i="22"/>
  <c r="D435" i="22"/>
  <c r="A435" i="22"/>
  <c r="D434" i="22"/>
  <c r="A434" i="22"/>
  <c r="D433" i="22"/>
  <c r="A433" i="22"/>
  <c r="D432" i="22"/>
  <c r="A432" i="22"/>
  <c r="D431" i="22"/>
  <c r="A431" i="22"/>
  <c r="D430" i="22"/>
  <c r="A430" i="22"/>
  <c r="D429" i="22"/>
  <c r="A429" i="22"/>
  <c r="D428" i="22"/>
  <c r="A428" i="22"/>
  <c r="D427" i="22"/>
  <c r="A427" i="22"/>
  <c r="D426" i="22"/>
  <c r="A426" i="22"/>
  <c r="D425" i="22"/>
  <c r="A425" i="22"/>
  <c r="D424" i="22"/>
  <c r="A424" i="22"/>
  <c r="D423" i="22"/>
  <c r="A423" i="22"/>
  <c r="D422" i="22"/>
  <c r="A422" i="22"/>
  <c r="D421" i="22"/>
  <c r="A421" i="22"/>
  <c r="D420" i="22"/>
  <c r="A420" i="22"/>
  <c r="D419" i="22"/>
  <c r="A419" i="22"/>
  <c r="D418" i="22"/>
  <c r="A418" i="22"/>
  <c r="D417" i="22"/>
  <c r="A417" i="22"/>
  <c r="D416" i="22"/>
  <c r="A416" i="22"/>
  <c r="D415" i="22"/>
  <c r="A415" i="22"/>
  <c r="D414" i="22"/>
  <c r="A414" i="22"/>
  <c r="D413" i="22"/>
  <c r="A413" i="22"/>
  <c r="D412" i="22"/>
  <c r="A412" i="22"/>
  <c r="D411" i="22"/>
  <c r="A411" i="22"/>
  <c r="D410" i="22"/>
  <c r="A410" i="22"/>
  <c r="D409" i="22"/>
  <c r="A409" i="22"/>
  <c r="D408" i="22"/>
  <c r="A408" i="22"/>
  <c r="D407" i="22"/>
  <c r="A407" i="22"/>
  <c r="D406" i="22"/>
  <c r="A406" i="22"/>
  <c r="D405" i="22"/>
  <c r="A405" i="22"/>
  <c r="D404" i="22"/>
  <c r="A404" i="22"/>
  <c r="D403" i="22"/>
  <c r="A403" i="22"/>
  <c r="D402" i="22"/>
  <c r="A402" i="22"/>
  <c r="D401" i="22"/>
  <c r="A401" i="22"/>
  <c r="D400" i="22"/>
  <c r="A400" i="22"/>
  <c r="D399" i="22"/>
  <c r="A399" i="22"/>
  <c r="D398" i="22"/>
  <c r="A398" i="22"/>
  <c r="D397" i="22"/>
  <c r="A397" i="22"/>
  <c r="D396" i="22"/>
  <c r="A396" i="22"/>
  <c r="D395" i="22"/>
  <c r="A395" i="22"/>
  <c r="D394" i="22"/>
  <c r="A394" i="22"/>
  <c r="D393" i="22"/>
  <c r="A393" i="22"/>
  <c r="D392" i="22"/>
  <c r="A392" i="22"/>
  <c r="D391" i="22"/>
  <c r="A391" i="22"/>
  <c r="D390" i="22"/>
  <c r="A390" i="22"/>
  <c r="D389" i="22"/>
  <c r="A389" i="22"/>
  <c r="D388" i="22"/>
  <c r="A388" i="22"/>
  <c r="D387" i="22"/>
  <c r="A387" i="22"/>
  <c r="D386" i="22"/>
  <c r="A386" i="22"/>
  <c r="D385" i="22"/>
  <c r="A385" i="22"/>
  <c r="D384" i="22"/>
  <c r="A384" i="22"/>
  <c r="D383" i="22"/>
  <c r="A383" i="22"/>
  <c r="D382" i="22"/>
  <c r="A382" i="22"/>
  <c r="D381" i="22"/>
  <c r="A381" i="22"/>
  <c r="D380" i="22"/>
  <c r="A380" i="22"/>
  <c r="D379" i="22"/>
  <c r="A379" i="22"/>
  <c r="D378" i="22"/>
  <c r="A378" i="22"/>
  <c r="D377" i="22"/>
  <c r="A377" i="22"/>
  <c r="D376" i="22"/>
  <c r="A376" i="22"/>
  <c r="D375" i="22"/>
  <c r="A375" i="22"/>
  <c r="D374" i="22"/>
  <c r="A374" i="22"/>
  <c r="D373" i="22"/>
  <c r="A373" i="22"/>
  <c r="D372" i="22"/>
  <c r="A372" i="22"/>
  <c r="D371" i="22"/>
  <c r="A371" i="22"/>
  <c r="D370" i="22"/>
  <c r="A370" i="22"/>
  <c r="D369" i="22"/>
  <c r="A369" i="22"/>
  <c r="D368" i="22"/>
  <c r="A368" i="22"/>
  <c r="D367" i="22"/>
  <c r="A367" i="22"/>
  <c r="D366" i="22"/>
  <c r="A366" i="22"/>
  <c r="D365" i="22"/>
  <c r="A365" i="22"/>
  <c r="D364" i="22"/>
  <c r="A364" i="22"/>
  <c r="D363" i="22"/>
  <c r="A363" i="22"/>
  <c r="D362" i="22"/>
  <c r="A362" i="22"/>
  <c r="D361" i="22"/>
  <c r="A361" i="22"/>
  <c r="D360" i="22"/>
  <c r="A360" i="22"/>
  <c r="D359" i="22"/>
  <c r="A359" i="22"/>
  <c r="D358" i="22"/>
  <c r="A358" i="22"/>
  <c r="D357" i="22"/>
  <c r="A357" i="22"/>
  <c r="D356" i="22"/>
  <c r="A356" i="22"/>
  <c r="D355" i="22"/>
  <c r="A355" i="22"/>
  <c r="D354" i="22"/>
  <c r="A354" i="22"/>
  <c r="D353" i="22"/>
  <c r="A353" i="22"/>
  <c r="D352" i="22"/>
  <c r="A352" i="22"/>
  <c r="D351" i="22"/>
  <c r="A351" i="22"/>
  <c r="D350" i="22"/>
  <c r="A350" i="22"/>
  <c r="D349" i="22"/>
  <c r="A349" i="22"/>
  <c r="D348" i="22"/>
  <c r="A348" i="22"/>
  <c r="D347" i="22"/>
  <c r="A347" i="22"/>
  <c r="D346" i="22"/>
  <c r="A346" i="22"/>
  <c r="D345" i="22"/>
  <c r="A345" i="22"/>
  <c r="D344" i="22"/>
  <c r="A344" i="22"/>
  <c r="D343" i="22"/>
  <c r="A343" i="22"/>
  <c r="D342" i="22"/>
  <c r="A342" i="22"/>
  <c r="D341" i="22"/>
  <c r="A341" i="22"/>
  <c r="D340" i="22"/>
  <c r="A340" i="22"/>
  <c r="D339" i="22"/>
  <c r="A339" i="22"/>
  <c r="D338" i="22"/>
  <c r="A338" i="22"/>
  <c r="D337" i="22"/>
  <c r="A337" i="22"/>
  <c r="D336" i="22"/>
  <c r="A336" i="22"/>
  <c r="D335" i="22"/>
  <c r="A335" i="22"/>
  <c r="D334" i="22"/>
  <c r="A334" i="22"/>
  <c r="D333" i="22"/>
  <c r="A333" i="22"/>
  <c r="D332" i="22"/>
  <c r="A332" i="22"/>
  <c r="D331" i="22"/>
  <c r="A331" i="22"/>
  <c r="D330" i="22"/>
  <c r="A330" i="22"/>
  <c r="D329" i="22"/>
  <c r="A329" i="22"/>
  <c r="D328" i="22"/>
  <c r="A328" i="22"/>
  <c r="D327" i="22"/>
  <c r="A327" i="22"/>
  <c r="D326" i="22"/>
  <c r="A326" i="22"/>
  <c r="D325" i="22"/>
  <c r="A325" i="22"/>
  <c r="D324" i="22"/>
  <c r="A324" i="22"/>
  <c r="D323" i="22"/>
  <c r="A323" i="22"/>
  <c r="D322" i="22"/>
  <c r="A322" i="22"/>
  <c r="D321" i="22"/>
  <c r="A321" i="22"/>
  <c r="D320" i="22"/>
  <c r="A320" i="22"/>
  <c r="D319" i="22"/>
  <c r="A319" i="22"/>
  <c r="D318" i="22"/>
  <c r="A318" i="22"/>
  <c r="D317" i="22"/>
  <c r="A317" i="22"/>
  <c r="D316" i="22"/>
  <c r="A316" i="22"/>
  <c r="D315" i="22"/>
  <c r="A315" i="22"/>
  <c r="D314" i="22"/>
  <c r="A314" i="22"/>
  <c r="D313" i="22"/>
  <c r="A313" i="22"/>
  <c r="D312" i="22"/>
  <c r="A312" i="22"/>
  <c r="D311" i="22"/>
  <c r="A311" i="22"/>
  <c r="D310" i="22"/>
  <c r="A310" i="22"/>
  <c r="D309" i="22"/>
  <c r="A309" i="22"/>
  <c r="D308" i="22"/>
  <c r="A308" i="22"/>
  <c r="D307" i="22"/>
  <c r="A307" i="22"/>
  <c r="D306" i="22"/>
  <c r="A306" i="22"/>
  <c r="D305" i="22"/>
  <c r="A305" i="22"/>
  <c r="D304" i="22"/>
  <c r="A304" i="22"/>
  <c r="D303" i="22"/>
  <c r="A303" i="22"/>
  <c r="D302" i="22"/>
  <c r="A302" i="22"/>
  <c r="D301" i="22"/>
  <c r="A301" i="22"/>
  <c r="D300" i="22"/>
  <c r="A300" i="22"/>
  <c r="D299" i="22"/>
  <c r="A299" i="22"/>
  <c r="D298" i="22"/>
  <c r="A298" i="22"/>
  <c r="D297" i="22"/>
  <c r="A297" i="22"/>
  <c r="D296" i="22"/>
  <c r="A296" i="22"/>
  <c r="D295" i="22"/>
  <c r="A295" i="22"/>
  <c r="D294" i="22"/>
  <c r="A294" i="22"/>
  <c r="D293" i="22"/>
  <c r="A293" i="22"/>
  <c r="D292" i="22"/>
  <c r="A292" i="22"/>
  <c r="D291" i="22"/>
  <c r="A291" i="22"/>
  <c r="D290" i="22"/>
  <c r="A290" i="22"/>
  <c r="D289" i="22"/>
  <c r="A289" i="22"/>
  <c r="D288" i="22"/>
  <c r="A288" i="22"/>
  <c r="D287" i="22"/>
  <c r="A287" i="22"/>
  <c r="D286" i="22"/>
  <c r="A286" i="22"/>
  <c r="D285" i="22"/>
  <c r="A285" i="22"/>
  <c r="D284" i="22"/>
  <c r="A284" i="22"/>
  <c r="D283" i="22"/>
  <c r="A283" i="22"/>
  <c r="D282" i="22"/>
  <c r="A282" i="22"/>
  <c r="D281" i="22"/>
  <c r="A281" i="22"/>
  <c r="D280" i="22"/>
  <c r="A280" i="22"/>
  <c r="D279" i="22"/>
  <c r="A279" i="22"/>
  <c r="D278" i="22"/>
  <c r="A278" i="22"/>
  <c r="D277" i="22"/>
  <c r="A277" i="22"/>
  <c r="D276" i="22"/>
  <c r="A276" i="22"/>
  <c r="D275" i="22"/>
  <c r="A275" i="22"/>
  <c r="D274" i="22"/>
  <c r="A274" i="22"/>
  <c r="D273" i="22"/>
  <c r="A273" i="22"/>
  <c r="D272" i="22"/>
  <c r="A272" i="22"/>
  <c r="D271" i="22"/>
  <c r="A271" i="22"/>
  <c r="D270" i="22"/>
  <c r="A270" i="22"/>
  <c r="D269" i="22"/>
  <c r="A269" i="22"/>
  <c r="D268" i="22"/>
  <c r="A268" i="22"/>
  <c r="D267" i="22"/>
  <c r="A267" i="22"/>
  <c r="D266" i="22"/>
  <c r="A266" i="22"/>
  <c r="D265" i="22"/>
  <c r="A265" i="22"/>
  <c r="D264" i="22"/>
  <c r="A264" i="22"/>
  <c r="D263" i="22"/>
  <c r="A263" i="22"/>
  <c r="D262" i="22"/>
  <c r="A262" i="22"/>
  <c r="D261" i="22"/>
  <c r="A261" i="22"/>
  <c r="D260" i="22"/>
  <c r="A260" i="22"/>
  <c r="D259" i="22"/>
  <c r="A259" i="22"/>
  <c r="D258" i="22"/>
  <c r="A258" i="22"/>
  <c r="D257" i="22"/>
  <c r="A257" i="22"/>
  <c r="D256" i="22"/>
  <c r="A256" i="22"/>
  <c r="D255" i="22"/>
  <c r="A255" i="22"/>
  <c r="D254" i="22"/>
  <c r="A254" i="22"/>
  <c r="D253" i="22"/>
  <c r="A253" i="22"/>
  <c r="D252" i="22"/>
  <c r="A252" i="22"/>
  <c r="D251" i="22"/>
  <c r="A251" i="22"/>
  <c r="D250" i="22"/>
  <c r="A250" i="22"/>
  <c r="D249" i="22"/>
  <c r="A249" i="22"/>
  <c r="D248" i="22"/>
  <c r="A248" i="22"/>
  <c r="D247" i="22"/>
  <c r="A247" i="22"/>
  <c r="D246" i="22"/>
  <c r="A246" i="22"/>
  <c r="D245" i="22"/>
  <c r="A245" i="22"/>
  <c r="D244" i="22"/>
  <c r="A244" i="22"/>
  <c r="D243" i="22"/>
  <c r="A243" i="22"/>
  <c r="D242" i="22"/>
  <c r="A242" i="22"/>
  <c r="D241" i="22"/>
  <c r="A241" i="22"/>
  <c r="D240" i="22"/>
  <c r="A240" i="22"/>
  <c r="D239" i="22"/>
  <c r="A239" i="22"/>
  <c r="D238" i="22"/>
  <c r="A238" i="22"/>
  <c r="D237" i="22"/>
  <c r="A237" i="22"/>
  <c r="D236" i="22"/>
  <c r="A236" i="22"/>
  <c r="D235" i="22"/>
  <c r="A235" i="22"/>
  <c r="D234" i="22"/>
  <c r="A234" i="22"/>
  <c r="D233" i="22"/>
  <c r="A233" i="22"/>
  <c r="D232" i="22"/>
  <c r="A232" i="22"/>
  <c r="D231" i="22"/>
  <c r="A231" i="22"/>
  <c r="D230" i="22"/>
  <c r="A230" i="22"/>
  <c r="D229" i="22"/>
  <c r="A229" i="22"/>
  <c r="D228" i="22"/>
  <c r="A228" i="22"/>
  <c r="D227" i="22"/>
  <c r="A227" i="22"/>
  <c r="D226" i="22"/>
  <c r="A226" i="22"/>
  <c r="D225" i="22"/>
  <c r="A225" i="22"/>
  <c r="D224" i="22"/>
  <c r="A224" i="22"/>
  <c r="D223" i="22"/>
  <c r="A223" i="22"/>
  <c r="D222" i="22"/>
  <c r="A222" i="22"/>
  <c r="D221" i="22"/>
  <c r="A221" i="22"/>
  <c r="D220" i="22"/>
  <c r="A220" i="22"/>
  <c r="D219" i="22"/>
  <c r="A219" i="22"/>
  <c r="D218" i="22"/>
  <c r="A218" i="22"/>
  <c r="D217" i="22"/>
  <c r="A217" i="22"/>
  <c r="D216" i="22"/>
  <c r="A216" i="22"/>
  <c r="D215" i="22"/>
  <c r="A215" i="22"/>
  <c r="D214" i="22"/>
  <c r="A214" i="22"/>
  <c r="D213" i="22"/>
  <c r="A213" i="22"/>
  <c r="D212" i="22"/>
  <c r="A212" i="22"/>
  <c r="D211" i="22"/>
  <c r="A211" i="22"/>
  <c r="D210" i="22"/>
  <c r="A210" i="22"/>
  <c r="D209" i="22"/>
  <c r="A209" i="22"/>
  <c r="D208" i="22"/>
  <c r="A208" i="22"/>
  <c r="D207" i="22"/>
  <c r="A207" i="22"/>
  <c r="D206" i="22"/>
  <c r="A206" i="22"/>
  <c r="D205" i="22"/>
  <c r="A205" i="22"/>
  <c r="D204" i="22"/>
  <c r="A204" i="22"/>
  <c r="D203" i="22"/>
  <c r="A203" i="22"/>
  <c r="D202" i="22"/>
  <c r="A202" i="22"/>
  <c r="D201" i="22"/>
  <c r="A201" i="22"/>
  <c r="D200" i="22"/>
  <c r="A200" i="22"/>
  <c r="D199" i="22"/>
  <c r="A199" i="22"/>
  <c r="D198" i="22"/>
  <c r="A198" i="22"/>
  <c r="D197" i="22"/>
  <c r="A197" i="22"/>
  <c r="D196" i="22"/>
  <c r="A196" i="22"/>
  <c r="D195" i="22"/>
  <c r="A195" i="22"/>
  <c r="D194" i="22"/>
  <c r="A194" i="22"/>
  <c r="D193" i="22"/>
  <c r="A193" i="22"/>
  <c r="D192" i="22"/>
  <c r="A192" i="22"/>
  <c r="D191" i="22"/>
  <c r="A191" i="22"/>
  <c r="D190" i="22"/>
  <c r="A190" i="22"/>
  <c r="D189" i="22"/>
  <c r="A189" i="22"/>
  <c r="D188" i="22"/>
  <c r="A188" i="22"/>
  <c r="D187" i="22"/>
  <c r="A187" i="22"/>
  <c r="D186" i="22"/>
  <c r="A186" i="22"/>
  <c r="D185" i="22"/>
  <c r="A185" i="22"/>
  <c r="D184" i="22"/>
  <c r="A184" i="22"/>
  <c r="D183" i="22"/>
  <c r="A183" i="22"/>
  <c r="D182" i="22"/>
  <c r="A182" i="22"/>
  <c r="D181" i="22"/>
  <c r="A181" i="22"/>
  <c r="D180" i="22"/>
  <c r="A180" i="22"/>
  <c r="D179" i="22"/>
  <c r="A179" i="22"/>
  <c r="D178" i="22"/>
  <c r="A178" i="22"/>
  <c r="D177" i="22"/>
  <c r="A177" i="22"/>
  <c r="D176" i="22"/>
  <c r="A176" i="22"/>
  <c r="D175" i="22"/>
  <c r="A175" i="22"/>
  <c r="D174" i="22"/>
  <c r="A174" i="22"/>
  <c r="D173" i="22"/>
  <c r="A173" i="22"/>
  <c r="D172" i="22"/>
  <c r="A172" i="22"/>
  <c r="D171" i="22"/>
  <c r="A171" i="22"/>
  <c r="D170" i="22"/>
  <c r="A170" i="22"/>
  <c r="D169" i="22"/>
  <c r="A169" i="22"/>
  <c r="D168" i="22"/>
  <c r="A168" i="22"/>
  <c r="D167" i="22"/>
  <c r="A167" i="22"/>
  <c r="D166" i="22"/>
  <c r="A166" i="22"/>
  <c r="D165" i="22"/>
  <c r="A165" i="22"/>
  <c r="D164" i="22"/>
  <c r="A164" i="22"/>
  <c r="D163" i="22"/>
  <c r="A163" i="22"/>
  <c r="D162" i="22"/>
  <c r="A162" i="22"/>
  <c r="D161" i="22"/>
  <c r="A161" i="22"/>
  <c r="D160" i="22"/>
  <c r="A160" i="22"/>
  <c r="D159" i="22"/>
  <c r="A159" i="22"/>
  <c r="D158" i="22"/>
  <c r="A158" i="22"/>
  <c r="D157" i="22"/>
  <c r="A157" i="22"/>
  <c r="D156" i="22"/>
  <c r="A156" i="22"/>
  <c r="D155" i="22"/>
  <c r="A155" i="22"/>
  <c r="D154" i="22"/>
  <c r="A154" i="22"/>
  <c r="D153" i="22"/>
  <c r="A153" i="22"/>
  <c r="D152" i="22"/>
  <c r="A152" i="22"/>
  <c r="D151" i="22"/>
  <c r="A151" i="22"/>
  <c r="D150" i="22"/>
  <c r="A150" i="22"/>
  <c r="D149" i="22"/>
  <c r="A149" i="22"/>
  <c r="D148" i="22"/>
  <c r="A148" i="22"/>
  <c r="D147" i="22"/>
  <c r="A147" i="22"/>
  <c r="D146" i="22"/>
  <c r="A146" i="22"/>
  <c r="D145" i="22"/>
  <c r="A145" i="22"/>
  <c r="D144" i="22"/>
  <c r="A144" i="22"/>
  <c r="D143" i="22"/>
  <c r="A143" i="22"/>
  <c r="D142" i="22"/>
  <c r="A142" i="22"/>
  <c r="D141" i="22"/>
  <c r="A141" i="22"/>
  <c r="D140" i="22"/>
  <c r="A140" i="22"/>
  <c r="D139" i="22"/>
  <c r="A139" i="22"/>
  <c r="D138" i="22"/>
  <c r="A138" i="22"/>
  <c r="D137" i="22"/>
  <c r="A137" i="22"/>
  <c r="D136" i="22"/>
  <c r="A136" i="22"/>
  <c r="D135" i="22"/>
  <c r="A135" i="22"/>
  <c r="D134" i="22"/>
  <c r="A134" i="22"/>
  <c r="D133" i="22"/>
  <c r="A133" i="22"/>
  <c r="D132" i="22"/>
  <c r="A132" i="22"/>
  <c r="D131" i="22"/>
  <c r="A131" i="22"/>
  <c r="D130" i="22"/>
  <c r="A130" i="22"/>
  <c r="D129" i="22"/>
  <c r="A129" i="22"/>
  <c r="D128" i="22"/>
  <c r="A128" i="22"/>
  <c r="D127" i="22"/>
  <c r="A127" i="22"/>
  <c r="D126" i="22"/>
  <c r="A126" i="22"/>
  <c r="D125" i="22"/>
  <c r="A125" i="22"/>
  <c r="D124" i="22"/>
  <c r="A124" i="22"/>
  <c r="D123" i="22"/>
  <c r="A123" i="22"/>
  <c r="D122" i="22"/>
  <c r="A122" i="22"/>
  <c r="D121" i="22"/>
  <c r="A121" i="22"/>
  <c r="D120" i="22"/>
  <c r="A120" i="22"/>
  <c r="D119" i="22"/>
  <c r="A119" i="22"/>
  <c r="D118" i="22"/>
  <c r="A118" i="22"/>
  <c r="D117" i="22"/>
  <c r="A117" i="22"/>
  <c r="D116" i="22"/>
  <c r="A116" i="22"/>
  <c r="D115" i="22"/>
  <c r="A115" i="22"/>
  <c r="D114" i="22"/>
  <c r="A114" i="22"/>
  <c r="D113" i="22"/>
  <c r="A113" i="22"/>
  <c r="D112" i="22"/>
  <c r="A112" i="22"/>
  <c r="D111" i="22"/>
  <c r="A111" i="22"/>
  <c r="D110" i="22"/>
  <c r="A110" i="22"/>
  <c r="K9" i="3" s="1"/>
  <c r="D109" i="22"/>
  <c r="A109" i="22"/>
  <c r="D108" i="22"/>
  <c r="A108" i="22"/>
  <c r="D107" i="22"/>
  <c r="A107" i="22"/>
  <c r="D106" i="22"/>
  <c r="A106" i="22"/>
  <c r="D105" i="22"/>
  <c r="A105" i="22"/>
  <c r="D104" i="22"/>
  <c r="A104" i="22"/>
  <c r="D103" i="22"/>
  <c r="A103" i="22"/>
  <c r="D102" i="22"/>
  <c r="A102" i="22"/>
  <c r="D101" i="22"/>
  <c r="A101" i="22"/>
  <c r="D100" i="22"/>
  <c r="A100" i="22"/>
  <c r="D99" i="22"/>
  <c r="A99" i="22"/>
  <c r="D98" i="22"/>
  <c r="A98" i="22"/>
  <c r="D97" i="22"/>
  <c r="A97" i="22"/>
  <c r="D96" i="22"/>
  <c r="A96" i="22"/>
  <c r="D95" i="22"/>
  <c r="A95" i="22"/>
  <c r="D94" i="22"/>
  <c r="A94" i="22"/>
  <c r="D93" i="22"/>
  <c r="A93" i="22"/>
  <c r="D92" i="22"/>
  <c r="A92" i="22"/>
  <c r="D91" i="22"/>
  <c r="A91" i="22"/>
  <c r="D90" i="22"/>
  <c r="A90" i="22"/>
  <c r="D89" i="22"/>
  <c r="A89" i="22"/>
  <c r="D88" i="22"/>
  <c r="A88" i="22"/>
  <c r="D87" i="22"/>
  <c r="A87" i="22"/>
  <c r="D86" i="22"/>
  <c r="A86" i="22"/>
  <c r="D85" i="22"/>
  <c r="A85" i="22"/>
  <c r="D84" i="22"/>
  <c r="A84" i="22"/>
  <c r="D83" i="22"/>
  <c r="A83" i="22"/>
  <c r="D82" i="22"/>
  <c r="A82" i="22"/>
  <c r="D81" i="22"/>
  <c r="A81" i="22"/>
  <c r="D80" i="22"/>
  <c r="A80" i="22"/>
  <c r="D79" i="22"/>
  <c r="A79" i="22"/>
  <c r="D78" i="22"/>
  <c r="A78" i="22"/>
  <c r="D77" i="22"/>
  <c r="A77" i="22"/>
  <c r="D76" i="22"/>
  <c r="A76" i="22"/>
  <c r="D75" i="22"/>
  <c r="A75" i="22"/>
  <c r="D74" i="22"/>
  <c r="A74" i="22"/>
  <c r="D73" i="22"/>
  <c r="A73" i="22"/>
  <c r="D72" i="22"/>
  <c r="A72" i="22"/>
  <c r="D71" i="22"/>
  <c r="A71" i="22"/>
  <c r="D70" i="22"/>
  <c r="A70" i="22"/>
  <c r="D69" i="22"/>
  <c r="A69" i="22"/>
  <c r="D68" i="22"/>
  <c r="A68" i="22"/>
  <c r="D67" i="22"/>
  <c r="A67" i="22"/>
  <c r="D66" i="22"/>
  <c r="A66" i="22"/>
  <c r="D65" i="22"/>
  <c r="A65" i="22"/>
  <c r="D64" i="22"/>
  <c r="A64" i="22"/>
  <c r="D63" i="22"/>
  <c r="A63" i="22"/>
  <c r="D62" i="22"/>
  <c r="A62" i="22"/>
  <c r="D61" i="22"/>
  <c r="A61" i="22"/>
  <c r="D60" i="22"/>
  <c r="A60" i="22"/>
  <c r="D59" i="22"/>
  <c r="A59" i="22"/>
  <c r="D58" i="22"/>
  <c r="A58" i="22"/>
  <c r="D57" i="22"/>
  <c r="A57" i="22"/>
  <c r="D56" i="22"/>
  <c r="A56" i="22"/>
  <c r="D55" i="22"/>
  <c r="A55" i="22"/>
  <c r="D54" i="22"/>
  <c r="A54" i="22"/>
  <c r="D53" i="22"/>
  <c r="A53" i="22"/>
  <c r="D52" i="22"/>
  <c r="A52" i="22"/>
  <c r="D51" i="22"/>
  <c r="A51" i="22"/>
  <c r="D50" i="22"/>
  <c r="A50" i="22"/>
  <c r="D49" i="22"/>
  <c r="A49" i="22"/>
  <c r="D48" i="22"/>
  <c r="A48" i="22"/>
  <c r="D47" i="22"/>
  <c r="A47" i="22"/>
  <c r="D46" i="22"/>
  <c r="A46" i="22"/>
  <c r="D45" i="22"/>
  <c r="A45" i="22"/>
  <c r="D44" i="22"/>
  <c r="A44" i="22"/>
  <c r="D43" i="22"/>
  <c r="A43" i="22"/>
  <c r="D42" i="22"/>
  <c r="A42" i="22"/>
  <c r="D41" i="22"/>
  <c r="A41" i="22"/>
  <c r="D40" i="22"/>
  <c r="A40" i="22"/>
  <c r="D39" i="22"/>
  <c r="A39" i="22"/>
  <c r="D38" i="22"/>
  <c r="A38" i="22"/>
  <c r="D37" i="22"/>
  <c r="A37" i="22"/>
  <c r="D36" i="22"/>
  <c r="A36" i="22"/>
  <c r="D35" i="22"/>
  <c r="A35" i="22"/>
  <c r="D34" i="22"/>
  <c r="A34" i="22"/>
  <c r="D33" i="22"/>
  <c r="A33" i="22"/>
  <c r="D32" i="22"/>
  <c r="A32" i="22"/>
  <c r="D31" i="22"/>
  <c r="A31" i="22"/>
  <c r="D30" i="22"/>
  <c r="A30" i="22"/>
  <c r="D29" i="22"/>
  <c r="A29" i="22"/>
  <c r="D28" i="22"/>
  <c r="A28" i="22"/>
  <c r="D27" i="22"/>
  <c r="A27" i="22"/>
  <c r="D26" i="22"/>
  <c r="A26" i="22"/>
  <c r="D25" i="22"/>
  <c r="A25" i="22"/>
  <c r="D24" i="22"/>
  <c r="A24" i="22"/>
  <c r="D23" i="22"/>
  <c r="A23" i="22"/>
  <c r="D22" i="22"/>
  <c r="A22" i="22"/>
  <c r="D21" i="22"/>
  <c r="A21" i="22"/>
  <c r="D20" i="22"/>
  <c r="A20" i="22"/>
  <c r="D19" i="22"/>
  <c r="A19" i="22"/>
  <c r="D18" i="22"/>
  <c r="A18" i="22"/>
  <c r="D17" i="22"/>
  <c r="A17" i="22"/>
  <c r="D16" i="22"/>
  <c r="A16" i="22"/>
  <c r="D15" i="22"/>
  <c r="A15" i="22"/>
  <c r="D14" i="22"/>
  <c r="A14" i="22"/>
  <c r="D13" i="22"/>
  <c r="A13" i="22"/>
  <c r="D12" i="22"/>
  <c r="A12" i="22"/>
  <c r="D11" i="22"/>
  <c r="A11" i="22"/>
  <c r="D10" i="22"/>
  <c r="A10" i="22"/>
  <c r="D9" i="22"/>
  <c r="A9" i="22"/>
  <c r="D8" i="22"/>
  <c r="A8" i="22"/>
  <c r="D7" i="22"/>
  <c r="A7" i="22"/>
  <c r="D6" i="22"/>
  <c r="A6" i="22"/>
  <c r="D5" i="22"/>
  <c r="A5" i="22"/>
  <c r="D4" i="22"/>
  <c r="A4" i="22"/>
  <c r="D3" i="22"/>
  <c r="A3" i="22"/>
  <c r="D2" i="22"/>
  <c r="A2" i="2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2" i="4"/>
  <c r="K103" i="3"/>
  <c r="K102" i="3"/>
  <c r="K66" i="3"/>
  <c r="K47" i="3"/>
  <c r="K67" i="3"/>
  <c r="K29" i="3"/>
  <c r="K85" i="3"/>
  <c r="K86" i="3"/>
  <c r="K10" i="3"/>
  <c r="K28" i="3"/>
  <c r="K202" i="3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2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8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A220" i="20"/>
  <c r="A221" i="20"/>
  <c r="A222" i="20"/>
  <c r="A223" i="20"/>
  <c r="A224" i="20"/>
  <c r="A225" i="20"/>
  <c r="A226" i="20"/>
  <c r="A227" i="20"/>
  <c r="A228" i="20"/>
  <c r="A229" i="20"/>
  <c r="A230" i="20"/>
  <c r="A231" i="20"/>
  <c r="A232" i="20"/>
  <c r="A233" i="20"/>
  <c r="A234" i="20"/>
  <c r="A235" i="20"/>
  <c r="A236" i="20"/>
  <c r="A237" i="20"/>
  <c r="A238" i="20"/>
  <c r="A239" i="20"/>
  <c r="A240" i="20"/>
  <c r="A241" i="20"/>
  <c r="A242" i="20"/>
  <c r="A243" i="20"/>
  <c r="A244" i="20"/>
  <c r="A245" i="20"/>
  <c r="A24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A259" i="20"/>
  <c r="A260" i="20"/>
  <c r="A261" i="20"/>
  <c r="A262" i="20"/>
  <c r="A263" i="20"/>
  <c r="A264" i="20"/>
  <c r="A265" i="20"/>
  <c r="A266" i="20"/>
  <c r="A267" i="20"/>
  <c r="A268" i="20"/>
  <c r="A269" i="20"/>
  <c r="A270" i="20"/>
  <c r="A271" i="20"/>
  <c r="A272" i="20"/>
  <c r="A273" i="20"/>
  <c r="A274" i="20"/>
  <c r="A275" i="20"/>
  <c r="A276" i="20"/>
  <c r="A277" i="20"/>
  <c r="A278" i="20"/>
  <c r="A279" i="20"/>
  <c r="A280" i="20"/>
  <c r="A281" i="20"/>
  <c r="A282" i="20"/>
  <c r="A283" i="20"/>
  <c r="A284" i="20"/>
  <c r="A285" i="20"/>
  <c r="A286" i="20"/>
  <c r="A287" i="20"/>
  <c r="A288" i="20"/>
  <c r="A289" i="20"/>
  <c r="A290" i="20"/>
  <c r="A291" i="20"/>
  <c r="A292" i="20"/>
  <c r="A293" i="20"/>
  <c r="A294" i="20"/>
  <c r="A295" i="20"/>
  <c r="A296" i="20"/>
  <c r="A297" i="20"/>
  <c r="A298" i="20"/>
  <c r="A299" i="20"/>
  <c r="A300" i="20"/>
  <c r="A301" i="20"/>
  <c r="A302" i="20"/>
  <c r="A303" i="20"/>
  <c r="A304" i="20"/>
  <c r="A305" i="20"/>
  <c r="A306" i="20"/>
  <c r="A307" i="20"/>
  <c r="A308" i="20"/>
  <c r="A309" i="20"/>
  <c r="A310" i="20"/>
  <c r="A311" i="20"/>
  <c r="A312" i="20"/>
  <c r="A313" i="20"/>
  <c r="A314" i="20"/>
  <c r="A315" i="20"/>
  <c r="A316" i="20"/>
  <c r="A317" i="20"/>
  <c r="A318" i="20"/>
  <c r="A319" i="20"/>
  <c r="A320" i="20"/>
  <c r="A321" i="20"/>
  <c r="A322" i="20"/>
  <c r="A323" i="20"/>
  <c r="A324" i="20"/>
  <c r="A325" i="20"/>
  <c r="A326" i="20"/>
  <c r="A327" i="20"/>
  <c r="A328" i="20"/>
  <c r="K145" i="3"/>
  <c r="K146" i="3"/>
  <c r="G142" i="3"/>
  <c r="G141" i="3"/>
  <c r="G140" i="3"/>
  <c r="G139" i="3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2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A315" i="19"/>
  <c r="A316" i="19"/>
  <c r="A317" i="19"/>
  <c r="A318" i="19"/>
  <c r="A319" i="19"/>
  <c r="A2" i="19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2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2" i="18"/>
  <c r="K163" i="3"/>
  <c r="K162" i="3"/>
  <c r="K164" i="3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3" i="16"/>
  <c r="D514" i="16"/>
  <c r="D515" i="16"/>
  <c r="D516" i="16"/>
  <c r="D517" i="16"/>
  <c r="D518" i="16"/>
  <c r="D519" i="16"/>
  <c r="D520" i="16"/>
  <c r="D521" i="16"/>
  <c r="D522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5" i="16"/>
  <c r="D536" i="16"/>
  <c r="D537" i="16"/>
  <c r="D538" i="16"/>
  <c r="D539" i="16"/>
  <c r="D540" i="16"/>
  <c r="D541" i="16"/>
  <c r="D542" i="16"/>
  <c r="D543" i="16"/>
  <c r="D544" i="16"/>
  <c r="D545" i="16"/>
  <c r="D546" i="16"/>
  <c r="D547" i="16"/>
  <c r="D548" i="16"/>
  <c r="D549" i="16"/>
  <c r="D550" i="16"/>
  <c r="D551" i="16"/>
  <c r="D552" i="16"/>
  <c r="D553" i="16"/>
  <c r="D554" i="16"/>
  <c r="D555" i="16"/>
  <c r="D556" i="16"/>
  <c r="D557" i="16"/>
  <c r="D558" i="16"/>
  <c r="D559" i="16"/>
  <c r="D560" i="16"/>
  <c r="D561" i="16"/>
  <c r="D562" i="16"/>
  <c r="D563" i="16"/>
  <c r="D564" i="16"/>
  <c r="D565" i="16"/>
  <c r="D566" i="16"/>
  <c r="D567" i="16"/>
  <c r="D568" i="16"/>
  <c r="D569" i="16"/>
  <c r="D570" i="16"/>
  <c r="D571" i="16"/>
  <c r="D572" i="16"/>
  <c r="D573" i="16"/>
  <c r="D574" i="16"/>
  <c r="D575" i="16"/>
  <c r="D576" i="16"/>
  <c r="D577" i="16"/>
  <c r="D578" i="16"/>
  <c r="D579" i="16"/>
  <c r="D580" i="16"/>
  <c r="D581" i="16"/>
  <c r="D582" i="16"/>
  <c r="D583" i="16"/>
  <c r="D584" i="16"/>
  <c r="D585" i="16"/>
  <c r="D586" i="16"/>
  <c r="D587" i="16"/>
  <c r="D588" i="16"/>
  <c r="D589" i="16"/>
  <c r="D590" i="16"/>
  <c r="D591" i="16"/>
  <c r="D592" i="16"/>
  <c r="D593" i="16"/>
  <c r="D594" i="16"/>
  <c r="D595" i="16"/>
  <c r="D596" i="16"/>
  <c r="D597" i="16"/>
  <c r="D598" i="16"/>
  <c r="D599" i="16"/>
  <c r="D600" i="16"/>
  <c r="D601" i="16"/>
  <c r="D602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D2" i="16"/>
  <c r="A2" i="16"/>
  <c r="K184" i="3"/>
  <c r="K204" i="3"/>
  <c r="K174" i="3"/>
  <c r="K197" i="3"/>
  <c r="K210" i="3"/>
  <c r="K201" i="3"/>
  <c r="K195" i="3"/>
  <c r="K188" i="3"/>
  <c r="K176" i="3"/>
  <c r="K206" i="3"/>
  <c r="K182" i="3"/>
  <c r="G210" i="3"/>
  <c r="K209" i="3"/>
  <c r="G208" i="3"/>
  <c r="G206" i="3"/>
  <c r="G205" i="3"/>
  <c r="G207" i="3"/>
  <c r="K207" i="3"/>
  <c r="G209" i="3"/>
  <c r="K203" i="3"/>
  <c r="G203" i="3"/>
  <c r="G204" i="3"/>
  <c r="G202" i="3"/>
  <c r="G201" i="3"/>
  <c r="K199" i="3"/>
  <c r="G199" i="3"/>
  <c r="G200" i="3"/>
  <c r="K200" i="3"/>
  <c r="K198" i="3"/>
  <c r="G198" i="3"/>
  <c r="G197" i="3"/>
  <c r="K196" i="3"/>
  <c r="G196" i="3"/>
  <c r="G195" i="3"/>
  <c r="K194" i="3"/>
  <c r="G194" i="3"/>
  <c r="K193" i="3"/>
  <c r="G193" i="3"/>
  <c r="G192" i="3"/>
  <c r="K192" i="3"/>
  <c r="K191" i="3"/>
  <c r="G191" i="3"/>
  <c r="G190" i="3"/>
  <c r="G188" i="3"/>
  <c r="G184" i="3"/>
  <c r="G186" i="3"/>
  <c r="K186" i="3"/>
  <c r="G174" i="3"/>
  <c r="G176" i="3"/>
  <c r="G178" i="3"/>
  <c r="K178" i="3"/>
  <c r="G180" i="3"/>
  <c r="K180" i="3"/>
  <c r="G182" i="3"/>
  <c r="K172" i="3"/>
  <c r="G172" i="3"/>
  <c r="A298" i="15"/>
  <c r="A442" i="15"/>
  <c r="A514" i="15"/>
  <c r="A478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A161" i="14"/>
  <c r="A81" i="14"/>
  <c r="A41" i="14"/>
  <c r="A61" i="14"/>
  <c r="A71" i="14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2" i="14"/>
  <c r="A63" i="14"/>
  <c r="A64" i="14"/>
  <c r="A65" i="14"/>
  <c r="A66" i="14"/>
  <c r="A67" i="14"/>
  <c r="A68" i="14"/>
  <c r="A69" i="14"/>
  <c r="A70" i="14"/>
  <c r="A72" i="14"/>
  <c r="A73" i="14"/>
  <c r="A74" i="14"/>
  <c r="A75" i="14"/>
  <c r="A76" i="14"/>
  <c r="A77" i="14"/>
  <c r="A78" i="14"/>
  <c r="A79" i="14"/>
  <c r="A80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A273" i="6"/>
  <c r="A409" i="6"/>
  <c r="A477" i="6"/>
  <c r="A443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39" i="6"/>
  <c r="A256" i="6"/>
  <c r="A247" i="6"/>
  <c r="A251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40" i="6"/>
  <c r="A241" i="6"/>
  <c r="A242" i="6"/>
  <c r="A243" i="6"/>
  <c r="A244" i="6"/>
  <c r="A245" i="6"/>
  <c r="A246" i="6"/>
  <c r="A248" i="6"/>
  <c r="A249" i="6"/>
  <c r="A250" i="6"/>
  <c r="A252" i="6"/>
  <c r="A253" i="6"/>
  <c r="A254" i="6"/>
  <c r="A255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K88" i="3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A3" i="15"/>
  <c r="A4" i="15"/>
  <c r="A5" i="15"/>
  <c r="A6" i="15"/>
  <c r="A7" i="15"/>
  <c r="A8" i="15"/>
  <c r="A9" i="15"/>
  <c r="A10" i="15"/>
  <c r="A2" i="15"/>
  <c r="D3" i="15"/>
  <c r="D4" i="15"/>
  <c r="D5" i="15"/>
  <c r="D6" i="15"/>
  <c r="D7" i="15"/>
  <c r="D8" i="15"/>
  <c r="D9" i="15"/>
  <c r="D10" i="15"/>
  <c r="D2" i="15"/>
  <c r="E2" i="3"/>
  <c r="G2" i="3"/>
  <c r="K2" i="3"/>
  <c r="G117" i="3"/>
  <c r="K117" i="3"/>
  <c r="G114" i="3"/>
  <c r="K114" i="3"/>
  <c r="G115" i="3"/>
  <c r="K115" i="3"/>
  <c r="G116" i="3"/>
  <c r="K116" i="3"/>
  <c r="G113" i="3"/>
  <c r="K113" i="3"/>
  <c r="G112" i="3"/>
  <c r="K112" i="3"/>
  <c r="G138" i="3"/>
  <c r="G136" i="3"/>
  <c r="K136" i="3"/>
  <c r="G122" i="3"/>
  <c r="K122" i="3"/>
  <c r="G120" i="3"/>
  <c r="K120" i="3"/>
  <c r="G95" i="3"/>
  <c r="K95" i="3"/>
  <c r="A291" i="5"/>
  <c r="A436" i="5"/>
  <c r="A509" i="5"/>
  <c r="A472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454" i="5"/>
  <c r="A463" i="5"/>
  <c r="A458" i="5"/>
  <c r="A460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6" i="5"/>
  <c r="A427" i="5"/>
  <c r="A428" i="5"/>
  <c r="A429" i="5"/>
  <c r="A430" i="5"/>
  <c r="A431" i="5"/>
  <c r="A432" i="5"/>
  <c r="A433" i="5"/>
  <c r="A434" i="5"/>
  <c r="A435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5" i="5"/>
  <c r="A456" i="5"/>
  <c r="A457" i="5"/>
  <c r="A459" i="5"/>
  <c r="A461" i="5"/>
  <c r="A462" i="5"/>
  <c r="A464" i="5"/>
  <c r="A465" i="5"/>
  <c r="A466" i="5"/>
  <c r="A467" i="5"/>
  <c r="A468" i="5"/>
  <c r="A469" i="5"/>
  <c r="A470" i="5"/>
  <c r="A471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G137" i="3"/>
  <c r="K137" i="3"/>
  <c r="G135" i="3"/>
  <c r="K135" i="3"/>
  <c r="G134" i="3"/>
  <c r="K134" i="3"/>
  <c r="G132" i="3"/>
  <c r="K132" i="3"/>
  <c r="G131" i="3"/>
  <c r="K131" i="3"/>
  <c r="G130" i="3"/>
  <c r="K130" i="3"/>
  <c r="G129" i="3"/>
  <c r="K129" i="3"/>
  <c r="G128" i="3"/>
  <c r="K128" i="3"/>
  <c r="G127" i="3"/>
  <c r="K127" i="3"/>
  <c r="G126" i="3"/>
  <c r="K126" i="3"/>
  <c r="G125" i="3"/>
  <c r="K125" i="3"/>
  <c r="G123" i="3"/>
  <c r="K123" i="3"/>
  <c r="G121" i="3"/>
  <c r="K121" i="3"/>
  <c r="G119" i="3"/>
  <c r="K119" i="3"/>
  <c r="G78" i="3"/>
  <c r="K78" i="3"/>
  <c r="G59" i="3"/>
  <c r="K59" i="3"/>
  <c r="G40" i="3"/>
  <c r="K40" i="3"/>
  <c r="G21" i="3"/>
  <c r="K21" i="3"/>
  <c r="A127" i="11"/>
  <c r="A64" i="11"/>
  <c r="A95" i="11"/>
  <c r="A111" i="11"/>
  <c r="A103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6" i="11"/>
  <c r="A97" i="11"/>
  <c r="A98" i="11"/>
  <c r="A99" i="11"/>
  <c r="A100" i="11"/>
  <c r="A101" i="11"/>
  <c r="A102" i="11"/>
  <c r="A104" i="11"/>
  <c r="A105" i="11"/>
  <c r="A106" i="11"/>
  <c r="A107" i="11"/>
  <c r="A108" i="11"/>
  <c r="A109" i="11"/>
  <c r="A110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409" i="10"/>
  <c r="A477" i="10"/>
  <c r="A511" i="10"/>
  <c r="A528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69" i="10"/>
  <c r="A52" i="10"/>
  <c r="A43" i="10"/>
  <c r="D39" i="10"/>
  <c r="A41" i="10"/>
  <c r="A42" i="10"/>
  <c r="A44" i="10"/>
  <c r="A45" i="10"/>
  <c r="A46" i="10"/>
  <c r="A47" i="10"/>
  <c r="A48" i="10"/>
  <c r="A49" i="10"/>
  <c r="A50" i="10"/>
  <c r="A51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75" i="10"/>
  <c r="A366" i="10"/>
  <c r="A362" i="10"/>
  <c r="A361" i="10"/>
  <c r="A363" i="10"/>
  <c r="A364" i="10"/>
  <c r="A365" i="10"/>
  <c r="A367" i="10"/>
  <c r="A368" i="10"/>
  <c r="A369" i="10"/>
  <c r="A370" i="10"/>
  <c r="A371" i="10"/>
  <c r="A372" i="10"/>
  <c r="A373" i="10"/>
  <c r="A374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A273" i="9"/>
  <c r="A409" i="9"/>
  <c r="A341" i="9"/>
  <c r="A307" i="9"/>
  <c r="A324" i="9"/>
  <c r="A315" i="9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K53" i="3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K15" i="3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8" i="9"/>
  <c r="A309" i="9"/>
  <c r="A310" i="9"/>
  <c r="A311" i="9"/>
  <c r="A312" i="9"/>
  <c r="A313" i="9"/>
  <c r="A314" i="9"/>
  <c r="A316" i="9"/>
  <c r="A317" i="9"/>
  <c r="A318" i="9"/>
  <c r="A319" i="9"/>
  <c r="A320" i="9"/>
  <c r="A321" i="9"/>
  <c r="A322" i="9"/>
  <c r="A323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K16" i="3"/>
  <c r="A450" i="9"/>
  <c r="A451" i="9"/>
  <c r="A452" i="9"/>
  <c r="A453" i="9"/>
  <c r="A454" i="9"/>
  <c r="K106" i="3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K35" i="3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A291" i="7"/>
  <c r="A436" i="7"/>
  <c r="A509" i="7"/>
  <c r="A472" i="7"/>
  <c r="A454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A606" i="1"/>
  <c r="A894" i="1"/>
  <c r="A1038" i="1"/>
  <c r="A111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D299" i="1"/>
  <c r="A1146" i="1"/>
  <c r="A1128" i="1"/>
  <c r="A1119" i="1"/>
  <c r="A1123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1" i="1"/>
  <c r="A1112" i="1"/>
  <c r="A1113" i="1"/>
  <c r="A1114" i="1"/>
  <c r="A1115" i="1"/>
  <c r="A1116" i="1"/>
  <c r="A1117" i="1"/>
  <c r="A1118" i="1"/>
  <c r="A1120" i="1"/>
  <c r="A1121" i="1"/>
  <c r="A1122" i="1"/>
  <c r="A1124" i="1"/>
  <c r="A1125" i="1"/>
  <c r="A1126" i="1"/>
  <c r="A1127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7" i="1"/>
  <c r="A1148" i="1"/>
  <c r="A1149" i="1"/>
  <c r="A1150" i="1"/>
  <c r="A1151" i="1"/>
  <c r="A1152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K11" i="3"/>
  <c r="K89" i="3"/>
  <c r="K34" i="3"/>
  <c r="K77" i="3"/>
  <c r="K93" i="3"/>
  <c r="K32" i="3"/>
  <c r="K52" i="3"/>
  <c r="K124" i="3"/>
  <c r="K107" i="3"/>
  <c r="K72" i="3"/>
  <c r="K54" i="3"/>
  <c r="K133" i="3"/>
  <c r="K50" i="3"/>
  <c r="K31" i="3"/>
  <c r="K58" i="3"/>
  <c r="K70" i="3"/>
  <c r="K105" i="3"/>
  <c r="K51" i="3"/>
  <c r="K13" i="3"/>
  <c r="K104" i="3"/>
  <c r="K110" i="3"/>
  <c r="K111" i="3"/>
  <c r="K19" i="3"/>
  <c r="K90" i="3"/>
  <c r="K18" i="3"/>
  <c r="K75" i="3"/>
  <c r="K56" i="3"/>
  <c r="K20" i="3"/>
  <c r="K33" i="3"/>
  <c r="K76" i="3"/>
  <c r="K37" i="3"/>
  <c r="K87" i="3"/>
  <c r="K30" i="3"/>
  <c r="K41" i="3"/>
  <c r="K23" i="3"/>
  <c r="K22" i="3"/>
  <c r="K4" i="3"/>
  <c r="K3" i="3"/>
  <c r="K61" i="3"/>
  <c r="K42" i="3"/>
  <c r="K96" i="3"/>
  <c r="K79" i="3"/>
  <c r="K38" i="3"/>
  <c r="K68" i="3"/>
  <c r="K39" i="3"/>
  <c r="K49" i="3"/>
  <c r="K74" i="3"/>
  <c r="K12" i="3"/>
  <c r="K44" i="3"/>
  <c r="K43" i="3"/>
  <c r="K62" i="3"/>
  <c r="K99" i="3"/>
  <c r="K98" i="3"/>
  <c r="K6" i="3"/>
  <c r="K63" i="3"/>
  <c r="K82" i="3"/>
  <c r="K8" i="3"/>
  <c r="K7" i="3"/>
  <c r="K64" i="3"/>
  <c r="K65" i="3"/>
  <c r="K46" i="3"/>
  <c r="K45" i="3"/>
  <c r="K91" i="3"/>
  <c r="K71" i="3"/>
  <c r="K69" i="3"/>
  <c r="K17" i="3"/>
  <c r="K36" i="3"/>
  <c r="K14" i="3"/>
  <c r="K92" i="3"/>
  <c r="K73" i="3"/>
  <c r="K108" i="3"/>
  <c r="K109" i="3"/>
  <c r="K149" i="3"/>
  <c r="K60" i="3"/>
  <c r="K150" i="3"/>
  <c r="K152" i="3"/>
  <c r="K151" i="3"/>
  <c r="K80" i="3" l="1"/>
  <c r="K97" i="3"/>
</calcChain>
</file>

<file path=xl/sharedStrings.xml><?xml version="1.0" encoding="utf-8"?>
<sst xmlns="http://schemas.openxmlformats.org/spreadsheetml/2006/main" count="1074" uniqueCount="292">
  <si>
    <t>Creux (cm)</t>
  </si>
  <si>
    <t>Creux (mm)</t>
  </si>
  <si>
    <t>Volume (L)</t>
  </si>
  <si>
    <t>Volume (hL)</t>
  </si>
  <si>
    <t>Hauteur (cm)</t>
  </si>
  <si>
    <t>Hauteur (mm)</t>
  </si>
  <si>
    <t xml:space="preserve">DEBORDEMENT </t>
  </si>
  <si>
    <t>Pi</t>
  </si>
  <si>
    <t>I1-10</t>
  </si>
  <si>
    <t>h</t>
  </si>
  <si>
    <t>V</t>
  </si>
  <si>
    <t>h pris par le haut</t>
  </si>
  <si>
    <t xml:space="preserve"> </t>
  </si>
  <si>
    <t>volume Cylindre</t>
  </si>
  <si>
    <t>hL</t>
  </si>
  <si>
    <t>V cone bas</t>
  </si>
  <si>
    <t>longueur hypothénus</t>
  </si>
  <si>
    <t>h total</t>
  </si>
  <si>
    <t>h cone bas</t>
  </si>
  <si>
    <t>tangente angle b</t>
  </si>
  <si>
    <t>V cône haut</t>
  </si>
  <si>
    <t>V cone bas hL</t>
  </si>
  <si>
    <t>tangente angle c</t>
  </si>
  <si>
    <t>R</t>
  </si>
  <si>
    <t>Volume des cônes</t>
  </si>
  <si>
    <t>fois 1,04 pour les 2 hL restant</t>
  </si>
  <si>
    <t>Cylindre</t>
  </si>
  <si>
    <t>Marseillan</t>
  </si>
  <si>
    <t>Travée</t>
  </si>
  <si>
    <t>Niveau</t>
  </si>
  <si>
    <t>Cuve</t>
  </si>
  <si>
    <t>Hauteur totale (cm)</t>
  </si>
  <si>
    <t>Hauteur cachée (cm)</t>
  </si>
  <si>
    <t>Volume métrique (hl/cm)</t>
  </si>
  <si>
    <t>Hauteur cheminée (cm)</t>
  </si>
  <si>
    <t>Volume total nominal (hL)</t>
  </si>
  <si>
    <t>Type de mesure</t>
  </si>
  <si>
    <t>Volume réel total (hL)</t>
  </si>
  <si>
    <t xml:space="preserve">  </t>
  </si>
  <si>
    <t>Marseillan Ville</t>
  </si>
  <si>
    <t>Travée A</t>
  </si>
  <si>
    <t>A1-0</t>
  </si>
  <si>
    <t>Creux + Cheminée</t>
  </si>
  <si>
    <t>A1-1</t>
  </si>
  <si>
    <t>A1-2</t>
  </si>
  <si>
    <t>A1-3</t>
  </si>
  <si>
    <t>A1-4</t>
  </si>
  <si>
    <t>A1-5</t>
  </si>
  <si>
    <t>A1-6</t>
  </si>
  <si>
    <t>A1-7</t>
  </si>
  <si>
    <t>A1-8</t>
  </si>
  <si>
    <t>A1-9</t>
  </si>
  <si>
    <t>A1-10</t>
  </si>
  <si>
    <t>A2-1</t>
  </si>
  <si>
    <t>A2-2</t>
  </si>
  <si>
    <t>A2-3</t>
  </si>
  <si>
    <t>A2-4</t>
  </si>
  <si>
    <t>A2-5</t>
  </si>
  <si>
    <t>A2-6</t>
  </si>
  <si>
    <t>A2-7</t>
  </si>
  <si>
    <t>A2-8</t>
  </si>
  <si>
    <t>Travée B</t>
  </si>
  <si>
    <t>B1-0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</si>
  <si>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</si>
  <si>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</si>
  <si>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</si>
  <si>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</si>
  <si>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</si>
  <si>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</si>
  <si>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</si>
  <si>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</si>
  <si>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</si>
  <si>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</si>
  <si>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B2-1</t>
  </si>
  <si>
    <t>B2-2</t>
  </si>
  <si>
    <t>B2-3</t>
  </si>
  <si>
    <t>B2-4</t>
  </si>
  <si>
    <t>B2-5</t>
  </si>
  <si>
    <t>B2-6</t>
  </si>
  <si>
    <t>B2-7</t>
  </si>
  <si>
    <t>B2-8</t>
  </si>
  <si>
    <t>Travée C</t>
  </si>
  <si>
    <t>C1-0</t>
  </si>
  <si>
    <t>C1-1</t>
  </si>
  <si>
    <t>C1-2</t>
  </si>
  <si>
    <t>C1-3</t>
  </si>
  <si>
    <t>C1-4</t>
  </si>
  <si>
    <t>C1-5</t>
  </si>
  <si>
    <t>C1-6</t>
  </si>
  <si>
    <t>C1-7</t>
  </si>
  <si>
    <t>C1-8</t>
  </si>
  <si>
    <t>C1-9</t>
  </si>
  <si>
    <t>C1-10</t>
  </si>
  <si>
    <t>C2-1</t>
  </si>
  <si>
    <t>C2-2</t>
  </si>
  <si>
    <t>C2-3</t>
  </si>
  <si>
    <t>C2-4</t>
  </si>
  <si>
    <t>C2-5</t>
  </si>
  <si>
    <t>C2-6</t>
  </si>
  <si>
    <t>C2-7</t>
  </si>
  <si>
    <t>C2-8</t>
  </si>
  <si>
    <t>Travée D</t>
  </si>
  <si>
    <t>D1-0</t>
  </si>
  <si>
    <t>D1-1</t>
  </si>
  <si>
    <t>D1-2</t>
  </si>
  <si>
    <t>D1-3</t>
  </si>
  <si>
    <t>D1-4</t>
  </si>
  <si>
    <t>D1-5</t>
  </si>
  <si>
    <t>D1-6</t>
  </si>
  <si>
    <t>D1-7</t>
  </si>
  <si>
    <t>D1-8</t>
  </si>
  <si>
    <t>D1-9</t>
  </si>
  <si>
    <t>D1-10</t>
  </si>
  <si>
    <t>D2-1</t>
  </si>
  <si>
    <t>D2-2</t>
  </si>
  <si>
    <t>D2-3</t>
  </si>
  <si>
    <t>D2-4</t>
  </si>
  <si>
    <t>D2-5</t>
  </si>
  <si>
    <t>D2-6</t>
  </si>
  <si>
    <t>D2-7</t>
  </si>
  <si>
    <t>D2-8</t>
  </si>
  <si>
    <t>Travée E</t>
  </si>
  <si>
    <t>E1-0</t>
  </si>
  <si>
    <t>E1-1</t>
  </si>
  <si>
    <t>E1-2</t>
  </si>
  <si>
    <t>E1-3</t>
  </si>
  <si>
    <t>E1-4</t>
  </si>
  <si>
    <t>E1-5</t>
  </si>
  <si>
    <t>E1-6</t>
  </si>
  <si>
    <t>E1-7</t>
  </si>
  <si>
    <t>E1-8</t>
  </si>
  <si>
    <t>E2-1</t>
  </si>
  <si>
    <t>E2-2</t>
  </si>
  <si>
    <t>E2-3</t>
  </si>
  <si>
    <t>E2-4</t>
  </si>
  <si>
    <t>E2-5</t>
  </si>
  <si>
    <t>E2-6</t>
  </si>
  <si>
    <t>E2-7</t>
  </si>
  <si>
    <t>E2-8</t>
  </si>
  <si>
    <t>Travée F</t>
  </si>
  <si>
    <t>F1-0</t>
  </si>
  <si>
    <t>F1-1</t>
  </si>
  <si>
    <t>F1-2</t>
  </si>
  <si>
    <t>F1-3</t>
  </si>
  <si>
    <t>F1-4</t>
  </si>
  <si>
    <t>F1-5</t>
  </si>
  <si>
    <t>F1-6</t>
  </si>
  <si>
    <t>F1-7</t>
  </si>
  <si>
    <t>F1-8</t>
  </si>
  <si>
    <t>F2-1</t>
  </si>
  <si>
    <t>F2-2</t>
  </si>
  <si>
    <t>F2-3</t>
  </si>
  <si>
    <t>F2-4</t>
  </si>
  <si>
    <t>F2-5</t>
  </si>
  <si>
    <t>F2-6</t>
  </si>
  <si>
    <t>F2-7</t>
  </si>
  <si>
    <t>F2-8</t>
  </si>
  <si>
    <t>Travée G</t>
  </si>
  <si>
    <t>G1-0</t>
  </si>
  <si>
    <t>G1-1</t>
  </si>
  <si>
    <t>G1-2</t>
  </si>
  <si>
    <t>G1-3</t>
  </si>
  <si>
    <t>G1-4</t>
  </si>
  <si>
    <t>G1-5</t>
  </si>
  <si>
    <t>G1-6</t>
  </si>
  <si>
    <t>Travée H</t>
  </si>
  <si>
    <t>H1-1</t>
  </si>
  <si>
    <t>H1-2</t>
  </si>
  <si>
    <t>H1-3</t>
  </si>
  <si>
    <t>H1-4</t>
  </si>
  <si>
    <t>H1-5</t>
  </si>
  <si>
    <t>H1-6</t>
  </si>
  <si>
    <t>H1-7</t>
  </si>
  <si>
    <t>H1-8</t>
  </si>
  <si>
    <t>H1-9</t>
  </si>
  <si>
    <t>H1-10</t>
  </si>
  <si>
    <t>Travée I</t>
  </si>
  <si>
    <t>I1-1</t>
  </si>
  <si>
    <t>I1-2</t>
  </si>
  <si>
    <t>I1-3</t>
  </si>
  <si>
    <t>I1-4</t>
  </si>
  <si>
    <t>I1-5</t>
  </si>
  <si>
    <t>I1-6</t>
  </si>
  <si>
    <t>I1-7</t>
  </si>
  <si>
    <t>I1-8</t>
  </si>
  <si>
    <t>I1-9</t>
  </si>
  <si>
    <t>Travée J</t>
  </si>
  <si>
    <t>J1-1</t>
  </si>
  <si>
    <t>J1-2</t>
  </si>
  <si>
    <t>J1-3</t>
  </si>
  <si>
    <t>J1-4</t>
  </si>
  <si>
    <t>J1-5</t>
  </si>
  <si>
    <t>J1-6</t>
  </si>
  <si>
    <t>J1-7</t>
  </si>
  <si>
    <t>J1-8</t>
  </si>
  <si>
    <t>J1-9</t>
  </si>
  <si>
    <t>J1-10</t>
  </si>
  <si>
    <t>J1-11</t>
  </si>
  <si>
    <t>J2-1</t>
  </si>
  <si>
    <t>J2-2</t>
  </si>
  <si>
    <t>J2-3</t>
  </si>
  <si>
    <t>J2-4</t>
  </si>
  <si>
    <t>J2-5</t>
  </si>
  <si>
    <t>J2-6</t>
  </si>
  <si>
    <t>J2-7</t>
  </si>
  <si>
    <t>J2-8</t>
  </si>
  <si>
    <t>J2-9</t>
  </si>
  <si>
    <t>J2-10</t>
  </si>
  <si>
    <t>J2-11</t>
  </si>
  <si>
    <t>J3-1</t>
  </si>
  <si>
    <t>J3-2</t>
  </si>
  <si>
    <t>J3-3</t>
  </si>
  <si>
    <t>J3-4</t>
  </si>
  <si>
    <t>J3-5</t>
  </si>
  <si>
    <t>J3-6</t>
  </si>
  <si>
    <t>J3-7</t>
  </si>
  <si>
    <t>J3-8</t>
  </si>
  <si>
    <t>J3-9</t>
  </si>
  <si>
    <t>J3-10</t>
  </si>
  <si>
    <t>J3-11</t>
  </si>
  <si>
    <t>Travée K</t>
  </si>
  <si>
    <t>K1-1</t>
  </si>
  <si>
    <t>H lue sur le mètre</t>
  </si>
  <si>
    <t>K1-2</t>
  </si>
  <si>
    <t>K1-3</t>
  </si>
  <si>
    <t>K1-4</t>
  </si>
  <si>
    <t>K1-5</t>
  </si>
  <si>
    <t>K1-6</t>
  </si>
  <si>
    <t>K1-7</t>
  </si>
  <si>
    <t>K1-8</t>
  </si>
  <si>
    <t>K1-9</t>
  </si>
  <si>
    <t>K1-10</t>
  </si>
  <si>
    <t>K1-11</t>
  </si>
  <si>
    <t>K1-12</t>
  </si>
  <si>
    <t>K1-13</t>
  </si>
  <si>
    <t>K1-14</t>
  </si>
  <si>
    <t>K1-15</t>
  </si>
  <si>
    <t>K1-16</t>
  </si>
  <si>
    <t>Travée L</t>
  </si>
  <si>
    <t>L1-1</t>
  </si>
  <si>
    <t>L1-2</t>
  </si>
  <si>
    <t>L1-3</t>
  </si>
  <si>
    <t>L1-4</t>
  </si>
  <si>
    <t>L1-5</t>
  </si>
  <si>
    <t>L1-6</t>
  </si>
  <si>
    <t>L1-7</t>
  </si>
  <si>
    <t>L1-8</t>
  </si>
  <si>
    <t>H depuis bas de cuve</t>
  </si>
  <si>
    <t>L1-10</t>
  </si>
  <si>
    <t>L1-12</t>
  </si>
  <si>
    <t>L1-13</t>
  </si>
  <si>
    <t>L1-14</t>
  </si>
  <si>
    <t>L1-15</t>
  </si>
  <si>
    <t>L1-16</t>
  </si>
  <si>
    <t>Liste des tonneliers</t>
  </si>
  <si>
    <t>01</t>
  </si>
  <si>
    <t>Gauthier</t>
  </si>
  <si>
    <t>02</t>
  </si>
  <si>
    <t>Mercurey</t>
  </si>
  <si>
    <t>03</t>
  </si>
  <si>
    <t>Ermitage</t>
  </si>
  <si>
    <t>04</t>
  </si>
  <si>
    <t>Vernou</t>
  </si>
  <si>
    <t>05</t>
  </si>
  <si>
    <t>Orion</t>
  </si>
  <si>
    <t>06</t>
  </si>
  <si>
    <t>Radoux</t>
  </si>
  <si>
    <t>07</t>
  </si>
  <si>
    <t>Damy</t>
  </si>
  <si>
    <t>08</t>
  </si>
  <si>
    <t>Saury</t>
  </si>
  <si>
    <t>09</t>
  </si>
  <si>
    <t>Seguin-Moreau</t>
  </si>
  <si>
    <t>10</t>
  </si>
  <si>
    <t>Ana Sélection</t>
  </si>
  <si>
    <t>11</t>
  </si>
  <si>
    <t>Nadalié</t>
  </si>
  <si>
    <t>Rayon</t>
  </si>
  <si>
    <t>Mobile</t>
  </si>
  <si>
    <t>Buv.001</t>
  </si>
  <si>
    <t>H depuis rebord bas</t>
  </si>
  <si>
    <t>Buv.002</t>
  </si>
  <si>
    <t>Buv.003</t>
  </si>
  <si>
    <t>Buv.004</t>
  </si>
  <si>
    <t>Buv.005</t>
  </si>
  <si>
    <t>Buv.006</t>
  </si>
  <si>
    <t>Buv.007</t>
  </si>
  <si>
    <t>Buv.008</t>
  </si>
  <si>
    <t>Buv.009</t>
  </si>
  <si>
    <t>Buv.010</t>
  </si>
  <si>
    <t>H mesurable (cm)</t>
  </si>
  <si>
    <t>Creux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</si>
</sst>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-* #,##0_-;\-* #,##0_-;_-* &quot;-&quot;??_-;_-@_-"/>
  </numFmts>
  <fonts count="1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-Bold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164" fontId="0" fillId="0" borderId="1" xfId="0" applyNumberForma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5" fontId="0" fillId="0" borderId="1" xfId="0" applyNumberForma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8" fillId="4" borderId="1" xfId="0" applyFont="1" applyFill="1" applyBorder="1" applyAlignment="1">
      <alignment horizontal="center" vertical="center" wrapText="1"/>
    </xf>
    <xf numFmtId="1" fontId="9" fillId="4" borderId="1" xfId="0" applyNumberFormat="1" applyFont="1" applyFill="1" applyBorder="1"/>
    <xf numFmtId="164" fontId="9" fillId="4" borderId="1" xfId="0" applyNumberFormat="1" applyFont="1" applyFill="1" applyBorder="1"/>
    <xf numFmtId="0" fontId="9" fillId="4" borderId="1" xfId="0" applyFont="1" applyFill="1" applyBorder="1"/>
    <xf numFmtId="0" fontId="9" fillId="0" borderId="0" xfId="0" applyFont="1"/>
    <xf numFmtId="1" fontId="0" fillId="0" borderId="0" xfId="0" applyNumberFormat="1"/>
    <xf numFmtId="164" fontId="0" fillId="0" borderId="0" xfId="0" applyNumberFormat="1"/>
    <xf numFmtId="0" fontId="3" fillId="5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9" fillId="4" borderId="1" xfId="0" applyNumberFormat="1" applyFont="1" applyFill="1" applyBorder="1"/>
    <xf numFmtId="166" fontId="0" fillId="0" borderId="0" xfId="1" applyNumberFormat="1" applyFont="1"/>
    <xf numFmtId="166" fontId="0" fillId="0" borderId="0" xfId="1" applyNumberFormat="1" applyFont="1" applyBorder="1"/>
    <xf numFmtId="166" fontId="0" fillId="0" borderId="0" xfId="0" applyNumberFormat="1"/>
    <xf numFmtId="2" fontId="0" fillId="0" borderId="0" xfId="0" applyNumberFormat="1"/>
    <xf numFmtId="0" fontId="11" fillId="0" borderId="0" xfId="0" applyFont="1"/>
    <xf numFmtId="0" fontId="12" fillId="0" borderId="0" xfId="0" applyFont="1"/>
    <xf numFmtId="2" fontId="5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0" fillId="0" borderId="1" xfId="0" applyNumberFormat="1" applyBorder="1"/>
    <xf numFmtId="0" fontId="0" fillId="0" borderId="3" xfId="0" applyBorder="1"/>
    <xf numFmtId="0" fontId="3" fillId="3" borderId="3" xfId="0" applyFont="1" applyFill="1" applyBorder="1" applyAlignment="1">
      <alignment horizontal="center" vertical="center"/>
    </xf>
    <xf numFmtId="165" fontId="0" fillId="0" borderId="3" xfId="0" applyNumberFormat="1" applyBorder="1"/>
    <xf numFmtId="0" fontId="0" fillId="2" borderId="3" xfId="0" applyFill="1" applyBorder="1"/>
    <xf numFmtId="1" fontId="9" fillId="4" borderId="3" xfId="0" applyNumberFormat="1" applyFont="1" applyFill="1" applyBorder="1"/>
    <xf numFmtId="0" fontId="5" fillId="0" borderId="3" xfId="0" applyFont="1" applyBorder="1"/>
    <xf numFmtId="0" fontId="2" fillId="0" borderId="3" xfId="0" applyFont="1" applyBorder="1"/>
    <xf numFmtId="0" fontId="0" fillId="0" borderId="4" xfId="0" applyBorder="1"/>
    <xf numFmtId="0" fontId="3" fillId="3" borderId="4" xfId="0" applyFont="1" applyFill="1" applyBorder="1" applyAlignment="1">
      <alignment horizontal="center" vertical="center"/>
    </xf>
    <xf numFmtId="165" fontId="0" fillId="0" borderId="4" xfId="0" applyNumberFormat="1" applyBorder="1"/>
    <xf numFmtId="0" fontId="0" fillId="2" borderId="4" xfId="0" applyFill="1" applyBorder="1"/>
    <xf numFmtId="1" fontId="9" fillId="4" borderId="4" xfId="0" applyNumberFormat="1" applyFont="1" applyFill="1" applyBorder="1"/>
    <xf numFmtId="0" fontId="5" fillId="0" borderId="4" xfId="0" applyFont="1" applyBorder="1"/>
    <xf numFmtId="0" fontId="2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FF0000"/>
  </sheetPr>
  <dimension ref="A1:D328"/>
  <sheetViews>
    <sheetView workbookViewId="0">
      <selection activeCell="B1" sqref="B1:C1"/>
    </sheetView>
  </sheetViews>
  <sheetFormatPr baseColWidth="10" defaultColWidth="11.3984375" defaultRowHeight="14.25"/>
  <cols>
    <col min="2" max="2" width="11.3984375" style="27"/>
  </cols>
  <sheetData>
    <row r="1" spans="1:4">
      <c r="A1" t="s">
        <v>0</v>
      </c>
      <c r="B1" s="27" t="s">
        <v>1</v>
      </c>
      <c r="C1" t="s">
        <v>2</v>
      </c>
      <c r="D1" t="s">
        <v>3</v>
      </c>
    </row>
    <row r="2" spans="1:4">
      <c r="A2" s="29">
        <v>0</v>
      </c>
      <c r="B2" s="28">
        <v>0</v>
      </c>
      <c r="C2" s="25">
        <v>27951.03</v>
      </c>
      <c r="D2" s="23">
        <f>$C2/100</f>
        <v>279.51029999999997</v>
      </c>
    </row>
    <row r="3" spans="1:4">
      <c r="A3" s="29">
        <f t="shared" ref="A3:A66" si="0">$B3/10</f>
        <v>1.0863603774052961</v>
      </c>
      <c r="B3" s="28">
        <v>10.863603774052962</v>
      </c>
      <c r="C3" s="25">
        <v>27949.063999999998</v>
      </c>
      <c r="D3" s="23">
        <f t="shared" ref="D3:D66" si="1">$C3/100</f>
        <v>279.49063999999998</v>
      </c>
    </row>
    <row r="4" spans="1:4">
      <c r="A4" s="29">
        <f t="shared" si="0"/>
        <v>2.1727207548105922</v>
      </c>
      <c r="B4" s="28">
        <v>21.727207548105923</v>
      </c>
      <c r="C4" s="25">
        <v>27947.097999999998</v>
      </c>
      <c r="D4" s="23">
        <f t="shared" si="1"/>
        <v>279.47098</v>
      </c>
    </row>
    <row r="5" spans="1:4">
      <c r="A5" s="29">
        <f t="shared" si="0"/>
        <v>3.2590811322158886</v>
      </c>
      <c r="B5" s="28">
        <v>32.590811322158885</v>
      </c>
      <c r="C5" s="25">
        <v>27945.131999999998</v>
      </c>
      <c r="D5" s="23">
        <f t="shared" si="1"/>
        <v>279.45131999999995</v>
      </c>
    </row>
    <row r="6" spans="1:4">
      <c r="A6" s="29">
        <f t="shared" si="0"/>
        <v>4.3454415096211845</v>
      </c>
      <c r="B6" s="28">
        <v>43.454415096211847</v>
      </c>
      <c r="C6" s="25">
        <v>27943.165999999997</v>
      </c>
      <c r="D6" s="23">
        <f t="shared" si="1"/>
        <v>279.43165999999997</v>
      </c>
    </row>
    <row r="7" spans="1:4">
      <c r="A7" s="29">
        <f t="shared" si="0"/>
        <v>5.4318018870264808</v>
      </c>
      <c r="B7" s="28">
        <v>54.318018870264808</v>
      </c>
      <c r="C7" s="25">
        <v>27941.199999999997</v>
      </c>
      <c r="D7" s="23">
        <f t="shared" si="1"/>
        <v>279.41199999999998</v>
      </c>
    </row>
    <row r="8" spans="1:4">
      <c r="A8" s="29">
        <f t="shared" si="0"/>
        <v>6.5181622644317772</v>
      </c>
      <c r="B8" s="28">
        <v>65.18162264431777</v>
      </c>
      <c r="C8" s="25">
        <v>27939.233999999997</v>
      </c>
      <c r="D8" s="23">
        <f t="shared" si="1"/>
        <v>279.39233999999999</v>
      </c>
    </row>
    <row r="9" spans="1:4">
      <c r="A9" s="29">
        <f t="shared" si="0"/>
        <v>7.6045226418370735</v>
      </c>
      <c r="B9" s="28">
        <v>76.045226418370731</v>
      </c>
      <c r="C9" s="25">
        <v>27937.267999999996</v>
      </c>
      <c r="D9" s="23">
        <f t="shared" si="1"/>
        <v>279.37267999999995</v>
      </c>
    </row>
    <row r="10" spans="1:4">
      <c r="A10" s="29">
        <f t="shared" si="0"/>
        <v>8.6908830192423689</v>
      </c>
      <c r="B10" s="28">
        <v>86.908830192423693</v>
      </c>
      <c r="C10" s="25">
        <v>27935.301999999996</v>
      </c>
      <c r="D10" s="23">
        <f t="shared" si="1"/>
        <v>279.35301999999996</v>
      </c>
    </row>
    <row r="11" spans="1:4">
      <c r="A11" s="29">
        <f t="shared" si="0"/>
        <v>9.7772433966476662</v>
      </c>
      <c r="B11" s="28">
        <v>97.772433966476655</v>
      </c>
      <c r="C11" s="25">
        <v>27933.335999999996</v>
      </c>
      <c r="D11" s="23">
        <f t="shared" si="1"/>
        <v>279.33335999999997</v>
      </c>
    </row>
    <row r="12" spans="1:4">
      <c r="A12" s="29">
        <f t="shared" si="0"/>
        <v>10.863603774052962</v>
      </c>
      <c r="B12" s="28">
        <v>108.63603774052962</v>
      </c>
      <c r="C12" s="25">
        <v>27931.37</v>
      </c>
      <c r="D12" s="23">
        <f t="shared" si="1"/>
        <v>279.31369999999998</v>
      </c>
    </row>
    <row r="13" spans="1:4">
      <c r="A13" s="29">
        <f t="shared" si="0"/>
        <v>11.949964151458257</v>
      </c>
      <c r="B13" s="28">
        <v>119.49964151458258</v>
      </c>
      <c r="C13" s="25">
        <v>27929.403999999999</v>
      </c>
      <c r="D13" s="23">
        <f t="shared" si="1"/>
        <v>279.29404</v>
      </c>
    </row>
    <row r="14" spans="1:4">
      <c r="A14" s="29">
        <f t="shared" si="0"/>
        <v>13.036324528863554</v>
      </c>
      <c r="B14" s="28">
        <v>130.36324528863554</v>
      </c>
      <c r="C14" s="25">
        <v>27927.437999999998</v>
      </c>
      <c r="D14" s="23">
        <f t="shared" si="1"/>
        <v>279.27438000000001</v>
      </c>
    </row>
    <row r="15" spans="1:4">
      <c r="A15" s="29">
        <f t="shared" si="0"/>
        <v>14.12268490626885</v>
      </c>
      <c r="B15" s="28">
        <v>141.2268490626885</v>
      </c>
      <c r="C15" s="25">
        <v>27925.471999999998</v>
      </c>
      <c r="D15" s="23">
        <f t="shared" si="1"/>
        <v>279.25471999999996</v>
      </c>
    </row>
    <row r="16" spans="1:4">
      <c r="A16" s="29">
        <f t="shared" si="0"/>
        <v>15.209045283674147</v>
      </c>
      <c r="B16" s="28">
        <v>152.09045283674146</v>
      </c>
      <c r="C16" s="25">
        <v>27923.505999999998</v>
      </c>
      <c r="D16" s="23">
        <f t="shared" si="1"/>
        <v>279.23505999999998</v>
      </c>
    </row>
    <row r="17" spans="1:4">
      <c r="A17" s="29">
        <f t="shared" si="0"/>
        <v>16.295405661079442</v>
      </c>
      <c r="B17" s="28">
        <v>162.95405661079442</v>
      </c>
      <c r="C17" s="25">
        <v>27921.539999999997</v>
      </c>
      <c r="D17" s="23">
        <f t="shared" si="1"/>
        <v>279.21539999999999</v>
      </c>
    </row>
    <row r="18" spans="1:4">
      <c r="A18" s="29">
        <f t="shared" si="0"/>
        <v>17.381766038484738</v>
      </c>
      <c r="B18" s="28">
        <v>173.81766038484739</v>
      </c>
      <c r="C18" s="25">
        <v>27919.573999999997</v>
      </c>
      <c r="D18" s="23">
        <f t="shared" si="1"/>
        <v>279.19573999999994</v>
      </c>
    </row>
    <row r="19" spans="1:4">
      <c r="A19" s="29">
        <f t="shared" si="0"/>
        <v>18.468126415890033</v>
      </c>
      <c r="B19" s="28">
        <v>184.68126415890035</v>
      </c>
      <c r="C19" s="25">
        <v>27917.607999999997</v>
      </c>
      <c r="D19" s="23">
        <f t="shared" si="1"/>
        <v>279.17607999999996</v>
      </c>
    </row>
    <row r="20" spans="1:4">
      <c r="A20" s="29">
        <f t="shared" si="0"/>
        <v>19.554486793295332</v>
      </c>
      <c r="B20" s="28">
        <v>195.54486793295331</v>
      </c>
      <c r="C20" s="25">
        <v>27915.641999999996</v>
      </c>
      <c r="D20" s="23">
        <f t="shared" si="1"/>
        <v>279.15641999999997</v>
      </c>
    </row>
    <row r="21" spans="1:4">
      <c r="A21" s="29">
        <f t="shared" si="0"/>
        <v>20.640847170700628</v>
      </c>
      <c r="B21" s="28">
        <v>206.40847170700627</v>
      </c>
      <c r="C21" s="25">
        <v>27913.675999999996</v>
      </c>
      <c r="D21" s="23">
        <f t="shared" si="1"/>
        <v>279.13675999999998</v>
      </c>
    </row>
    <row r="22" spans="1:4">
      <c r="A22" s="29">
        <f t="shared" si="0"/>
        <v>21.727207548105923</v>
      </c>
      <c r="B22" s="28">
        <v>217.27207548105923</v>
      </c>
      <c r="C22" s="25">
        <v>27911.71</v>
      </c>
      <c r="D22" s="23">
        <f t="shared" si="1"/>
        <v>279.11709999999999</v>
      </c>
    </row>
    <row r="23" spans="1:4">
      <c r="A23" s="29">
        <f t="shared" si="0"/>
        <v>22.813567925511219</v>
      </c>
      <c r="B23" s="28">
        <v>228.13567925511219</v>
      </c>
      <c r="C23" s="25">
        <v>27909.740999999998</v>
      </c>
      <c r="D23" s="23">
        <f t="shared" si="1"/>
        <v>279.09740999999997</v>
      </c>
    </row>
    <row r="24" spans="1:4">
      <c r="A24" s="29">
        <f t="shared" si="0"/>
        <v>23.899928302916514</v>
      </c>
      <c r="B24" s="28">
        <v>238.99928302916516</v>
      </c>
      <c r="C24" s="25">
        <v>27907.771999999997</v>
      </c>
      <c r="D24" s="23">
        <f t="shared" si="1"/>
        <v>279.07772</v>
      </c>
    </row>
    <row r="25" spans="1:4">
      <c r="A25" s="29">
        <f t="shared" si="0"/>
        <v>24.986288680321813</v>
      </c>
      <c r="B25" s="28">
        <v>249.86288680321812</v>
      </c>
      <c r="C25" s="25">
        <v>27905.802999999996</v>
      </c>
      <c r="D25" s="23">
        <f t="shared" si="1"/>
        <v>279.05802999999997</v>
      </c>
    </row>
    <row r="26" spans="1:4">
      <c r="A26" s="29">
        <f t="shared" si="0"/>
        <v>26.072649057727109</v>
      </c>
      <c r="B26" s="28">
        <v>260.72649057727108</v>
      </c>
      <c r="C26" s="25">
        <v>27903.833999999995</v>
      </c>
      <c r="D26" s="23">
        <f t="shared" si="1"/>
        <v>279.03833999999995</v>
      </c>
    </row>
    <row r="27" spans="1:4">
      <c r="A27" s="29">
        <f t="shared" si="0"/>
        <v>27.159009435132408</v>
      </c>
      <c r="B27" s="28">
        <v>271.59009435132407</v>
      </c>
      <c r="C27" s="25">
        <v>27901.864999999994</v>
      </c>
      <c r="D27" s="23">
        <f t="shared" si="1"/>
        <v>279.01864999999992</v>
      </c>
    </row>
    <row r="28" spans="1:4">
      <c r="A28" s="29">
        <f t="shared" si="0"/>
        <v>28.2453698125377</v>
      </c>
      <c r="B28" s="28">
        <v>282.453698125377</v>
      </c>
      <c r="C28" s="25">
        <v>27899.895999999993</v>
      </c>
      <c r="D28" s="23">
        <f t="shared" si="1"/>
        <v>278.99895999999995</v>
      </c>
    </row>
    <row r="29" spans="1:4">
      <c r="A29" s="29">
        <f t="shared" si="0"/>
        <v>29.331730189942999</v>
      </c>
      <c r="B29" s="28">
        <v>293.31730189942999</v>
      </c>
      <c r="C29" s="25">
        <v>27897.926999999992</v>
      </c>
      <c r="D29" s="23">
        <f t="shared" si="1"/>
        <v>278.97926999999993</v>
      </c>
    </row>
    <row r="30" spans="1:4">
      <c r="A30" s="29">
        <f t="shared" si="0"/>
        <v>30.418090567348294</v>
      </c>
      <c r="B30" s="28">
        <v>304.18090567348293</v>
      </c>
      <c r="C30" s="25">
        <v>27895.957999999991</v>
      </c>
      <c r="D30" s="23">
        <f t="shared" si="1"/>
        <v>278.9595799999999</v>
      </c>
    </row>
    <row r="31" spans="1:4">
      <c r="A31" s="29">
        <f t="shared" si="0"/>
        <v>31.504450944753593</v>
      </c>
      <c r="B31" s="28">
        <v>315.04450944753592</v>
      </c>
      <c r="C31" s="25">
        <v>27893.98899999999</v>
      </c>
      <c r="D31" s="23">
        <f t="shared" si="1"/>
        <v>278.93988999999988</v>
      </c>
    </row>
    <row r="32" spans="1:4">
      <c r="A32" s="29">
        <f t="shared" si="0"/>
        <v>32.590811322158885</v>
      </c>
      <c r="B32" s="28">
        <v>325.90811322158885</v>
      </c>
      <c r="C32" s="25">
        <v>27892.02</v>
      </c>
      <c r="D32" s="23">
        <f t="shared" si="1"/>
        <v>278.92020000000002</v>
      </c>
    </row>
    <row r="33" spans="1:4">
      <c r="A33" s="29">
        <f t="shared" si="0"/>
        <v>33.677171699564184</v>
      </c>
      <c r="B33" s="28">
        <v>336.77171699564184</v>
      </c>
      <c r="C33" s="25">
        <v>27888.258000000002</v>
      </c>
      <c r="D33" s="23">
        <f t="shared" si="1"/>
        <v>278.88258000000002</v>
      </c>
    </row>
    <row r="34" spans="1:4">
      <c r="A34" s="29">
        <f t="shared" si="0"/>
        <v>34.763532076969476</v>
      </c>
      <c r="B34" s="28">
        <v>347.63532076969477</v>
      </c>
      <c r="C34" s="25">
        <v>27884.496000000003</v>
      </c>
      <c r="D34" s="23">
        <f t="shared" si="1"/>
        <v>278.84496000000001</v>
      </c>
    </row>
    <row r="35" spans="1:4">
      <c r="A35" s="29">
        <f t="shared" si="0"/>
        <v>35.849892454374775</v>
      </c>
      <c r="B35" s="28">
        <v>358.49892454374776</v>
      </c>
      <c r="C35" s="25">
        <v>27880.734000000004</v>
      </c>
      <c r="D35" s="23">
        <f t="shared" si="1"/>
        <v>278.80734000000007</v>
      </c>
    </row>
    <row r="36" spans="1:4">
      <c r="A36" s="29">
        <f t="shared" si="0"/>
        <v>36.936252831780067</v>
      </c>
      <c r="B36" s="28">
        <v>369.3625283178007</v>
      </c>
      <c r="C36" s="25">
        <v>27876.972000000005</v>
      </c>
      <c r="D36" s="23">
        <f t="shared" si="1"/>
        <v>278.76972000000006</v>
      </c>
    </row>
    <row r="37" spans="1:4">
      <c r="A37" s="29">
        <f t="shared" si="0"/>
        <v>38.022613209185366</v>
      </c>
      <c r="B37" s="28">
        <v>380.22613209185369</v>
      </c>
      <c r="C37" s="25">
        <v>27873.210000000006</v>
      </c>
      <c r="D37" s="23">
        <f t="shared" si="1"/>
        <v>278.73210000000006</v>
      </c>
    </row>
    <row r="38" spans="1:4">
      <c r="A38" s="29">
        <f t="shared" si="0"/>
        <v>39.108973586590665</v>
      </c>
      <c r="B38" s="28">
        <v>391.08973586590662</v>
      </c>
      <c r="C38" s="25">
        <v>27869.448000000008</v>
      </c>
      <c r="D38" s="23">
        <f t="shared" si="1"/>
        <v>278.69448000000006</v>
      </c>
    </row>
    <row r="39" spans="1:4">
      <c r="A39" s="29">
        <f t="shared" si="0"/>
        <v>40.195333963995964</v>
      </c>
      <c r="B39" s="28">
        <v>401.95333963995961</v>
      </c>
      <c r="C39" s="25">
        <v>27865.686000000009</v>
      </c>
      <c r="D39" s="23">
        <f t="shared" si="1"/>
        <v>278.65686000000011</v>
      </c>
    </row>
    <row r="40" spans="1:4">
      <c r="A40" s="29">
        <f t="shared" si="0"/>
        <v>41.281694341401256</v>
      </c>
      <c r="B40" s="28">
        <v>412.81694341401254</v>
      </c>
      <c r="C40" s="25">
        <v>27861.92400000001</v>
      </c>
      <c r="D40" s="23">
        <f t="shared" si="1"/>
        <v>278.6192400000001</v>
      </c>
    </row>
    <row r="41" spans="1:4">
      <c r="A41" s="29">
        <f t="shared" si="0"/>
        <v>42.368054718806555</v>
      </c>
      <c r="B41" s="28">
        <v>423.68054718806553</v>
      </c>
      <c r="C41" s="25">
        <v>27858.162000000011</v>
      </c>
      <c r="D41" s="23">
        <f t="shared" si="1"/>
        <v>278.5816200000001</v>
      </c>
    </row>
    <row r="42" spans="1:4">
      <c r="A42" s="29">
        <f t="shared" si="0"/>
        <v>43.454415096211847</v>
      </c>
      <c r="B42" s="28">
        <v>434.54415096211847</v>
      </c>
      <c r="C42" s="25">
        <v>27854.400000000001</v>
      </c>
      <c r="D42" s="23">
        <f t="shared" si="1"/>
        <v>278.54400000000004</v>
      </c>
    </row>
    <row r="43" spans="1:4">
      <c r="A43" s="29">
        <f t="shared" si="0"/>
        <v>44.540775473617146</v>
      </c>
      <c r="B43" s="28">
        <v>445.40775473617146</v>
      </c>
      <c r="C43" s="25">
        <v>27813.175999999999</v>
      </c>
      <c r="D43" s="23">
        <f t="shared" si="1"/>
        <v>278.13175999999999</v>
      </c>
    </row>
    <row r="44" spans="1:4">
      <c r="A44" s="29">
        <f t="shared" si="0"/>
        <v>45.627135851022437</v>
      </c>
      <c r="B44" s="28">
        <v>456.27135851022439</v>
      </c>
      <c r="C44" s="25">
        <v>27771.951999999997</v>
      </c>
      <c r="D44" s="23">
        <f t="shared" si="1"/>
        <v>277.71951999999999</v>
      </c>
    </row>
    <row r="45" spans="1:4">
      <c r="A45" s="29">
        <f t="shared" si="0"/>
        <v>46.713496228427736</v>
      </c>
      <c r="B45" s="28">
        <v>467.13496228427738</v>
      </c>
      <c r="C45" s="25">
        <v>27730.727999999996</v>
      </c>
      <c r="D45" s="23">
        <f t="shared" si="1"/>
        <v>277.30727999999993</v>
      </c>
    </row>
    <row r="46" spans="1:4">
      <c r="A46" s="29">
        <f t="shared" si="0"/>
        <v>47.799856605833028</v>
      </c>
      <c r="B46" s="28">
        <v>477.99856605833031</v>
      </c>
      <c r="C46" s="25">
        <v>27689.503999999994</v>
      </c>
      <c r="D46" s="23">
        <f t="shared" si="1"/>
        <v>276.89503999999994</v>
      </c>
    </row>
    <row r="47" spans="1:4">
      <c r="A47" s="29">
        <f t="shared" si="0"/>
        <v>48.886216983238327</v>
      </c>
      <c r="B47" s="28">
        <v>488.8621698323833</v>
      </c>
      <c r="C47" s="25">
        <v>27648.279999999992</v>
      </c>
      <c r="D47" s="23">
        <f t="shared" si="1"/>
        <v>276.48279999999994</v>
      </c>
    </row>
    <row r="48" spans="1:4">
      <c r="A48" s="29">
        <f t="shared" si="0"/>
        <v>49.972577360643626</v>
      </c>
      <c r="B48" s="28">
        <v>499.72577360643623</v>
      </c>
      <c r="C48" s="25">
        <v>27607.05599999999</v>
      </c>
      <c r="D48" s="23">
        <f t="shared" si="1"/>
        <v>276.07055999999989</v>
      </c>
    </row>
    <row r="49" spans="1:4">
      <c r="A49" s="29">
        <f t="shared" si="0"/>
        <v>51.058937738048925</v>
      </c>
      <c r="B49" s="28">
        <v>510.58937738048922</v>
      </c>
      <c r="C49" s="25">
        <v>27565.831999999988</v>
      </c>
      <c r="D49" s="23">
        <f t="shared" si="1"/>
        <v>275.65831999999989</v>
      </c>
    </row>
    <row r="50" spans="1:4">
      <c r="A50" s="29">
        <f t="shared" si="0"/>
        <v>52.145298115454217</v>
      </c>
      <c r="B50" s="28">
        <v>521.45298115454216</v>
      </c>
      <c r="C50" s="25">
        <v>27524.607999999986</v>
      </c>
      <c r="D50" s="23">
        <f t="shared" si="1"/>
        <v>275.24607999999984</v>
      </c>
    </row>
    <row r="51" spans="1:4">
      <c r="A51" s="29">
        <f t="shared" si="0"/>
        <v>53.231658492859516</v>
      </c>
      <c r="B51" s="28">
        <v>532.31658492859515</v>
      </c>
      <c r="C51" s="25">
        <v>27483.383999999984</v>
      </c>
      <c r="D51" s="23">
        <f t="shared" si="1"/>
        <v>274.83383999999984</v>
      </c>
    </row>
    <row r="52" spans="1:4">
      <c r="A52" s="29">
        <f t="shared" si="0"/>
        <v>54.318018870264815</v>
      </c>
      <c r="B52" s="28">
        <v>543.18018870264814</v>
      </c>
      <c r="C52" s="25">
        <v>27442.16</v>
      </c>
      <c r="D52" s="23">
        <f t="shared" si="1"/>
        <v>274.42160000000001</v>
      </c>
    </row>
    <row r="53" spans="1:4">
      <c r="A53" s="29">
        <f t="shared" si="0"/>
        <v>55.4043792476701</v>
      </c>
      <c r="B53" s="28">
        <v>554.04379247670101</v>
      </c>
      <c r="C53" s="25">
        <v>27365.735000000001</v>
      </c>
      <c r="D53" s="23">
        <f t="shared" si="1"/>
        <v>273.65735000000001</v>
      </c>
    </row>
    <row r="54" spans="1:4">
      <c r="A54" s="29">
        <f t="shared" si="0"/>
        <v>56.490739625075399</v>
      </c>
      <c r="B54" s="28">
        <v>564.907396250754</v>
      </c>
      <c r="C54" s="25">
        <v>27289.31</v>
      </c>
      <c r="D54" s="23">
        <f t="shared" si="1"/>
        <v>272.8931</v>
      </c>
    </row>
    <row r="55" spans="1:4">
      <c r="A55" s="29">
        <f t="shared" si="0"/>
        <v>57.577100002480698</v>
      </c>
      <c r="B55" s="28">
        <v>575.77100002480699</v>
      </c>
      <c r="C55" s="25">
        <v>27212.885000000002</v>
      </c>
      <c r="D55" s="23">
        <f t="shared" si="1"/>
        <v>272.12885</v>
      </c>
    </row>
    <row r="56" spans="1:4">
      <c r="A56" s="29">
        <f t="shared" si="0"/>
        <v>58.663460379885997</v>
      </c>
      <c r="B56" s="28">
        <v>586.63460379885998</v>
      </c>
      <c r="C56" s="25">
        <v>27136.460000000003</v>
      </c>
      <c r="D56" s="23">
        <f t="shared" si="1"/>
        <v>271.36460000000005</v>
      </c>
    </row>
    <row r="57" spans="1:4">
      <c r="A57" s="29">
        <f t="shared" si="0"/>
        <v>59.749820757291289</v>
      </c>
      <c r="B57" s="28">
        <v>597.49820757291286</v>
      </c>
      <c r="C57" s="25">
        <v>27060.035000000003</v>
      </c>
      <c r="D57" s="23">
        <f t="shared" si="1"/>
        <v>270.60035000000005</v>
      </c>
    </row>
    <row r="58" spans="1:4">
      <c r="A58" s="29">
        <f t="shared" si="0"/>
        <v>60.836181134696588</v>
      </c>
      <c r="B58" s="28">
        <v>608.36181134696585</v>
      </c>
      <c r="C58" s="25">
        <v>26983.610000000004</v>
      </c>
      <c r="D58" s="23">
        <f t="shared" si="1"/>
        <v>269.83610000000004</v>
      </c>
    </row>
    <row r="59" spans="1:4">
      <c r="A59" s="29">
        <f t="shared" si="0"/>
        <v>61.922541512101887</v>
      </c>
      <c r="B59" s="28">
        <v>619.22541512101884</v>
      </c>
      <c r="C59" s="25">
        <v>26907.185000000005</v>
      </c>
      <c r="D59" s="23">
        <f t="shared" si="1"/>
        <v>269.07185000000004</v>
      </c>
    </row>
    <row r="60" spans="1:4">
      <c r="A60" s="29">
        <f t="shared" si="0"/>
        <v>63.008901889507186</v>
      </c>
      <c r="B60" s="28">
        <v>630.08901889507183</v>
      </c>
      <c r="C60" s="25">
        <v>26830.760000000006</v>
      </c>
      <c r="D60" s="23">
        <f t="shared" si="1"/>
        <v>268.30760000000004</v>
      </c>
    </row>
    <row r="61" spans="1:4">
      <c r="A61" s="29">
        <f t="shared" si="0"/>
        <v>64.095262266912471</v>
      </c>
      <c r="B61" s="28">
        <v>640.95262266912471</v>
      </c>
      <c r="C61" s="25">
        <v>26754.335000000006</v>
      </c>
      <c r="D61" s="23">
        <f t="shared" si="1"/>
        <v>267.54335000000009</v>
      </c>
    </row>
    <row r="62" spans="1:4">
      <c r="A62" s="29">
        <f t="shared" si="0"/>
        <v>65.18162264431777</v>
      </c>
      <c r="B62" s="28">
        <v>651.8162264431777</v>
      </c>
      <c r="C62" s="25">
        <v>26677.91</v>
      </c>
      <c r="D62" s="23">
        <f t="shared" si="1"/>
        <v>266.77909999999997</v>
      </c>
    </row>
    <row r="63" spans="1:4">
      <c r="A63" s="29">
        <f t="shared" si="0"/>
        <v>66.267983021723069</v>
      </c>
      <c r="B63" s="28">
        <v>662.67983021723069</v>
      </c>
      <c r="C63" s="25">
        <v>26579.241999999998</v>
      </c>
      <c r="D63" s="23">
        <f t="shared" si="1"/>
        <v>265.79241999999999</v>
      </c>
    </row>
    <row r="64" spans="1:4">
      <c r="A64" s="29">
        <f t="shared" si="0"/>
        <v>67.354343399128368</v>
      </c>
      <c r="B64" s="28">
        <v>673.54343399128368</v>
      </c>
      <c r="C64" s="25">
        <v>26480.573999999997</v>
      </c>
      <c r="D64" s="23">
        <f t="shared" si="1"/>
        <v>264.80573999999996</v>
      </c>
    </row>
    <row r="65" spans="1:4">
      <c r="A65" s="29">
        <f t="shared" si="0"/>
        <v>68.440703776533653</v>
      </c>
      <c r="B65" s="28">
        <v>684.40703776533655</v>
      </c>
      <c r="C65" s="25">
        <v>26381.905999999995</v>
      </c>
      <c r="D65" s="23">
        <f t="shared" si="1"/>
        <v>263.81905999999998</v>
      </c>
    </row>
    <row r="66" spans="1:4">
      <c r="A66" s="29">
        <f t="shared" si="0"/>
        <v>69.527064153938952</v>
      </c>
      <c r="B66" s="28">
        <v>695.27064153938954</v>
      </c>
      <c r="C66" s="25">
        <v>26283.237999999994</v>
      </c>
      <c r="D66" s="23">
        <f t="shared" si="1"/>
        <v>262.83237999999994</v>
      </c>
    </row>
    <row r="67" spans="1:4">
      <c r="A67" s="29">
        <f t="shared" ref="A67:A130" si="2">$B67/10</f>
        <v>70.613424531344251</v>
      </c>
      <c r="B67" s="28">
        <v>706.13424531344253</v>
      </c>
      <c r="C67" s="25">
        <v>26184.569999999992</v>
      </c>
      <c r="D67" s="23">
        <f t="shared" ref="D67:D130" si="3">$C67/100</f>
        <v>261.84569999999991</v>
      </c>
    </row>
    <row r="68" spans="1:4">
      <c r="A68" s="29">
        <f t="shared" si="2"/>
        <v>71.69978490874955</v>
      </c>
      <c r="B68" s="28">
        <v>716.99784908749552</v>
      </c>
      <c r="C68" s="25">
        <v>26085.901999999991</v>
      </c>
      <c r="D68" s="23">
        <f t="shared" si="3"/>
        <v>260.85901999999993</v>
      </c>
    </row>
    <row r="69" spans="1:4">
      <c r="A69" s="29">
        <f t="shared" si="2"/>
        <v>72.786145286154834</v>
      </c>
      <c r="B69" s="28">
        <v>727.8614528615484</v>
      </c>
      <c r="C69" s="25">
        <v>25987.233999999989</v>
      </c>
      <c r="D69" s="23">
        <f t="shared" si="3"/>
        <v>259.87233999999989</v>
      </c>
    </row>
    <row r="70" spans="1:4">
      <c r="A70" s="29">
        <f t="shared" si="2"/>
        <v>73.872505663560133</v>
      </c>
      <c r="B70" s="28">
        <v>738.72505663560139</v>
      </c>
      <c r="C70" s="25">
        <v>25888.565999999988</v>
      </c>
      <c r="D70" s="23">
        <f t="shared" si="3"/>
        <v>258.88565999999986</v>
      </c>
    </row>
    <row r="71" spans="1:4">
      <c r="A71" s="29">
        <f t="shared" si="2"/>
        <v>74.958866040965432</v>
      </c>
      <c r="B71" s="28">
        <v>749.58866040965438</v>
      </c>
      <c r="C71" s="25">
        <v>25789.897999999986</v>
      </c>
      <c r="D71" s="23">
        <f t="shared" si="3"/>
        <v>257.89897999999988</v>
      </c>
    </row>
    <row r="72" spans="1:4">
      <c r="A72" s="29">
        <f t="shared" si="2"/>
        <v>76.045226418370731</v>
      </c>
      <c r="B72" s="28">
        <v>760.45226418370737</v>
      </c>
      <c r="C72" s="25">
        <v>25691.23</v>
      </c>
      <c r="D72" s="23">
        <f t="shared" si="3"/>
        <v>256.91230000000002</v>
      </c>
    </row>
    <row r="73" spans="1:4">
      <c r="A73" s="29">
        <f t="shared" si="2"/>
        <v>77.13158679577603</v>
      </c>
      <c r="B73" s="28">
        <v>771.31586795776036</v>
      </c>
      <c r="C73" s="25">
        <v>25588.365999999998</v>
      </c>
      <c r="D73" s="23">
        <f t="shared" si="3"/>
        <v>255.88365999999999</v>
      </c>
    </row>
    <row r="74" spans="1:4">
      <c r="A74" s="29">
        <f t="shared" si="2"/>
        <v>78.217947173181329</v>
      </c>
      <c r="B74" s="28">
        <v>782.17947173181324</v>
      </c>
      <c r="C74" s="25">
        <v>25485.501999999997</v>
      </c>
      <c r="D74" s="23">
        <f t="shared" si="3"/>
        <v>254.85501999999997</v>
      </c>
    </row>
    <row r="75" spans="1:4">
      <c r="A75" s="29">
        <f t="shared" si="2"/>
        <v>79.304307550586628</v>
      </c>
      <c r="B75" s="28">
        <v>793.04307550586623</v>
      </c>
      <c r="C75" s="25">
        <v>25382.637999999995</v>
      </c>
      <c r="D75" s="23">
        <f t="shared" si="3"/>
        <v>253.82637999999994</v>
      </c>
    </row>
    <row r="76" spans="1:4">
      <c r="A76" s="29">
        <f t="shared" si="2"/>
        <v>80.390667927991927</v>
      </c>
      <c r="B76" s="28">
        <v>803.90667927991922</v>
      </c>
      <c r="C76" s="25">
        <v>25279.773999999994</v>
      </c>
      <c r="D76" s="23">
        <f t="shared" si="3"/>
        <v>252.79773999999995</v>
      </c>
    </row>
    <row r="77" spans="1:4">
      <c r="A77" s="29">
        <f t="shared" si="2"/>
        <v>81.477028305397226</v>
      </c>
      <c r="B77" s="28">
        <v>814.77028305397221</v>
      </c>
      <c r="C77" s="25">
        <v>25176.909999999993</v>
      </c>
      <c r="D77" s="23">
        <f t="shared" si="3"/>
        <v>251.76909999999992</v>
      </c>
    </row>
    <row r="78" spans="1:4">
      <c r="A78" s="29">
        <f t="shared" si="2"/>
        <v>82.563388682802511</v>
      </c>
      <c r="B78" s="28">
        <v>825.63388682802508</v>
      </c>
      <c r="C78" s="25">
        <v>25074.045999999991</v>
      </c>
      <c r="D78" s="23">
        <f t="shared" si="3"/>
        <v>250.7404599999999</v>
      </c>
    </row>
    <row r="79" spans="1:4">
      <c r="A79" s="29">
        <f t="shared" si="2"/>
        <v>83.64974906020781</v>
      </c>
      <c r="B79" s="28">
        <v>836.49749060207807</v>
      </c>
      <c r="C79" s="25">
        <v>24971.18199999999</v>
      </c>
      <c r="D79" s="23">
        <f t="shared" si="3"/>
        <v>249.7118199999999</v>
      </c>
    </row>
    <row r="80" spans="1:4">
      <c r="A80" s="29">
        <f t="shared" si="2"/>
        <v>84.736109437613109</v>
      </c>
      <c r="B80" s="28">
        <v>847.36109437613106</v>
      </c>
      <c r="C80" s="25">
        <v>24868.317999999988</v>
      </c>
      <c r="D80" s="23">
        <f t="shared" si="3"/>
        <v>248.68317999999988</v>
      </c>
    </row>
    <row r="81" spans="1:4">
      <c r="A81" s="29">
        <f t="shared" si="2"/>
        <v>85.822469815018408</v>
      </c>
      <c r="B81" s="28">
        <v>858.22469815018405</v>
      </c>
      <c r="C81" s="25">
        <v>24765.453999999987</v>
      </c>
      <c r="D81" s="23">
        <f t="shared" si="3"/>
        <v>247.65453999999988</v>
      </c>
    </row>
    <row r="82" spans="1:4">
      <c r="A82" s="29">
        <f t="shared" si="2"/>
        <v>86.908830192423693</v>
      </c>
      <c r="B82" s="28">
        <v>869.08830192423693</v>
      </c>
      <c r="C82" s="25">
        <v>24662.59</v>
      </c>
      <c r="D82" s="23">
        <f t="shared" si="3"/>
        <v>246.6259</v>
      </c>
    </row>
    <row r="83" spans="1:4">
      <c r="A83" s="29">
        <f t="shared" si="2"/>
        <v>87.995190569828992</v>
      </c>
      <c r="B83" s="28">
        <v>879.95190569828992</v>
      </c>
      <c r="C83" s="25">
        <v>24560.48</v>
      </c>
      <c r="D83" s="23">
        <f t="shared" si="3"/>
        <v>245.60479999999998</v>
      </c>
    </row>
    <row r="84" spans="1:4">
      <c r="A84" s="29">
        <f t="shared" si="2"/>
        <v>89.081550947234291</v>
      </c>
      <c r="B84" s="28">
        <v>890.81550947234291</v>
      </c>
      <c r="C84" s="25">
        <v>24458.37</v>
      </c>
      <c r="D84" s="23">
        <f t="shared" si="3"/>
        <v>244.58369999999999</v>
      </c>
    </row>
    <row r="85" spans="1:4">
      <c r="A85" s="29">
        <f t="shared" si="2"/>
        <v>90.16791132463959</v>
      </c>
      <c r="B85" s="28">
        <v>901.6791132463959</v>
      </c>
      <c r="C85" s="25">
        <v>24356.26</v>
      </c>
      <c r="D85" s="23">
        <f t="shared" si="3"/>
        <v>243.56259999999997</v>
      </c>
    </row>
    <row r="86" spans="1:4">
      <c r="A86" s="29">
        <f t="shared" si="2"/>
        <v>91.254271702044875</v>
      </c>
      <c r="B86" s="28">
        <v>912.54271702044878</v>
      </c>
      <c r="C86" s="25">
        <v>24254.149999999998</v>
      </c>
      <c r="D86" s="23">
        <f t="shared" si="3"/>
        <v>242.54149999999998</v>
      </c>
    </row>
    <row r="87" spans="1:4">
      <c r="A87" s="29">
        <f t="shared" si="2"/>
        <v>92.340632079450174</v>
      </c>
      <c r="B87" s="28">
        <v>923.40632079450177</v>
      </c>
      <c r="C87" s="25">
        <v>24152.039999999997</v>
      </c>
      <c r="D87" s="23">
        <f t="shared" si="3"/>
        <v>241.52039999999997</v>
      </c>
    </row>
    <row r="88" spans="1:4">
      <c r="A88" s="29">
        <f t="shared" si="2"/>
        <v>93.426992456855473</v>
      </c>
      <c r="B88" s="28">
        <v>934.26992456855476</v>
      </c>
      <c r="C88" s="25">
        <v>24049.929999999997</v>
      </c>
      <c r="D88" s="23">
        <f t="shared" si="3"/>
        <v>240.49929999999998</v>
      </c>
    </row>
    <row r="89" spans="1:4">
      <c r="A89" s="29">
        <f t="shared" si="2"/>
        <v>94.513352834260772</v>
      </c>
      <c r="B89" s="28">
        <v>945.13352834260775</v>
      </c>
      <c r="C89" s="25">
        <v>23947.819999999996</v>
      </c>
      <c r="D89" s="23">
        <f t="shared" si="3"/>
        <v>239.47819999999996</v>
      </c>
    </row>
    <row r="90" spans="1:4">
      <c r="A90" s="29">
        <f t="shared" si="2"/>
        <v>95.599713211666057</v>
      </c>
      <c r="B90" s="28">
        <v>955.99713211666062</v>
      </c>
      <c r="C90" s="25">
        <v>23845.709999999995</v>
      </c>
      <c r="D90" s="23">
        <f t="shared" si="3"/>
        <v>238.45709999999997</v>
      </c>
    </row>
    <row r="91" spans="1:4">
      <c r="A91" s="29">
        <f t="shared" si="2"/>
        <v>96.686073589071356</v>
      </c>
      <c r="B91" s="28">
        <v>966.86073589071361</v>
      </c>
      <c r="C91" s="25">
        <v>23743.599999999995</v>
      </c>
      <c r="D91" s="23">
        <f t="shared" si="3"/>
        <v>237.43599999999995</v>
      </c>
    </row>
    <row r="92" spans="1:4">
      <c r="A92" s="29">
        <f t="shared" si="2"/>
        <v>97.772433966476655</v>
      </c>
      <c r="B92" s="28">
        <v>977.7243396647666</v>
      </c>
      <c r="C92" s="25">
        <v>23641.49</v>
      </c>
      <c r="D92" s="23">
        <f t="shared" si="3"/>
        <v>236.41490000000002</v>
      </c>
    </row>
    <row r="93" spans="1:4">
      <c r="A93" s="29">
        <f t="shared" si="2"/>
        <v>98.858794343881954</v>
      </c>
      <c r="B93" s="28">
        <v>988.58794343881959</v>
      </c>
      <c r="C93" s="25">
        <v>23539.814000000002</v>
      </c>
      <c r="D93" s="23">
        <f t="shared" si="3"/>
        <v>235.39814000000001</v>
      </c>
    </row>
    <row r="94" spans="1:4">
      <c r="A94" s="29">
        <f t="shared" si="2"/>
        <v>99.945154721287253</v>
      </c>
      <c r="B94" s="28">
        <v>999.45154721287247</v>
      </c>
      <c r="C94" s="25">
        <v>23438.138000000003</v>
      </c>
      <c r="D94" s="23">
        <f t="shared" si="3"/>
        <v>234.38138000000004</v>
      </c>
    </row>
    <row r="95" spans="1:4">
      <c r="A95" s="29">
        <f t="shared" si="2"/>
        <v>101.03151509869255</v>
      </c>
      <c r="B95" s="28">
        <v>1010.3151509869255</v>
      </c>
      <c r="C95" s="25">
        <v>23336.462000000003</v>
      </c>
      <c r="D95" s="23">
        <f t="shared" si="3"/>
        <v>233.36462000000003</v>
      </c>
    </row>
    <row r="96" spans="1:4">
      <c r="A96" s="29">
        <f t="shared" si="2"/>
        <v>102.11787547609785</v>
      </c>
      <c r="B96" s="28">
        <v>1021.1787547609784</v>
      </c>
      <c r="C96" s="25">
        <v>23234.786000000004</v>
      </c>
      <c r="D96" s="23">
        <f t="shared" si="3"/>
        <v>232.34786000000003</v>
      </c>
    </row>
    <row r="97" spans="1:4">
      <c r="A97" s="29">
        <f t="shared" si="2"/>
        <v>103.20423585350314</v>
      </c>
      <c r="B97" s="28">
        <v>1032.0423585350313</v>
      </c>
      <c r="C97" s="25">
        <v>23133.110000000004</v>
      </c>
      <c r="D97" s="23">
        <f t="shared" si="3"/>
        <v>231.33110000000005</v>
      </c>
    </row>
    <row r="98" spans="1:4">
      <c r="A98" s="29">
        <f t="shared" si="2"/>
        <v>104.29059623090843</v>
      </c>
      <c r="B98" s="28">
        <v>1042.9059623090843</v>
      </c>
      <c r="C98" s="25">
        <v>23031.434000000005</v>
      </c>
      <c r="D98" s="23">
        <f t="shared" si="3"/>
        <v>230.31434000000004</v>
      </c>
    </row>
    <row r="99" spans="1:4">
      <c r="A99" s="29">
        <f t="shared" si="2"/>
        <v>105.37695660831373</v>
      </c>
      <c r="B99" s="28">
        <v>1053.7695660831373</v>
      </c>
      <c r="C99" s="25">
        <v>22929.758000000005</v>
      </c>
      <c r="D99" s="23">
        <f t="shared" si="3"/>
        <v>229.29758000000004</v>
      </c>
    </row>
    <row r="100" spans="1:4">
      <c r="A100" s="29">
        <f t="shared" si="2"/>
        <v>106.46331698571903</v>
      </c>
      <c r="B100" s="28">
        <v>1064.6331698571903</v>
      </c>
      <c r="C100" s="25">
        <v>22828.082000000006</v>
      </c>
      <c r="D100" s="23">
        <f t="shared" si="3"/>
        <v>228.28082000000006</v>
      </c>
    </row>
    <row r="101" spans="1:4">
      <c r="A101" s="29">
        <f t="shared" si="2"/>
        <v>107.54967736312433</v>
      </c>
      <c r="B101" s="28">
        <v>1075.4967736312433</v>
      </c>
      <c r="C101" s="25">
        <v>22726.406000000006</v>
      </c>
      <c r="D101" s="23">
        <f t="shared" si="3"/>
        <v>227.26406000000006</v>
      </c>
    </row>
    <row r="102" spans="1:4">
      <c r="A102" s="29">
        <f t="shared" si="2"/>
        <v>108.63603774052963</v>
      </c>
      <c r="B102" s="28">
        <v>1086.3603774052963</v>
      </c>
      <c r="C102" s="25">
        <v>22624.73</v>
      </c>
      <c r="D102" s="23">
        <f t="shared" si="3"/>
        <v>226.2473</v>
      </c>
    </row>
    <row r="103" spans="1:4">
      <c r="A103" s="29">
        <f t="shared" si="2"/>
        <v>109.72239811793493</v>
      </c>
      <c r="B103" s="28">
        <v>1097.2239811793493</v>
      </c>
      <c r="C103" s="25">
        <v>22523.083729999998</v>
      </c>
      <c r="D103" s="23">
        <f t="shared" si="3"/>
        <v>225.23083729999999</v>
      </c>
    </row>
    <row r="104" spans="1:4">
      <c r="A104" s="29">
        <f t="shared" si="2"/>
        <v>110.8087584953402</v>
      </c>
      <c r="B104" s="28">
        <v>1108.087584953402</v>
      </c>
      <c r="C104" s="25">
        <v>22421.437459999997</v>
      </c>
      <c r="D104" s="23">
        <f t="shared" si="3"/>
        <v>224.21437459999999</v>
      </c>
    </row>
    <row r="105" spans="1:4">
      <c r="A105" s="29">
        <f t="shared" si="2"/>
        <v>111.8951188727455</v>
      </c>
      <c r="B105" s="28">
        <v>1118.951188727455</v>
      </c>
      <c r="C105" s="25">
        <v>22319.791189999996</v>
      </c>
      <c r="D105" s="23">
        <f t="shared" si="3"/>
        <v>223.19791189999995</v>
      </c>
    </row>
    <row r="106" spans="1:4">
      <c r="A106" s="29">
        <f t="shared" si="2"/>
        <v>112.9814792501508</v>
      </c>
      <c r="B106" s="28">
        <v>1129.814792501508</v>
      </c>
      <c r="C106" s="25">
        <v>22218.144919999995</v>
      </c>
      <c r="D106" s="23">
        <f t="shared" si="3"/>
        <v>222.18144919999995</v>
      </c>
    </row>
    <row r="107" spans="1:4">
      <c r="A107" s="29">
        <f t="shared" si="2"/>
        <v>114.0678396275561</v>
      </c>
      <c r="B107" s="28">
        <v>1140.678396275561</v>
      </c>
      <c r="C107" s="25">
        <v>22116.498649999994</v>
      </c>
      <c r="D107" s="23">
        <f t="shared" si="3"/>
        <v>221.16498649999994</v>
      </c>
    </row>
    <row r="108" spans="1:4">
      <c r="A108" s="29">
        <f t="shared" si="2"/>
        <v>115.1542000049614</v>
      </c>
      <c r="B108" s="28">
        <v>1151.542000049614</v>
      </c>
      <c r="C108" s="25">
        <v>22014.852379999993</v>
      </c>
      <c r="D108" s="23">
        <f t="shared" si="3"/>
        <v>220.14852379999994</v>
      </c>
    </row>
    <row r="109" spans="1:4">
      <c r="A109" s="29">
        <f t="shared" si="2"/>
        <v>116.2405603823667</v>
      </c>
      <c r="B109" s="28">
        <v>1162.405603823667</v>
      </c>
      <c r="C109" s="25">
        <v>21913.206109999992</v>
      </c>
      <c r="D109" s="23">
        <f t="shared" si="3"/>
        <v>219.13206109999993</v>
      </c>
    </row>
    <row r="110" spans="1:4">
      <c r="A110" s="29">
        <f t="shared" si="2"/>
        <v>117.32692075977199</v>
      </c>
      <c r="B110" s="28">
        <v>1173.26920759772</v>
      </c>
      <c r="C110" s="25">
        <v>21811.559839999991</v>
      </c>
      <c r="D110" s="23">
        <f t="shared" si="3"/>
        <v>218.1155983999999</v>
      </c>
    </row>
    <row r="111" spans="1:4">
      <c r="A111" s="29">
        <f t="shared" si="2"/>
        <v>118.41328113717729</v>
      </c>
      <c r="B111" s="28">
        <v>1184.132811371773</v>
      </c>
      <c r="C111" s="25">
        <v>21709.91356999999</v>
      </c>
      <c r="D111" s="23">
        <f t="shared" si="3"/>
        <v>217.09913569999989</v>
      </c>
    </row>
    <row r="112" spans="1:4">
      <c r="A112" s="29">
        <f t="shared" si="2"/>
        <v>119.49964151458258</v>
      </c>
      <c r="B112" s="28">
        <v>1194.9964151458257</v>
      </c>
      <c r="C112" s="25">
        <v>21608.267299999989</v>
      </c>
      <c r="D112" s="23">
        <f t="shared" si="3"/>
        <v>216.08267299999989</v>
      </c>
    </row>
    <row r="113" spans="1:4">
      <c r="A113" s="29">
        <f t="shared" si="2"/>
        <v>120.58600189198788</v>
      </c>
      <c r="B113" s="28">
        <v>1205.8600189198787</v>
      </c>
      <c r="C113" s="25">
        <v>21506.621029999988</v>
      </c>
      <c r="D113" s="23">
        <f t="shared" si="3"/>
        <v>215.06621029999988</v>
      </c>
    </row>
    <row r="114" spans="1:4">
      <c r="A114" s="29">
        <f t="shared" si="2"/>
        <v>121.67236226939318</v>
      </c>
      <c r="B114" s="28">
        <v>1216.7236226939317</v>
      </c>
      <c r="C114" s="25">
        <v>21404.974759999986</v>
      </c>
      <c r="D114" s="23">
        <f t="shared" si="3"/>
        <v>214.04974759999988</v>
      </c>
    </row>
    <row r="115" spans="1:4">
      <c r="A115" s="29">
        <f t="shared" si="2"/>
        <v>122.75872264679847</v>
      </c>
      <c r="B115" s="28">
        <v>1227.5872264679847</v>
      </c>
      <c r="C115" s="25">
        <v>21303.328489999985</v>
      </c>
      <c r="D115" s="23">
        <f t="shared" si="3"/>
        <v>213.03328489999984</v>
      </c>
    </row>
    <row r="116" spans="1:4">
      <c r="A116" s="29">
        <f t="shared" si="2"/>
        <v>123.84508302420377</v>
      </c>
      <c r="B116" s="28">
        <v>1238.4508302420377</v>
      </c>
      <c r="C116" s="25">
        <v>21201.682219999984</v>
      </c>
      <c r="D116" s="23">
        <f t="shared" si="3"/>
        <v>212.01682219999984</v>
      </c>
    </row>
    <row r="117" spans="1:4">
      <c r="A117" s="29">
        <f t="shared" si="2"/>
        <v>124.93144340160907</v>
      </c>
      <c r="B117" s="28">
        <v>1249.3144340160907</v>
      </c>
      <c r="C117" s="25">
        <v>21100.035949999983</v>
      </c>
      <c r="D117" s="23">
        <f t="shared" si="3"/>
        <v>211.00035949999983</v>
      </c>
    </row>
    <row r="118" spans="1:4">
      <c r="A118" s="29">
        <f t="shared" si="2"/>
        <v>126.01780377901437</v>
      </c>
      <c r="B118" s="28">
        <v>1260.1780377901437</v>
      </c>
      <c r="C118" s="25">
        <v>20998.389679999982</v>
      </c>
      <c r="D118" s="23">
        <f t="shared" si="3"/>
        <v>209.98389679999983</v>
      </c>
    </row>
    <row r="119" spans="1:4">
      <c r="A119" s="29">
        <f t="shared" si="2"/>
        <v>127.10416415641967</v>
      </c>
      <c r="B119" s="28">
        <v>1271.0416415641967</v>
      </c>
      <c r="C119" s="25">
        <v>20896.743409999981</v>
      </c>
      <c r="D119" s="23">
        <f t="shared" si="3"/>
        <v>208.96743409999982</v>
      </c>
    </row>
    <row r="120" spans="1:4">
      <c r="A120" s="29">
        <f t="shared" si="2"/>
        <v>128.19052453382494</v>
      </c>
      <c r="B120" s="28">
        <v>1281.9052453382494</v>
      </c>
      <c r="C120" s="25">
        <v>20795.09713999998</v>
      </c>
      <c r="D120" s="23">
        <f t="shared" si="3"/>
        <v>207.95097139999979</v>
      </c>
    </row>
    <row r="121" spans="1:4">
      <c r="A121" s="29">
        <f t="shared" si="2"/>
        <v>129.27688491123024</v>
      </c>
      <c r="B121" s="28">
        <v>1292.7688491123024</v>
      </c>
      <c r="C121" s="25">
        <v>20693.450869999979</v>
      </c>
      <c r="D121" s="23">
        <f t="shared" si="3"/>
        <v>206.93450869999978</v>
      </c>
    </row>
    <row r="122" spans="1:4">
      <c r="A122" s="29">
        <f t="shared" si="2"/>
        <v>130.36324528863554</v>
      </c>
      <c r="B122" s="28">
        <v>1303.6324528863554</v>
      </c>
      <c r="C122" s="25">
        <v>20591.804599999978</v>
      </c>
      <c r="D122" s="23">
        <f t="shared" si="3"/>
        <v>205.91804599999978</v>
      </c>
    </row>
    <row r="123" spans="1:4">
      <c r="A123" s="29">
        <f t="shared" si="2"/>
        <v>131.44960566604084</v>
      </c>
      <c r="B123" s="28">
        <v>1314.4960566604084</v>
      </c>
      <c r="C123" s="25">
        <v>20490.158329999977</v>
      </c>
      <c r="D123" s="23">
        <f t="shared" si="3"/>
        <v>204.90158329999977</v>
      </c>
    </row>
    <row r="124" spans="1:4">
      <c r="A124" s="29">
        <f t="shared" si="2"/>
        <v>132.53596604344614</v>
      </c>
      <c r="B124" s="28">
        <v>1325.3596604344614</v>
      </c>
      <c r="C124" s="25">
        <v>20388.512059999975</v>
      </c>
      <c r="D124" s="23">
        <f t="shared" si="3"/>
        <v>203.88512059999977</v>
      </c>
    </row>
    <row r="125" spans="1:4">
      <c r="A125" s="29">
        <f t="shared" si="2"/>
        <v>133.62232642085144</v>
      </c>
      <c r="B125" s="28">
        <v>1336.2232642085144</v>
      </c>
      <c r="C125" s="25">
        <v>20286.865789999974</v>
      </c>
      <c r="D125" s="23">
        <f t="shared" si="3"/>
        <v>202.86865789999973</v>
      </c>
    </row>
    <row r="126" spans="1:4">
      <c r="A126" s="29">
        <f t="shared" si="2"/>
        <v>134.70868679825674</v>
      </c>
      <c r="B126" s="28">
        <v>1347.0868679825674</v>
      </c>
      <c r="C126" s="25">
        <v>20185.219519999973</v>
      </c>
      <c r="D126" s="23">
        <f t="shared" si="3"/>
        <v>201.85219519999973</v>
      </c>
    </row>
    <row r="127" spans="1:4">
      <c r="A127" s="29">
        <f t="shared" si="2"/>
        <v>135.79504717566203</v>
      </c>
      <c r="B127" s="28">
        <v>1357.9504717566203</v>
      </c>
      <c r="C127" s="25">
        <v>20083.573249999972</v>
      </c>
      <c r="D127" s="23">
        <f t="shared" si="3"/>
        <v>200.83573249999972</v>
      </c>
    </row>
    <row r="128" spans="1:4">
      <c r="A128" s="29">
        <f t="shared" si="2"/>
        <v>136.88140755306731</v>
      </c>
      <c r="B128" s="28">
        <v>1368.8140755306731</v>
      </c>
      <c r="C128" s="25">
        <v>19981.926979999971</v>
      </c>
      <c r="D128" s="23">
        <f t="shared" si="3"/>
        <v>199.81926979999972</v>
      </c>
    </row>
    <row r="129" spans="1:4">
      <c r="A129" s="29">
        <f t="shared" si="2"/>
        <v>137.9677679304726</v>
      </c>
      <c r="B129" s="28">
        <v>1379.6776793047261</v>
      </c>
      <c r="C129" s="25">
        <v>19880.28070999997</v>
      </c>
      <c r="D129" s="23">
        <f t="shared" si="3"/>
        <v>198.80280709999971</v>
      </c>
    </row>
    <row r="130" spans="1:4">
      <c r="A130" s="29">
        <f t="shared" si="2"/>
        <v>139.0541283078779</v>
      </c>
      <c r="B130" s="28">
        <v>1390.5412830787791</v>
      </c>
      <c r="C130" s="25">
        <v>19778.634439999969</v>
      </c>
      <c r="D130" s="23">
        <f t="shared" si="3"/>
        <v>197.78634439999968</v>
      </c>
    </row>
    <row r="131" spans="1:4">
      <c r="A131" s="29">
        <f t="shared" ref="A131:A194" si="4">$B131/10</f>
        <v>140.1404886852832</v>
      </c>
      <c r="B131" s="28">
        <v>1401.4048868528321</v>
      </c>
      <c r="C131" s="25">
        <v>19676.988169999968</v>
      </c>
      <c r="D131" s="23">
        <f t="shared" ref="D131:D194" si="5">$C131/100</f>
        <v>196.76988169999967</v>
      </c>
    </row>
    <row r="132" spans="1:4">
      <c r="A132" s="29">
        <f t="shared" si="4"/>
        <v>141.2268490626885</v>
      </c>
      <c r="B132" s="28">
        <v>1412.2684906268851</v>
      </c>
      <c r="C132" s="25">
        <v>19575.341899999967</v>
      </c>
      <c r="D132" s="23">
        <f t="shared" si="5"/>
        <v>195.75341899999967</v>
      </c>
    </row>
    <row r="133" spans="1:4">
      <c r="A133" s="29">
        <f t="shared" si="4"/>
        <v>142.3132094400938</v>
      </c>
      <c r="B133" s="28">
        <v>1423.1320944009381</v>
      </c>
      <c r="C133" s="25">
        <v>19473.695629999966</v>
      </c>
      <c r="D133" s="23">
        <f t="shared" si="5"/>
        <v>194.73695629999966</v>
      </c>
    </row>
    <row r="134" spans="1:4">
      <c r="A134" s="29">
        <f t="shared" si="4"/>
        <v>143.3995698174991</v>
      </c>
      <c r="B134" s="28">
        <v>1433.995698174991</v>
      </c>
      <c r="C134" s="25">
        <v>19372.049359999965</v>
      </c>
      <c r="D134" s="23">
        <f t="shared" si="5"/>
        <v>193.72049359999966</v>
      </c>
    </row>
    <row r="135" spans="1:4">
      <c r="A135" s="29">
        <f t="shared" si="4"/>
        <v>144.4859301949044</v>
      </c>
      <c r="B135" s="28">
        <v>1444.859301949044</v>
      </c>
      <c r="C135" s="25">
        <v>19270.403089999963</v>
      </c>
      <c r="D135" s="23">
        <f t="shared" si="5"/>
        <v>192.70403089999962</v>
      </c>
    </row>
    <row r="136" spans="1:4">
      <c r="A136" s="29">
        <f t="shared" si="4"/>
        <v>145.57229057230967</v>
      </c>
      <c r="B136" s="28">
        <v>1455.7229057230968</v>
      </c>
      <c r="C136" s="25">
        <v>19168.756819999962</v>
      </c>
      <c r="D136" s="23">
        <f t="shared" si="5"/>
        <v>191.68756819999962</v>
      </c>
    </row>
    <row r="137" spans="1:4">
      <c r="A137" s="29">
        <f t="shared" si="4"/>
        <v>146.65865094971497</v>
      </c>
      <c r="B137" s="28">
        <v>1466.5865094971498</v>
      </c>
      <c r="C137" s="25">
        <v>19067.110549999961</v>
      </c>
      <c r="D137" s="23">
        <f t="shared" si="5"/>
        <v>190.67110549999961</v>
      </c>
    </row>
    <row r="138" spans="1:4">
      <c r="A138" s="29">
        <f t="shared" si="4"/>
        <v>147.74501132712027</v>
      </c>
      <c r="B138" s="28">
        <v>1477.4501132712028</v>
      </c>
      <c r="C138" s="25">
        <v>18965.46427999996</v>
      </c>
      <c r="D138" s="23">
        <f t="shared" si="5"/>
        <v>189.65464279999961</v>
      </c>
    </row>
    <row r="139" spans="1:4">
      <c r="A139" s="29">
        <f t="shared" si="4"/>
        <v>148.83137170452557</v>
      </c>
      <c r="B139" s="28">
        <v>1488.3137170452558</v>
      </c>
      <c r="C139" s="25">
        <v>18863.818009999959</v>
      </c>
      <c r="D139" s="23">
        <f t="shared" si="5"/>
        <v>188.6381800999996</v>
      </c>
    </row>
    <row r="140" spans="1:4">
      <c r="A140" s="29">
        <f t="shared" si="4"/>
        <v>149.91773208193086</v>
      </c>
      <c r="B140" s="28">
        <v>1499.1773208193088</v>
      </c>
      <c r="C140" s="25">
        <v>18762.171739999958</v>
      </c>
      <c r="D140" s="23">
        <f t="shared" si="5"/>
        <v>187.62171739999957</v>
      </c>
    </row>
    <row r="141" spans="1:4">
      <c r="A141" s="29">
        <f t="shared" si="4"/>
        <v>151.00409245933616</v>
      </c>
      <c r="B141" s="28">
        <v>1510.0409245933618</v>
      </c>
      <c r="C141" s="25">
        <v>18660.525469999957</v>
      </c>
      <c r="D141" s="23">
        <f t="shared" si="5"/>
        <v>186.60525469999956</v>
      </c>
    </row>
    <row r="142" spans="1:4">
      <c r="A142" s="29">
        <f t="shared" si="4"/>
        <v>152.09045283674146</v>
      </c>
      <c r="B142" s="28">
        <v>1520.9045283674147</v>
      </c>
      <c r="C142" s="25">
        <v>18558.879199999956</v>
      </c>
      <c r="D142" s="23">
        <f t="shared" si="5"/>
        <v>185.58879199999956</v>
      </c>
    </row>
    <row r="143" spans="1:4">
      <c r="A143" s="29">
        <f t="shared" si="4"/>
        <v>153.17681321414676</v>
      </c>
      <c r="B143" s="28">
        <v>1531.7681321414677</v>
      </c>
      <c r="C143" s="25">
        <v>18457.232929999955</v>
      </c>
      <c r="D143" s="23">
        <f t="shared" si="5"/>
        <v>184.57232929999955</v>
      </c>
    </row>
    <row r="144" spans="1:4">
      <c r="A144" s="29">
        <f t="shared" si="4"/>
        <v>154.26317359155206</v>
      </c>
      <c r="B144" s="28">
        <v>1542.6317359155207</v>
      </c>
      <c r="C144" s="25">
        <v>18355.586659999954</v>
      </c>
      <c r="D144" s="23">
        <f t="shared" si="5"/>
        <v>183.55586659999955</v>
      </c>
    </row>
    <row r="145" spans="1:4">
      <c r="A145" s="29">
        <f t="shared" si="4"/>
        <v>155.34953396895736</v>
      </c>
      <c r="B145" s="28">
        <v>1553.4953396895735</v>
      </c>
      <c r="C145" s="25">
        <v>18253.940389999952</v>
      </c>
      <c r="D145" s="23">
        <f t="shared" si="5"/>
        <v>182.53940389999951</v>
      </c>
    </row>
    <row r="146" spans="1:4">
      <c r="A146" s="29">
        <f t="shared" si="4"/>
        <v>156.43589434636266</v>
      </c>
      <c r="B146" s="28">
        <v>1564.3589434636265</v>
      </c>
      <c r="C146" s="25">
        <v>18152.294119999951</v>
      </c>
      <c r="D146" s="23">
        <f t="shared" si="5"/>
        <v>181.52294119999951</v>
      </c>
    </row>
    <row r="147" spans="1:4">
      <c r="A147" s="29">
        <f t="shared" si="4"/>
        <v>157.52225472376796</v>
      </c>
      <c r="B147" s="28">
        <v>1575.2225472376795</v>
      </c>
      <c r="C147" s="25">
        <v>18050.64784999995</v>
      </c>
      <c r="D147" s="23">
        <f t="shared" si="5"/>
        <v>180.5064784999995</v>
      </c>
    </row>
    <row r="148" spans="1:4">
      <c r="A148" s="29">
        <f t="shared" si="4"/>
        <v>158.60861510117326</v>
      </c>
      <c r="B148" s="28">
        <v>1586.0861510117325</v>
      </c>
      <c r="C148" s="25">
        <v>17949.001579999949</v>
      </c>
      <c r="D148" s="23">
        <f t="shared" si="5"/>
        <v>179.4900157999995</v>
      </c>
    </row>
    <row r="149" spans="1:4">
      <c r="A149" s="29">
        <f t="shared" si="4"/>
        <v>159.69497547857856</v>
      </c>
      <c r="B149" s="28">
        <v>1596.9497547857854</v>
      </c>
      <c r="C149" s="25">
        <v>17847.355309999948</v>
      </c>
      <c r="D149" s="23">
        <f t="shared" si="5"/>
        <v>178.47355309999949</v>
      </c>
    </row>
    <row r="150" spans="1:4">
      <c r="A150" s="29">
        <f t="shared" si="4"/>
        <v>160.78133585598385</v>
      </c>
      <c r="B150" s="28">
        <v>1607.8133585598384</v>
      </c>
      <c r="C150" s="25">
        <v>17745.709039999947</v>
      </c>
      <c r="D150" s="23">
        <f t="shared" si="5"/>
        <v>177.45709039999946</v>
      </c>
    </row>
    <row r="151" spans="1:4">
      <c r="A151" s="29">
        <f t="shared" si="4"/>
        <v>161.86769623338915</v>
      </c>
      <c r="B151" s="28">
        <v>1618.6769623338914</v>
      </c>
      <c r="C151" s="25">
        <v>17644.062769999946</v>
      </c>
      <c r="D151" s="23">
        <f t="shared" si="5"/>
        <v>176.44062769999945</v>
      </c>
    </row>
    <row r="152" spans="1:4">
      <c r="A152" s="29">
        <f t="shared" si="4"/>
        <v>162.95405661079445</v>
      </c>
      <c r="B152" s="28">
        <v>1629.5405661079444</v>
      </c>
      <c r="C152" s="25">
        <v>17542.416499999945</v>
      </c>
      <c r="D152" s="23">
        <f t="shared" si="5"/>
        <v>175.42416499999945</v>
      </c>
    </row>
    <row r="153" spans="1:4">
      <c r="A153" s="29">
        <f t="shared" si="4"/>
        <v>164.04041698819972</v>
      </c>
      <c r="B153" s="28">
        <v>1640.4041698819972</v>
      </c>
      <c r="C153" s="25">
        <v>17440.770229999944</v>
      </c>
      <c r="D153" s="23">
        <f t="shared" si="5"/>
        <v>174.40770229999944</v>
      </c>
    </row>
    <row r="154" spans="1:4">
      <c r="A154" s="29">
        <f t="shared" si="4"/>
        <v>165.12677736560502</v>
      </c>
      <c r="B154" s="28">
        <v>1651.2677736560502</v>
      </c>
      <c r="C154" s="25">
        <v>17339.123959999943</v>
      </c>
      <c r="D154" s="23">
        <f t="shared" si="5"/>
        <v>173.39123959999944</v>
      </c>
    </row>
    <row r="155" spans="1:4">
      <c r="A155" s="29">
        <f t="shared" si="4"/>
        <v>166.21313774301032</v>
      </c>
      <c r="B155" s="28">
        <v>1662.1313774301032</v>
      </c>
      <c r="C155" s="25">
        <v>17237.477689999942</v>
      </c>
      <c r="D155" s="23">
        <f t="shared" si="5"/>
        <v>172.3747768999994</v>
      </c>
    </row>
    <row r="156" spans="1:4">
      <c r="A156" s="29">
        <f t="shared" si="4"/>
        <v>167.29949812041562</v>
      </c>
      <c r="B156" s="28">
        <v>1672.9949812041561</v>
      </c>
      <c r="C156" s="25">
        <v>17135.83141999994</v>
      </c>
      <c r="D156" s="23">
        <f t="shared" si="5"/>
        <v>171.3583141999994</v>
      </c>
    </row>
    <row r="157" spans="1:4">
      <c r="A157" s="29">
        <f t="shared" si="4"/>
        <v>168.38585849782092</v>
      </c>
      <c r="B157" s="28">
        <v>1683.8585849782091</v>
      </c>
      <c r="C157" s="25">
        <v>17034.185149999939</v>
      </c>
      <c r="D157" s="23">
        <f t="shared" si="5"/>
        <v>170.34185149999939</v>
      </c>
    </row>
    <row r="158" spans="1:4">
      <c r="A158" s="29">
        <f t="shared" si="4"/>
        <v>169.47221887522622</v>
      </c>
      <c r="B158" s="28">
        <v>1694.7221887522621</v>
      </c>
      <c r="C158" s="25">
        <v>16932.538879999938</v>
      </c>
      <c r="D158" s="23">
        <f t="shared" si="5"/>
        <v>169.32538879999939</v>
      </c>
    </row>
    <row r="159" spans="1:4">
      <c r="A159" s="29">
        <f t="shared" si="4"/>
        <v>170.55857925263152</v>
      </c>
      <c r="B159" s="28">
        <v>1705.5857925263151</v>
      </c>
      <c r="C159" s="25">
        <v>16830.892609999937</v>
      </c>
      <c r="D159" s="23">
        <f t="shared" si="5"/>
        <v>168.30892609999938</v>
      </c>
    </row>
    <row r="160" spans="1:4">
      <c r="A160" s="29">
        <f t="shared" si="4"/>
        <v>171.64493963003682</v>
      </c>
      <c r="B160" s="28">
        <v>1716.4493963003681</v>
      </c>
      <c r="C160" s="25">
        <v>16729.246339999936</v>
      </c>
      <c r="D160" s="23">
        <f t="shared" si="5"/>
        <v>167.29246339999935</v>
      </c>
    </row>
    <row r="161" spans="1:4">
      <c r="A161" s="29">
        <f t="shared" si="4"/>
        <v>172.73130000744209</v>
      </c>
      <c r="B161" s="28">
        <v>1727.3130000744209</v>
      </c>
      <c r="C161" s="25">
        <v>16627.600069999935</v>
      </c>
      <c r="D161" s="23">
        <f t="shared" si="5"/>
        <v>166.27600069999934</v>
      </c>
    </row>
    <row r="162" spans="1:4">
      <c r="A162" s="29">
        <f t="shared" si="4"/>
        <v>173.81766038484739</v>
      </c>
      <c r="B162" s="28">
        <v>1738.1766038484739</v>
      </c>
      <c r="C162" s="25">
        <v>16525.953799999934</v>
      </c>
      <c r="D162" s="23">
        <f t="shared" si="5"/>
        <v>165.25953799999934</v>
      </c>
    </row>
    <row r="163" spans="1:4">
      <c r="A163" s="29">
        <f t="shared" si="4"/>
        <v>174.90402076225269</v>
      </c>
      <c r="B163" s="28">
        <v>1749.0402076225269</v>
      </c>
      <c r="C163" s="25">
        <v>16424.307529999933</v>
      </c>
      <c r="D163" s="23">
        <f t="shared" si="5"/>
        <v>164.24307529999933</v>
      </c>
    </row>
    <row r="164" spans="1:4">
      <c r="A164" s="29">
        <f t="shared" si="4"/>
        <v>175.99038113965798</v>
      </c>
      <c r="B164" s="28">
        <v>1759.9038113965798</v>
      </c>
      <c r="C164" s="25">
        <v>16322.661259999933</v>
      </c>
      <c r="D164" s="23">
        <f t="shared" si="5"/>
        <v>163.22661259999933</v>
      </c>
    </row>
    <row r="165" spans="1:4">
      <c r="A165" s="29">
        <f t="shared" si="4"/>
        <v>177.07674151706328</v>
      </c>
      <c r="B165" s="28">
        <v>1770.7674151706328</v>
      </c>
      <c r="C165" s="25">
        <v>16221.014989999934</v>
      </c>
      <c r="D165" s="23">
        <f t="shared" si="5"/>
        <v>162.21014989999935</v>
      </c>
    </row>
    <row r="166" spans="1:4">
      <c r="A166" s="29">
        <f t="shared" si="4"/>
        <v>178.16310189446858</v>
      </c>
      <c r="B166" s="28">
        <v>1781.6310189446858</v>
      </c>
      <c r="C166" s="25">
        <v>16119.368719999935</v>
      </c>
      <c r="D166" s="23">
        <f t="shared" si="5"/>
        <v>161.19368719999935</v>
      </c>
    </row>
    <row r="167" spans="1:4">
      <c r="A167" s="29">
        <f t="shared" si="4"/>
        <v>179.24946227187388</v>
      </c>
      <c r="B167" s="28">
        <v>1792.4946227187388</v>
      </c>
      <c r="C167" s="25">
        <v>16017.722449999936</v>
      </c>
      <c r="D167" s="23">
        <f t="shared" si="5"/>
        <v>160.17722449999937</v>
      </c>
    </row>
    <row r="168" spans="1:4">
      <c r="A168" s="29">
        <f t="shared" si="4"/>
        <v>180.33582264927918</v>
      </c>
      <c r="B168" s="28">
        <v>1803.3582264927918</v>
      </c>
      <c r="C168" s="25">
        <v>15916.076179999936</v>
      </c>
      <c r="D168" s="23">
        <f t="shared" si="5"/>
        <v>159.16076179999936</v>
      </c>
    </row>
    <row r="169" spans="1:4">
      <c r="A169" s="29">
        <f t="shared" si="4"/>
        <v>181.42218302668445</v>
      </c>
      <c r="B169" s="28">
        <v>1814.2218302668446</v>
      </c>
      <c r="C169" s="25">
        <v>15814.429909999937</v>
      </c>
      <c r="D169" s="23">
        <f t="shared" si="5"/>
        <v>158.14429909999936</v>
      </c>
    </row>
    <row r="170" spans="1:4">
      <c r="A170" s="29">
        <f t="shared" si="4"/>
        <v>182.50854340408975</v>
      </c>
      <c r="B170" s="28">
        <v>1825.0854340408976</v>
      </c>
      <c r="C170" s="25">
        <v>15712.783639999938</v>
      </c>
      <c r="D170" s="23">
        <f t="shared" si="5"/>
        <v>157.12783639999938</v>
      </c>
    </row>
    <row r="171" spans="1:4">
      <c r="A171" s="29">
        <f t="shared" si="4"/>
        <v>183.59490378149505</v>
      </c>
      <c r="B171" s="28">
        <v>1835.9490378149505</v>
      </c>
      <c r="C171" s="25">
        <v>15611.137369999939</v>
      </c>
      <c r="D171" s="23">
        <f t="shared" si="5"/>
        <v>156.11137369999938</v>
      </c>
    </row>
    <row r="172" spans="1:4">
      <c r="A172" s="29">
        <f t="shared" si="4"/>
        <v>184.68126415890035</v>
      </c>
      <c r="B172" s="28">
        <v>1846.8126415890035</v>
      </c>
      <c r="C172" s="25">
        <v>15509.491099999939</v>
      </c>
      <c r="D172" s="23">
        <f t="shared" si="5"/>
        <v>155.0949109999994</v>
      </c>
    </row>
    <row r="173" spans="1:4">
      <c r="A173" s="29">
        <f t="shared" si="4"/>
        <v>185.76762453630565</v>
      </c>
      <c r="B173" s="28">
        <v>1857.6762453630565</v>
      </c>
      <c r="C173" s="25">
        <v>15407.84482999994</v>
      </c>
      <c r="D173" s="23">
        <f t="shared" si="5"/>
        <v>154.07844829999939</v>
      </c>
    </row>
    <row r="174" spans="1:4">
      <c r="A174" s="29">
        <f t="shared" si="4"/>
        <v>186.85398491371095</v>
      </c>
      <c r="B174" s="28">
        <v>1868.5398491371095</v>
      </c>
      <c r="C174" s="25">
        <v>15306.198559999941</v>
      </c>
      <c r="D174" s="23">
        <f t="shared" si="5"/>
        <v>153.06198559999942</v>
      </c>
    </row>
    <row r="175" spans="1:4">
      <c r="A175" s="29">
        <f t="shared" si="4"/>
        <v>187.94034529111624</v>
      </c>
      <c r="B175" s="28">
        <v>1879.4034529111625</v>
      </c>
      <c r="C175" s="25">
        <v>15204.552289999941</v>
      </c>
      <c r="D175" s="23">
        <f t="shared" si="5"/>
        <v>152.04552289999941</v>
      </c>
    </row>
    <row r="176" spans="1:4">
      <c r="A176" s="29">
        <f t="shared" si="4"/>
        <v>189.02670566852154</v>
      </c>
      <c r="B176" s="28">
        <v>1890.2670566852155</v>
      </c>
      <c r="C176" s="25">
        <v>15102.906019999942</v>
      </c>
      <c r="D176" s="23">
        <f t="shared" si="5"/>
        <v>151.02906019999944</v>
      </c>
    </row>
    <row r="177" spans="1:4">
      <c r="A177" s="29">
        <f t="shared" si="4"/>
        <v>190.11306604592681</v>
      </c>
      <c r="B177" s="28">
        <v>1901.1306604592683</v>
      </c>
      <c r="C177" s="25">
        <v>15001.259749999943</v>
      </c>
      <c r="D177" s="23">
        <f t="shared" si="5"/>
        <v>150.01259749999943</v>
      </c>
    </row>
    <row r="178" spans="1:4">
      <c r="A178" s="29">
        <f t="shared" si="4"/>
        <v>191.19942642333211</v>
      </c>
      <c r="B178" s="28">
        <v>1911.9942642333212</v>
      </c>
      <c r="C178" s="25">
        <v>14899.613479999944</v>
      </c>
      <c r="D178" s="23">
        <f t="shared" si="5"/>
        <v>148.99613479999942</v>
      </c>
    </row>
    <row r="179" spans="1:4">
      <c r="A179" s="29">
        <f t="shared" si="4"/>
        <v>192.28578680073741</v>
      </c>
      <c r="B179" s="28">
        <v>1922.8578680073742</v>
      </c>
      <c r="C179" s="25">
        <v>14797.967209999944</v>
      </c>
      <c r="D179" s="23">
        <f t="shared" si="5"/>
        <v>147.97967209999945</v>
      </c>
    </row>
    <row r="180" spans="1:4">
      <c r="A180" s="29">
        <f t="shared" si="4"/>
        <v>193.37214717814271</v>
      </c>
      <c r="B180" s="28">
        <v>1933.7214717814272</v>
      </c>
      <c r="C180" s="25">
        <v>14696.320939999945</v>
      </c>
      <c r="D180" s="23">
        <f t="shared" si="5"/>
        <v>146.96320939999944</v>
      </c>
    </row>
    <row r="181" spans="1:4">
      <c r="A181" s="29">
        <f t="shared" si="4"/>
        <v>194.45850755554801</v>
      </c>
      <c r="B181" s="28">
        <v>1944.5850755554802</v>
      </c>
      <c r="C181" s="25">
        <v>14594.674669999946</v>
      </c>
      <c r="D181" s="23">
        <f t="shared" si="5"/>
        <v>145.94674669999947</v>
      </c>
    </row>
    <row r="182" spans="1:4">
      <c r="A182" s="29">
        <f t="shared" si="4"/>
        <v>195.54486793295331</v>
      </c>
      <c r="B182" s="28">
        <v>1955.4486793295332</v>
      </c>
      <c r="C182" s="25">
        <v>14493.028399999946</v>
      </c>
      <c r="D182" s="23">
        <f t="shared" si="5"/>
        <v>144.93028399999946</v>
      </c>
    </row>
    <row r="183" spans="1:4">
      <c r="A183" s="29">
        <f t="shared" si="4"/>
        <v>196.63122831035861</v>
      </c>
      <c r="B183" s="28">
        <v>1966.3122831035862</v>
      </c>
      <c r="C183" s="25">
        <v>14391.382129999947</v>
      </c>
      <c r="D183" s="23">
        <f t="shared" si="5"/>
        <v>143.91382129999948</v>
      </c>
    </row>
    <row r="184" spans="1:4">
      <c r="A184" s="29">
        <f t="shared" si="4"/>
        <v>197.71758868776391</v>
      </c>
      <c r="B184" s="28">
        <v>1977.1758868776392</v>
      </c>
      <c r="C184" s="25">
        <v>14289.735859999948</v>
      </c>
      <c r="D184" s="23">
        <f t="shared" si="5"/>
        <v>142.89735859999948</v>
      </c>
    </row>
    <row r="185" spans="1:4">
      <c r="A185" s="29">
        <f t="shared" si="4"/>
        <v>198.80394906516921</v>
      </c>
      <c r="B185" s="28">
        <v>1988.0394906516919</v>
      </c>
      <c r="C185" s="25">
        <v>14188.089589999949</v>
      </c>
      <c r="D185" s="23">
        <f t="shared" si="5"/>
        <v>141.88089589999947</v>
      </c>
    </row>
    <row r="186" spans="1:4">
      <c r="A186" s="29">
        <f t="shared" si="4"/>
        <v>199.89030944257451</v>
      </c>
      <c r="B186" s="28">
        <v>1998.9030944257449</v>
      </c>
      <c r="C186" s="25">
        <v>14086.443319999949</v>
      </c>
      <c r="D186" s="23">
        <f t="shared" si="5"/>
        <v>140.8644331999995</v>
      </c>
    </row>
    <row r="187" spans="1:4">
      <c r="A187" s="29">
        <f t="shared" si="4"/>
        <v>200.9766698199798</v>
      </c>
      <c r="B187" s="28">
        <v>2009.7666981997979</v>
      </c>
      <c r="C187" s="25">
        <v>13984.79704999995</v>
      </c>
      <c r="D187" s="23">
        <f t="shared" si="5"/>
        <v>139.84797049999949</v>
      </c>
    </row>
    <row r="188" spans="1:4">
      <c r="A188" s="29">
        <f t="shared" si="4"/>
        <v>202.0630301973851</v>
      </c>
      <c r="B188" s="28">
        <v>2020.6303019738509</v>
      </c>
      <c r="C188" s="25">
        <v>13883.150779999951</v>
      </c>
      <c r="D188" s="23">
        <f t="shared" si="5"/>
        <v>138.83150779999951</v>
      </c>
    </row>
    <row r="189" spans="1:4">
      <c r="A189" s="29">
        <f t="shared" si="4"/>
        <v>203.1493905747904</v>
      </c>
      <c r="B189" s="28">
        <v>2031.4939057479039</v>
      </c>
      <c r="C189" s="25">
        <v>13781.504509999952</v>
      </c>
      <c r="D189" s="23">
        <f t="shared" si="5"/>
        <v>137.81504509999951</v>
      </c>
    </row>
    <row r="190" spans="1:4">
      <c r="A190" s="29">
        <f t="shared" si="4"/>
        <v>204.2357509521957</v>
      </c>
      <c r="B190" s="28">
        <v>2042.3575095219569</v>
      </c>
      <c r="C190" s="25">
        <v>13679.858239999952</v>
      </c>
      <c r="D190" s="23">
        <f t="shared" si="5"/>
        <v>136.79858239999953</v>
      </c>
    </row>
    <row r="191" spans="1:4">
      <c r="A191" s="29">
        <f t="shared" si="4"/>
        <v>205.32211132960097</v>
      </c>
      <c r="B191" s="28">
        <v>2053.2211132960097</v>
      </c>
      <c r="C191" s="25">
        <v>13578.211969999953</v>
      </c>
      <c r="D191" s="23">
        <f t="shared" si="5"/>
        <v>135.78211969999953</v>
      </c>
    </row>
    <row r="192" spans="1:4">
      <c r="A192" s="29">
        <f t="shared" si="4"/>
        <v>206.40847170700627</v>
      </c>
      <c r="B192" s="28">
        <v>2064.0847170700627</v>
      </c>
      <c r="C192" s="25">
        <v>13476.565699999954</v>
      </c>
      <c r="D192" s="23">
        <f t="shared" si="5"/>
        <v>134.76565699999955</v>
      </c>
    </row>
    <row r="193" spans="1:4">
      <c r="A193" s="29">
        <f t="shared" si="4"/>
        <v>207.49483208441157</v>
      </c>
      <c r="B193" s="28">
        <v>2074.9483208441156</v>
      </c>
      <c r="C193" s="25">
        <v>13374.919429999954</v>
      </c>
      <c r="D193" s="23">
        <f t="shared" si="5"/>
        <v>133.74919429999954</v>
      </c>
    </row>
    <row r="194" spans="1:4">
      <c r="A194" s="29">
        <f t="shared" si="4"/>
        <v>208.58119246181687</v>
      </c>
      <c r="B194" s="28">
        <v>2085.8119246181686</v>
      </c>
      <c r="C194" s="25">
        <v>13273.273159999955</v>
      </c>
      <c r="D194" s="23">
        <f t="shared" si="5"/>
        <v>132.73273159999954</v>
      </c>
    </row>
    <row r="195" spans="1:4">
      <c r="A195" s="29">
        <f t="shared" ref="A195:A258" si="6">$B195/10</f>
        <v>209.66755283922217</v>
      </c>
      <c r="B195" s="28">
        <v>2096.6755283922216</v>
      </c>
      <c r="C195" s="25">
        <v>13171.626889999956</v>
      </c>
      <c r="D195" s="23">
        <f t="shared" ref="D195:D258" si="7">$C195/100</f>
        <v>131.71626889999956</v>
      </c>
    </row>
    <row r="196" spans="1:4">
      <c r="A196" s="29">
        <f t="shared" si="6"/>
        <v>210.75391321662747</v>
      </c>
      <c r="B196" s="28">
        <v>2107.5391321662746</v>
      </c>
      <c r="C196" s="25">
        <v>13069.980619999957</v>
      </c>
      <c r="D196" s="23">
        <f t="shared" si="7"/>
        <v>130.69980619999956</v>
      </c>
    </row>
    <row r="197" spans="1:4">
      <c r="A197" s="29">
        <f t="shared" si="6"/>
        <v>211.84027359403277</v>
      </c>
      <c r="B197" s="28">
        <v>2118.4027359403276</v>
      </c>
      <c r="C197" s="25">
        <v>12968.334349999957</v>
      </c>
      <c r="D197" s="23">
        <f t="shared" si="7"/>
        <v>129.68334349999958</v>
      </c>
    </row>
    <row r="198" spans="1:4">
      <c r="A198" s="29">
        <f t="shared" si="6"/>
        <v>212.92663397143806</v>
      </c>
      <c r="B198" s="28">
        <v>2129.2663397143806</v>
      </c>
      <c r="C198" s="25">
        <v>12866.688079999958</v>
      </c>
      <c r="D198" s="23">
        <f t="shared" si="7"/>
        <v>128.66688079999957</v>
      </c>
    </row>
    <row r="199" spans="1:4">
      <c r="A199" s="29">
        <f t="shared" si="6"/>
        <v>214.01299434884336</v>
      </c>
      <c r="B199" s="28">
        <v>2140.1299434884336</v>
      </c>
      <c r="C199" s="25">
        <v>12765.041809999959</v>
      </c>
      <c r="D199" s="23">
        <f t="shared" si="7"/>
        <v>127.65041809999958</v>
      </c>
    </row>
    <row r="200" spans="1:4">
      <c r="A200" s="29">
        <f t="shared" si="6"/>
        <v>215.09935472624866</v>
      </c>
      <c r="B200" s="28">
        <v>2150.9935472624866</v>
      </c>
      <c r="C200" s="25">
        <v>12663.39553999996</v>
      </c>
      <c r="D200" s="23">
        <f t="shared" si="7"/>
        <v>126.63395539999959</v>
      </c>
    </row>
    <row r="201" spans="1:4">
      <c r="A201" s="29">
        <f t="shared" si="6"/>
        <v>216.18571510365396</v>
      </c>
      <c r="B201" s="28">
        <v>2161.8571510365396</v>
      </c>
      <c r="C201" s="25">
        <v>12561.74926999996</v>
      </c>
      <c r="D201" s="23">
        <f t="shared" si="7"/>
        <v>125.6174926999996</v>
      </c>
    </row>
    <row r="202" spans="1:4">
      <c r="A202" s="29">
        <f t="shared" si="6"/>
        <v>217.27207548105926</v>
      </c>
      <c r="B202" s="28">
        <v>2172.7207548105926</v>
      </c>
      <c r="C202" s="25">
        <v>12460.102999999961</v>
      </c>
      <c r="D202" s="23">
        <f t="shared" si="7"/>
        <v>124.60102999999961</v>
      </c>
    </row>
    <row r="203" spans="1:4">
      <c r="A203" s="29">
        <f t="shared" si="6"/>
        <v>218.35843585846456</v>
      </c>
      <c r="B203" s="28">
        <v>2183.5843585846455</v>
      </c>
      <c r="C203" s="25">
        <v>12358.456729999962</v>
      </c>
      <c r="D203" s="23">
        <f t="shared" si="7"/>
        <v>123.58456729999962</v>
      </c>
    </row>
    <row r="204" spans="1:4">
      <c r="A204" s="29">
        <f t="shared" si="6"/>
        <v>219.44479623586986</v>
      </c>
      <c r="B204" s="28">
        <v>2194.4479623586985</v>
      </c>
      <c r="C204" s="25">
        <v>12256.810459999962</v>
      </c>
      <c r="D204" s="23">
        <f t="shared" si="7"/>
        <v>122.56810459999963</v>
      </c>
    </row>
    <row r="205" spans="1:4">
      <c r="A205" s="29">
        <f t="shared" si="6"/>
        <v>220.5311566132751</v>
      </c>
      <c r="B205" s="28">
        <v>2205.3115661327511</v>
      </c>
      <c r="C205" s="25">
        <v>12155.164189999963</v>
      </c>
      <c r="D205" s="23">
        <f t="shared" si="7"/>
        <v>121.55164189999964</v>
      </c>
    </row>
    <row r="206" spans="1:4">
      <c r="A206" s="29">
        <f t="shared" si="6"/>
        <v>221.6175169906804</v>
      </c>
      <c r="B206" s="28">
        <v>2216.1751699068041</v>
      </c>
      <c r="C206" s="25">
        <v>12053.517919999964</v>
      </c>
      <c r="D206" s="23">
        <f t="shared" si="7"/>
        <v>120.53517919999963</v>
      </c>
    </row>
    <row r="207" spans="1:4">
      <c r="A207" s="29">
        <f t="shared" si="6"/>
        <v>222.7038773680857</v>
      </c>
      <c r="B207" s="28">
        <v>2227.038773680857</v>
      </c>
      <c r="C207" s="25">
        <v>11951.871649999965</v>
      </c>
      <c r="D207" s="23">
        <f t="shared" si="7"/>
        <v>119.51871649999964</v>
      </c>
    </row>
    <row r="208" spans="1:4">
      <c r="A208" s="29">
        <f t="shared" si="6"/>
        <v>223.790237745491</v>
      </c>
      <c r="B208" s="28">
        <v>2237.90237745491</v>
      </c>
      <c r="C208" s="25">
        <v>11850.225379999965</v>
      </c>
      <c r="D208" s="23">
        <f t="shared" si="7"/>
        <v>118.50225379999965</v>
      </c>
    </row>
    <row r="209" spans="1:4">
      <c r="A209" s="29">
        <f t="shared" si="6"/>
        <v>224.8765981228963</v>
      </c>
      <c r="B209" s="28">
        <v>2248.765981228963</v>
      </c>
      <c r="C209" s="25">
        <v>11748.579109999966</v>
      </c>
      <c r="D209" s="23">
        <f t="shared" si="7"/>
        <v>117.48579109999966</v>
      </c>
    </row>
    <row r="210" spans="1:4">
      <c r="A210" s="29">
        <f t="shared" si="6"/>
        <v>225.9629585003016</v>
      </c>
      <c r="B210" s="28">
        <v>2259.629585003016</v>
      </c>
      <c r="C210" s="25">
        <v>11646.932839999967</v>
      </c>
      <c r="D210" s="23">
        <f t="shared" si="7"/>
        <v>116.46932839999967</v>
      </c>
    </row>
    <row r="211" spans="1:4">
      <c r="A211" s="29">
        <f t="shared" si="6"/>
        <v>227.0493188777069</v>
      </c>
      <c r="B211" s="28">
        <v>2270.493188777069</v>
      </c>
      <c r="C211" s="25">
        <v>11545.286569999967</v>
      </c>
      <c r="D211" s="23">
        <f t="shared" si="7"/>
        <v>115.45286569999968</v>
      </c>
    </row>
    <row r="212" spans="1:4">
      <c r="A212" s="29">
        <f t="shared" si="6"/>
        <v>228.13567925511219</v>
      </c>
      <c r="B212" s="28">
        <v>2281.356792551122</v>
      </c>
      <c r="C212" s="25">
        <v>11443.640299999968</v>
      </c>
      <c r="D212" s="23">
        <f t="shared" si="7"/>
        <v>114.43640299999969</v>
      </c>
    </row>
    <row r="213" spans="1:4">
      <c r="A213" s="29">
        <f t="shared" si="6"/>
        <v>229.22203963251749</v>
      </c>
      <c r="B213" s="28">
        <v>2292.220396325175</v>
      </c>
      <c r="C213" s="25">
        <v>11341.994029999969</v>
      </c>
      <c r="D213" s="23">
        <f t="shared" si="7"/>
        <v>113.41994029999969</v>
      </c>
    </row>
    <row r="214" spans="1:4">
      <c r="A214" s="29">
        <f t="shared" si="6"/>
        <v>230.30840000992279</v>
      </c>
      <c r="B214" s="28">
        <v>2303.084000099228</v>
      </c>
      <c r="C214" s="25">
        <v>11240.34775999997</v>
      </c>
      <c r="D214" s="23">
        <f t="shared" si="7"/>
        <v>112.40347759999969</v>
      </c>
    </row>
    <row r="215" spans="1:4">
      <c r="A215" s="29">
        <f t="shared" si="6"/>
        <v>231.39476038732809</v>
      </c>
      <c r="B215" s="28">
        <v>2313.947603873281</v>
      </c>
      <c r="C215" s="25">
        <v>11138.70148999997</v>
      </c>
      <c r="D215" s="23">
        <f t="shared" si="7"/>
        <v>111.3870148999997</v>
      </c>
    </row>
    <row r="216" spans="1:4">
      <c r="A216" s="29">
        <f t="shared" si="6"/>
        <v>232.48112076473339</v>
      </c>
      <c r="B216" s="28">
        <v>2324.811207647334</v>
      </c>
      <c r="C216" s="25">
        <v>11037.055219999971</v>
      </c>
      <c r="D216" s="23">
        <f t="shared" si="7"/>
        <v>110.37055219999971</v>
      </c>
    </row>
    <row r="217" spans="1:4">
      <c r="A217" s="29">
        <f t="shared" si="6"/>
        <v>233.56748114213869</v>
      </c>
      <c r="B217" s="28">
        <v>2335.6748114213869</v>
      </c>
      <c r="C217" s="25">
        <v>10935.408949999972</v>
      </c>
      <c r="D217" s="23">
        <f t="shared" si="7"/>
        <v>109.35408949999972</v>
      </c>
    </row>
    <row r="218" spans="1:4">
      <c r="A218" s="29">
        <f t="shared" si="6"/>
        <v>234.65384151954399</v>
      </c>
      <c r="B218" s="28">
        <v>2346.5384151954399</v>
      </c>
      <c r="C218" s="25">
        <v>10833.762679999973</v>
      </c>
      <c r="D218" s="23">
        <f t="shared" si="7"/>
        <v>108.33762679999973</v>
      </c>
    </row>
    <row r="219" spans="1:4">
      <c r="A219" s="29">
        <f t="shared" si="6"/>
        <v>235.74020189694929</v>
      </c>
      <c r="B219" s="28">
        <v>2357.4020189694929</v>
      </c>
      <c r="C219" s="25">
        <v>10732.116409999973</v>
      </c>
      <c r="D219" s="23">
        <f t="shared" si="7"/>
        <v>107.32116409999973</v>
      </c>
    </row>
    <row r="220" spans="1:4">
      <c r="A220" s="29">
        <f t="shared" si="6"/>
        <v>236.82656227435459</v>
      </c>
      <c r="B220" s="28">
        <v>2368.2656227435459</v>
      </c>
      <c r="C220" s="25">
        <v>10630.470139999974</v>
      </c>
      <c r="D220" s="23">
        <f t="shared" si="7"/>
        <v>106.30470139999974</v>
      </c>
    </row>
    <row r="221" spans="1:4">
      <c r="A221" s="29">
        <f t="shared" si="6"/>
        <v>237.91292265175989</v>
      </c>
      <c r="B221" s="28">
        <v>2379.1292265175989</v>
      </c>
      <c r="C221" s="25">
        <v>10528.823869999975</v>
      </c>
      <c r="D221" s="23">
        <f t="shared" si="7"/>
        <v>105.28823869999975</v>
      </c>
    </row>
    <row r="222" spans="1:4">
      <c r="A222" s="29">
        <f t="shared" si="6"/>
        <v>238.99928302916516</v>
      </c>
      <c r="B222" s="28">
        <v>2389.9928302916514</v>
      </c>
      <c r="C222" s="25">
        <v>10427.177599999975</v>
      </c>
      <c r="D222" s="23">
        <f t="shared" si="7"/>
        <v>104.27177599999976</v>
      </c>
    </row>
    <row r="223" spans="1:4">
      <c r="A223" s="29">
        <f t="shared" si="6"/>
        <v>240.08564340657045</v>
      </c>
      <c r="B223" s="28">
        <v>2400.8564340657044</v>
      </c>
      <c r="C223" s="25">
        <v>10325.531329999976</v>
      </c>
      <c r="D223" s="23">
        <f t="shared" si="7"/>
        <v>103.25531329999976</v>
      </c>
    </row>
    <row r="224" spans="1:4">
      <c r="A224" s="29">
        <f t="shared" si="6"/>
        <v>241.17200378397575</v>
      </c>
      <c r="B224" s="28">
        <v>2411.7200378397574</v>
      </c>
      <c r="C224" s="25">
        <v>10223.885059999977</v>
      </c>
      <c r="D224" s="23">
        <f t="shared" si="7"/>
        <v>102.23885059999976</v>
      </c>
    </row>
    <row r="225" spans="1:4">
      <c r="A225" s="29">
        <f t="shared" si="6"/>
        <v>242.25836416138105</v>
      </c>
      <c r="B225" s="28">
        <v>2422.5836416138104</v>
      </c>
      <c r="C225" s="25">
        <v>10122.238789999978</v>
      </c>
      <c r="D225" s="23">
        <f t="shared" si="7"/>
        <v>101.22238789999977</v>
      </c>
    </row>
    <row r="226" spans="1:4">
      <c r="A226" s="29">
        <f t="shared" si="6"/>
        <v>243.34472453878635</v>
      </c>
      <c r="B226" s="28">
        <v>2433.4472453878634</v>
      </c>
      <c r="C226" s="25">
        <v>10020.592519999978</v>
      </c>
      <c r="D226" s="23">
        <f t="shared" si="7"/>
        <v>100.20592519999978</v>
      </c>
    </row>
    <row r="227" spans="1:4">
      <c r="A227" s="29">
        <f t="shared" si="6"/>
        <v>244.43108491619165</v>
      </c>
      <c r="B227" s="28">
        <v>2444.3108491619164</v>
      </c>
      <c r="C227" s="25">
        <v>9918.946249999979</v>
      </c>
      <c r="D227" s="23">
        <f t="shared" si="7"/>
        <v>99.189462499999792</v>
      </c>
    </row>
    <row r="228" spans="1:4">
      <c r="A228" s="29">
        <f t="shared" si="6"/>
        <v>245.51744529359695</v>
      </c>
      <c r="B228" s="28">
        <v>2455.1744529359694</v>
      </c>
      <c r="C228" s="25">
        <v>9817.2999799999798</v>
      </c>
      <c r="D228" s="23">
        <f t="shared" si="7"/>
        <v>98.172999799999801</v>
      </c>
    </row>
    <row r="229" spans="1:4">
      <c r="A229" s="29">
        <f t="shared" si="6"/>
        <v>246.60380567100225</v>
      </c>
      <c r="B229" s="28">
        <v>2466.0380567100224</v>
      </c>
      <c r="C229" s="25">
        <v>9715.6537099999805</v>
      </c>
      <c r="D229" s="23">
        <f t="shared" si="7"/>
        <v>97.156537099999809</v>
      </c>
    </row>
    <row r="230" spans="1:4">
      <c r="A230" s="29">
        <f t="shared" si="6"/>
        <v>247.69016604840755</v>
      </c>
      <c r="B230" s="28">
        <v>2476.9016604840754</v>
      </c>
      <c r="C230" s="25">
        <v>9614.0074399999812</v>
      </c>
      <c r="D230" s="23">
        <f t="shared" si="7"/>
        <v>96.140074399999818</v>
      </c>
    </row>
    <row r="231" spans="1:4">
      <c r="A231" s="29">
        <f t="shared" si="6"/>
        <v>248.77652642581285</v>
      </c>
      <c r="B231" s="28">
        <v>2487.7652642581284</v>
      </c>
      <c r="C231" s="25">
        <v>9512.3611699999819</v>
      </c>
      <c r="D231" s="23">
        <f t="shared" si="7"/>
        <v>95.123611699999813</v>
      </c>
    </row>
    <row r="232" spans="1:4">
      <c r="A232" s="29">
        <f t="shared" si="6"/>
        <v>249.86288680321815</v>
      </c>
      <c r="B232" s="28">
        <v>2498.6288680321813</v>
      </c>
      <c r="C232" s="25">
        <v>9410.7148999999827</v>
      </c>
      <c r="D232" s="23">
        <f t="shared" si="7"/>
        <v>94.107148999999822</v>
      </c>
    </row>
    <row r="233" spans="1:4">
      <c r="A233" s="29">
        <f t="shared" si="6"/>
        <v>250.94924718062344</v>
      </c>
      <c r="B233" s="28">
        <v>2509.4924718062343</v>
      </c>
      <c r="C233" s="25">
        <v>9309.0686299999834</v>
      </c>
      <c r="D233" s="23">
        <f t="shared" si="7"/>
        <v>93.090686299999831</v>
      </c>
    </row>
    <row r="234" spans="1:4">
      <c r="A234" s="29">
        <f t="shared" si="6"/>
        <v>252.03560755802874</v>
      </c>
      <c r="B234" s="28">
        <v>2520.3560755802873</v>
      </c>
      <c r="C234" s="25">
        <v>9207.4223599999841</v>
      </c>
      <c r="D234" s="23">
        <f t="shared" si="7"/>
        <v>92.07422359999984</v>
      </c>
    </row>
    <row r="235" spans="1:4">
      <c r="A235" s="29">
        <f t="shared" si="6"/>
        <v>253.12196793543404</v>
      </c>
      <c r="B235" s="28">
        <v>2531.2196793543403</v>
      </c>
      <c r="C235" s="25">
        <v>9105.7760899999848</v>
      </c>
      <c r="D235" s="23">
        <f t="shared" si="7"/>
        <v>91.057760899999849</v>
      </c>
    </row>
    <row r="236" spans="1:4">
      <c r="A236" s="29">
        <f t="shared" si="6"/>
        <v>254.20832831283934</v>
      </c>
      <c r="B236" s="28">
        <v>2542.0832831283933</v>
      </c>
      <c r="C236" s="25">
        <v>9004.1298199999856</v>
      </c>
      <c r="D236" s="23">
        <f t="shared" si="7"/>
        <v>90.041298199999858</v>
      </c>
    </row>
    <row r="237" spans="1:4">
      <c r="A237" s="29">
        <f t="shared" si="6"/>
        <v>255.29468869024464</v>
      </c>
      <c r="B237" s="28">
        <v>2552.9468869024463</v>
      </c>
      <c r="C237" s="25">
        <v>8902.4835499999863</v>
      </c>
      <c r="D237" s="23">
        <f t="shared" si="7"/>
        <v>89.024835499999867</v>
      </c>
    </row>
    <row r="238" spans="1:4">
      <c r="A238" s="29">
        <f t="shared" si="6"/>
        <v>256.38104906764988</v>
      </c>
      <c r="B238" s="28">
        <v>2563.8104906764988</v>
      </c>
      <c r="C238" s="25">
        <v>8800.837279999987</v>
      </c>
      <c r="D238" s="23">
        <f t="shared" si="7"/>
        <v>88.008372799999876</v>
      </c>
    </row>
    <row r="239" spans="1:4">
      <c r="A239" s="29">
        <f t="shared" si="6"/>
        <v>257.46740944505518</v>
      </c>
      <c r="B239" s="28">
        <v>2574.6740944505518</v>
      </c>
      <c r="C239" s="25">
        <v>8699.1910099999877</v>
      </c>
      <c r="D239" s="23">
        <f t="shared" si="7"/>
        <v>86.99191009999987</v>
      </c>
    </row>
    <row r="240" spans="1:4">
      <c r="A240" s="29">
        <f t="shared" si="6"/>
        <v>258.55376982246048</v>
      </c>
      <c r="B240" s="28">
        <v>2585.5376982246048</v>
      </c>
      <c r="C240" s="25">
        <v>8597.5447399999885</v>
      </c>
      <c r="D240" s="23">
        <f t="shared" si="7"/>
        <v>85.975447399999879</v>
      </c>
    </row>
    <row r="241" spans="1:4">
      <c r="A241" s="29">
        <f t="shared" si="6"/>
        <v>259.64013019986578</v>
      </c>
      <c r="B241" s="28">
        <v>2596.4013019986578</v>
      </c>
      <c r="C241" s="25">
        <v>8495.8984699999892</v>
      </c>
      <c r="D241" s="23">
        <f t="shared" si="7"/>
        <v>84.958984699999888</v>
      </c>
    </row>
    <row r="242" spans="1:4">
      <c r="A242" s="29">
        <f t="shared" si="6"/>
        <v>260.72649057727108</v>
      </c>
      <c r="B242" s="28">
        <v>2607.2649057727108</v>
      </c>
      <c r="C242" s="25">
        <v>8394.2521999999899</v>
      </c>
      <c r="D242" s="23">
        <f t="shared" si="7"/>
        <v>83.942521999999897</v>
      </c>
    </row>
    <row r="243" spans="1:4">
      <c r="A243" s="29">
        <f t="shared" si="6"/>
        <v>261.81285095467638</v>
      </c>
      <c r="B243" s="28">
        <v>2618.1285095467638</v>
      </c>
      <c r="C243" s="25">
        <v>8292.6059299999906</v>
      </c>
      <c r="D243" s="23">
        <f t="shared" si="7"/>
        <v>82.926059299999906</v>
      </c>
    </row>
    <row r="244" spans="1:4">
      <c r="A244" s="29">
        <f t="shared" si="6"/>
        <v>262.89921133208168</v>
      </c>
      <c r="B244" s="28">
        <v>2628.9921133208168</v>
      </c>
      <c r="C244" s="25">
        <v>8190.9596599999904</v>
      </c>
      <c r="D244" s="23">
        <f t="shared" si="7"/>
        <v>81.909596599999901</v>
      </c>
    </row>
    <row r="245" spans="1:4">
      <c r="A245" s="29">
        <f t="shared" si="6"/>
        <v>263.98557170948698</v>
      </c>
      <c r="B245" s="28">
        <v>2639.8557170948698</v>
      </c>
      <c r="C245" s="25">
        <v>8089.3133899999902</v>
      </c>
      <c r="D245" s="23">
        <f t="shared" si="7"/>
        <v>80.893133899999896</v>
      </c>
    </row>
    <row r="246" spans="1:4">
      <c r="A246" s="29">
        <f t="shared" si="6"/>
        <v>265.07193208689228</v>
      </c>
      <c r="B246" s="28">
        <v>2650.7193208689228</v>
      </c>
      <c r="C246" s="25">
        <v>7987.6671199999901</v>
      </c>
      <c r="D246" s="23">
        <f t="shared" si="7"/>
        <v>79.876671199999905</v>
      </c>
    </row>
    <row r="247" spans="1:4">
      <c r="A247" s="29">
        <f t="shared" si="6"/>
        <v>266.15829246429757</v>
      </c>
      <c r="B247" s="28">
        <v>2661.5829246429757</v>
      </c>
      <c r="C247" s="25">
        <v>7886.0208499999899</v>
      </c>
      <c r="D247" s="23">
        <f t="shared" si="7"/>
        <v>78.860208499999899</v>
      </c>
    </row>
    <row r="248" spans="1:4">
      <c r="A248" s="29">
        <f t="shared" si="6"/>
        <v>267.24465284170287</v>
      </c>
      <c r="B248" s="28">
        <v>2672.4465284170287</v>
      </c>
      <c r="C248" s="25">
        <v>7784.3745799999897</v>
      </c>
      <c r="D248" s="23">
        <f t="shared" si="7"/>
        <v>77.843745799999894</v>
      </c>
    </row>
    <row r="249" spans="1:4">
      <c r="A249" s="29">
        <f t="shared" si="6"/>
        <v>268.33101321910817</v>
      </c>
      <c r="B249" s="28">
        <v>2683.3101321910817</v>
      </c>
      <c r="C249" s="25">
        <v>7682.7283099999895</v>
      </c>
      <c r="D249" s="23">
        <f t="shared" si="7"/>
        <v>76.827283099999889</v>
      </c>
    </row>
    <row r="250" spans="1:4">
      <c r="A250" s="29">
        <f t="shared" si="6"/>
        <v>269.41737359651347</v>
      </c>
      <c r="B250" s="28">
        <v>2694.1737359651347</v>
      </c>
      <c r="C250" s="25">
        <v>7581.0820399999893</v>
      </c>
      <c r="D250" s="23">
        <f t="shared" si="7"/>
        <v>75.810820399999898</v>
      </c>
    </row>
    <row r="251" spans="1:4">
      <c r="A251" s="29">
        <f t="shared" si="6"/>
        <v>270.50373397391877</v>
      </c>
      <c r="B251" s="28">
        <v>2705.0373397391877</v>
      </c>
      <c r="C251" s="25">
        <v>7479.4357699999891</v>
      </c>
      <c r="D251" s="23">
        <f t="shared" si="7"/>
        <v>74.794357699999892</v>
      </c>
    </row>
    <row r="252" spans="1:4">
      <c r="A252" s="29">
        <f t="shared" si="6"/>
        <v>271.59009435132407</v>
      </c>
      <c r="B252" s="28">
        <v>2715.9009435132407</v>
      </c>
      <c r="C252" s="25">
        <v>7377.7894999999889</v>
      </c>
      <c r="D252" s="23">
        <f t="shared" si="7"/>
        <v>73.777894999999887</v>
      </c>
    </row>
    <row r="253" spans="1:4">
      <c r="A253" s="29">
        <f t="shared" si="6"/>
        <v>272.67645472872937</v>
      </c>
      <c r="B253" s="28">
        <v>2726.7645472872937</v>
      </c>
      <c r="C253" s="25">
        <v>7276.1432299999888</v>
      </c>
      <c r="D253" s="23">
        <f t="shared" si="7"/>
        <v>72.761432299999882</v>
      </c>
    </row>
    <row r="254" spans="1:4">
      <c r="A254" s="29">
        <f t="shared" si="6"/>
        <v>273.76281510613461</v>
      </c>
      <c r="B254" s="28">
        <v>2737.6281510613462</v>
      </c>
      <c r="C254" s="25">
        <v>7174.4969599999886</v>
      </c>
      <c r="D254" s="23">
        <f t="shared" si="7"/>
        <v>71.744969599999891</v>
      </c>
    </row>
    <row r="255" spans="1:4">
      <c r="A255" s="29">
        <f t="shared" si="6"/>
        <v>274.84917548353991</v>
      </c>
      <c r="B255" s="28">
        <v>2748.4917548353992</v>
      </c>
      <c r="C255" s="25">
        <v>7072.8506899999884</v>
      </c>
      <c r="D255" s="23">
        <f t="shared" si="7"/>
        <v>70.728506899999886</v>
      </c>
    </row>
    <row r="256" spans="1:4">
      <c r="A256" s="29">
        <f t="shared" si="6"/>
        <v>275.93553586094521</v>
      </c>
      <c r="B256" s="28">
        <v>2759.3553586094522</v>
      </c>
      <c r="C256" s="25">
        <v>6971.2044199999882</v>
      </c>
      <c r="D256" s="23">
        <f t="shared" si="7"/>
        <v>69.71204419999988</v>
      </c>
    </row>
    <row r="257" spans="1:4">
      <c r="A257" s="29">
        <f t="shared" si="6"/>
        <v>277.02189623835051</v>
      </c>
      <c r="B257" s="28">
        <v>2770.2189623835052</v>
      </c>
      <c r="C257" s="25">
        <v>6869.558149999988</v>
      </c>
      <c r="D257" s="23">
        <f t="shared" si="7"/>
        <v>68.695581499999875</v>
      </c>
    </row>
    <row r="258" spans="1:4">
      <c r="A258" s="29">
        <f t="shared" si="6"/>
        <v>278.10825661575581</v>
      </c>
      <c r="B258" s="28">
        <v>2781.0825661575582</v>
      </c>
      <c r="C258" s="25">
        <v>6767.9118799999878</v>
      </c>
      <c r="D258" s="23">
        <f t="shared" si="7"/>
        <v>67.679118799999884</v>
      </c>
    </row>
    <row r="259" spans="1:4">
      <c r="A259" s="29">
        <f t="shared" ref="A259:A322" si="8">$B259/10</f>
        <v>279.19461699316111</v>
      </c>
      <c r="B259" s="28">
        <v>2791.9461699316112</v>
      </c>
      <c r="C259" s="25">
        <v>6666.2656099999876</v>
      </c>
      <c r="D259" s="23">
        <f t="shared" ref="D259:D322" si="9">$C259/100</f>
        <v>66.662656099999879</v>
      </c>
    </row>
    <row r="260" spans="1:4">
      <c r="A260" s="29">
        <f t="shared" si="8"/>
        <v>280.2809773705664</v>
      </c>
      <c r="B260" s="28">
        <v>2802.8097737056642</v>
      </c>
      <c r="C260" s="25">
        <v>6564.6193399999875</v>
      </c>
      <c r="D260" s="23">
        <f t="shared" si="9"/>
        <v>65.646193399999873</v>
      </c>
    </row>
    <row r="261" spans="1:4">
      <c r="A261" s="29">
        <f t="shared" si="8"/>
        <v>281.3673377479717</v>
      </c>
      <c r="B261" s="28">
        <v>2813.6733774797171</v>
      </c>
      <c r="C261" s="25">
        <v>6462.9730699999873</v>
      </c>
      <c r="D261" s="23">
        <f t="shared" si="9"/>
        <v>64.629730699999868</v>
      </c>
    </row>
    <row r="262" spans="1:4">
      <c r="A262" s="29">
        <f t="shared" si="8"/>
        <v>282.453698125377</v>
      </c>
      <c r="B262" s="28">
        <v>2824.5369812537701</v>
      </c>
      <c r="C262" s="25">
        <v>6361.3267999999871</v>
      </c>
      <c r="D262" s="23">
        <f t="shared" si="9"/>
        <v>63.61326799999987</v>
      </c>
    </row>
    <row r="263" spans="1:4">
      <c r="A263" s="29">
        <f t="shared" si="8"/>
        <v>283.5400585027823</v>
      </c>
      <c r="B263" s="28">
        <v>2835.4005850278231</v>
      </c>
      <c r="C263" s="25">
        <v>6259.6805299999869</v>
      </c>
      <c r="D263" s="23">
        <f t="shared" si="9"/>
        <v>62.596805299999872</v>
      </c>
    </row>
    <row r="264" spans="1:4">
      <c r="A264" s="29">
        <f t="shared" si="8"/>
        <v>284.6264188801876</v>
      </c>
      <c r="B264" s="28">
        <v>2846.2641888018761</v>
      </c>
      <c r="C264" s="25">
        <v>6158.0342599999867</v>
      </c>
      <c r="D264" s="23">
        <f t="shared" si="9"/>
        <v>61.580342599999867</v>
      </c>
    </row>
    <row r="265" spans="1:4">
      <c r="A265" s="29">
        <f t="shared" si="8"/>
        <v>285.7127792575929</v>
      </c>
      <c r="B265" s="28">
        <v>2857.1277925759291</v>
      </c>
      <c r="C265" s="25">
        <v>6056.3879899999865</v>
      </c>
      <c r="D265" s="23">
        <f t="shared" si="9"/>
        <v>60.563879899999868</v>
      </c>
    </row>
    <row r="266" spans="1:4">
      <c r="A266" s="29">
        <f t="shared" si="8"/>
        <v>286.7991396349982</v>
      </c>
      <c r="B266" s="28">
        <v>2867.9913963499821</v>
      </c>
      <c r="C266" s="25">
        <v>5954.7417199999863</v>
      </c>
      <c r="D266" s="23">
        <f t="shared" si="9"/>
        <v>59.547417199999863</v>
      </c>
    </row>
    <row r="267" spans="1:4">
      <c r="A267" s="29">
        <f t="shared" si="8"/>
        <v>287.8855000124035</v>
      </c>
      <c r="B267" s="28">
        <v>2878.8550001240351</v>
      </c>
      <c r="C267" s="25">
        <v>5853.0954499999862</v>
      </c>
      <c r="D267" s="23">
        <f t="shared" si="9"/>
        <v>58.530954499999865</v>
      </c>
    </row>
    <row r="268" spans="1:4">
      <c r="A268" s="29">
        <f t="shared" si="8"/>
        <v>288.9718603898088</v>
      </c>
      <c r="B268" s="28">
        <v>2889.7186038980881</v>
      </c>
      <c r="C268" s="25">
        <v>5751.449179999986</v>
      </c>
      <c r="D268" s="23">
        <f t="shared" si="9"/>
        <v>57.51449179999986</v>
      </c>
    </row>
    <row r="269" spans="1:4">
      <c r="A269" s="29">
        <f t="shared" si="8"/>
        <v>290.0582207672141</v>
      </c>
      <c r="B269" s="28">
        <v>2900.5822076721411</v>
      </c>
      <c r="C269" s="25">
        <v>5649.8029099999858</v>
      </c>
      <c r="D269" s="23">
        <f t="shared" si="9"/>
        <v>56.498029099999854</v>
      </c>
    </row>
    <row r="270" spans="1:4">
      <c r="A270" s="29">
        <f t="shared" si="8"/>
        <v>291.14458114461934</v>
      </c>
      <c r="B270" s="28">
        <v>2911.4458114461936</v>
      </c>
      <c r="C270" s="25">
        <v>5548.1566399999856</v>
      </c>
      <c r="D270" s="23">
        <f t="shared" si="9"/>
        <v>55.481566399999856</v>
      </c>
    </row>
    <row r="271" spans="1:4">
      <c r="A271" s="29">
        <f t="shared" si="8"/>
        <v>292.23094152202464</v>
      </c>
      <c r="B271" s="28">
        <v>2922.3094152202466</v>
      </c>
      <c r="C271" s="25">
        <v>5446.5103699999854</v>
      </c>
      <c r="D271" s="23">
        <f t="shared" si="9"/>
        <v>54.465103699999851</v>
      </c>
    </row>
    <row r="272" spans="1:4">
      <c r="A272" s="29">
        <f t="shared" si="8"/>
        <v>293.31730189942994</v>
      </c>
      <c r="B272" s="28">
        <v>2933.1730189942996</v>
      </c>
      <c r="C272" s="25">
        <v>5344.8640999999852</v>
      </c>
      <c r="D272" s="23">
        <f t="shared" si="9"/>
        <v>53.448640999999853</v>
      </c>
    </row>
    <row r="273" spans="1:4">
      <c r="A273" s="29">
        <f t="shared" si="8"/>
        <v>294.40366227683523</v>
      </c>
      <c r="B273" s="28">
        <v>2944.0366227683526</v>
      </c>
      <c r="C273" s="25">
        <v>5243.217829999985</v>
      </c>
      <c r="D273" s="23">
        <f t="shared" si="9"/>
        <v>52.432178299999848</v>
      </c>
    </row>
    <row r="274" spans="1:4">
      <c r="A274" s="29">
        <f t="shared" si="8"/>
        <v>295.49002265424053</v>
      </c>
      <c r="B274" s="28">
        <v>2954.9002265424056</v>
      </c>
      <c r="C274" s="25">
        <v>5141.5715599999849</v>
      </c>
      <c r="D274" s="23">
        <f t="shared" si="9"/>
        <v>51.415715599999849</v>
      </c>
    </row>
    <row r="275" spans="1:4">
      <c r="A275" s="29">
        <f t="shared" si="8"/>
        <v>296.57638303164583</v>
      </c>
      <c r="B275" s="28">
        <v>2965.7638303164586</v>
      </c>
      <c r="C275" s="25">
        <v>5039.9252899999847</v>
      </c>
      <c r="D275" s="23">
        <f t="shared" si="9"/>
        <v>50.399252899999844</v>
      </c>
    </row>
    <row r="276" spans="1:4">
      <c r="A276" s="29">
        <f t="shared" si="8"/>
        <v>297.66274340905113</v>
      </c>
      <c r="B276" s="28">
        <v>2976.6274340905115</v>
      </c>
      <c r="C276" s="25">
        <v>4938.2790199999845</v>
      </c>
      <c r="D276" s="23">
        <f t="shared" si="9"/>
        <v>49.382790199999846</v>
      </c>
    </row>
    <row r="277" spans="1:4">
      <c r="A277" s="29">
        <f t="shared" si="8"/>
        <v>298.74910378645643</v>
      </c>
      <c r="B277" s="28">
        <v>2987.4910378645645</v>
      </c>
      <c r="C277" s="25">
        <v>4836.6327499999843</v>
      </c>
      <c r="D277" s="23">
        <f t="shared" si="9"/>
        <v>48.366327499999841</v>
      </c>
    </row>
    <row r="278" spans="1:4">
      <c r="A278" s="29">
        <f t="shared" si="8"/>
        <v>299.83546416386173</v>
      </c>
      <c r="B278" s="28">
        <v>2998.3546416386175</v>
      </c>
      <c r="C278" s="25">
        <v>4734.9864799999841</v>
      </c>
      <c r="D278" s="23">
        <f t="shared" si="9"/>
        <v>47.349864799999843</v>
      </c>
    </row>
    <row r="279" spans="1:4">
      <c r="A279" s="29">
        <f t="shared" si="8"/>
        <v>300.92182454126703</v>
      </c>
      <c r="B279" s="28">
        <v>3009.2182454126705</v>
      </c>
      <c r="C279" s="25">
        <v>4633.3402099999839</v>
      </c>
      <c r="D279" s="23">
        <f t="shared" si="9"/>
        <v>46.333402099999837</v>
      </c>
    </row>
    <row r="280" spans="1:4">
      <c r="A280" s="29">
        <f t="shared" si="8"/>
        <v>302.00818491867233</v>
      </c>
      <c r="B280" s="28">
        <v>3020.0818491867235</v>
      </c>
      <c r="C280" s="25">
        <v>4531.6939399999837</v>
      </c>
      <c r="D280" s="23">
        <f t="shared" si="9"/>
        <v>45.316939399999839</v>
      </c>
    </row>
    <row r="281" spans="1:4">
      <c r="A281" s="29">
        <f t="shared" si="8"/>
        <v>303.09454529607763</v>
      </c>
      <c r="B281" s="28">
        <v>3030.9454529607765</v>
      </c>
      <c r="C281" s="25">
        <v>4430.0476699999836</v>
      </c>
      <c r="D281" s="23">
        <f t="shared" si="9"/>
        <v>44.300476699999834</v>
      </c>
    </row>
    <row r="282" spans="1:4">
      <c r="A282" s="29">
        <f t="shared" si="8"/>
        <v>304.18090567348293</v>
      </c>
      <c r="B282" s="28">
        <v>3041.8090567348295</v>
      </c>
      <c r="C282" s="25">
        <v>4328.4013999999834</v>
      </c>
      <c r="D282" s="23">
        <f t="shared" si="9"/>
        <v>43.284013999999836</v>
      </c>
    </row>
    <row r="283" spans="1:4">
      <c r="A283" s="29">
        <f t="shared" si="8"/>
        <v>305.26726605088822</v>
      </c>
      <c r="B283" s="28">
        <v>3052.6726605088825</v>
      </c>
      <c r="C283" s="25">
        <v>4226.7551299999832</v>
      </c>
      <c r="D283" s="23">
        <f t="shared" si="9"/>
        <v>42.26755129999983</v>
      </c>
    </row>
    <row r="284" spans="1:4">
      <c r="A284" s="29">
        <f t="shared" si="8"/>
        <v>306.35362642829352</v>
      </c>
      <c r="B284" s="28">
        <v>3063.5362642829355</v>
      </c>
      <c r="C284" s="25">
        <v>4125.108859999983</v>
      </c>
      <c r="D284" s="23">
        <f t="shared" si="9"/>
        <v>41.251088599999832</v>
      </c>
    </row>
    <row r="285" spans="1:4">
      <c r="A285" s="29">
        <f t="shared" si="8"/>
        <v>307.43998680569882</v>
      </c>
      <c r="B285" s="28">
        <v>3074.3998680569885</v>
      </c>
      <c r="C285" s="25">
        <v>4023.4625899999828</v>
      </c>
      <c r="D285" s="23">
        <f t="shared" si="9"/>
        <v>40.234625899999827</v>
      </c>
    </row>
    <row r="286" spans="1:4">
      <c r="A286" s="29">
        <f t="shared" si="8"/>
        <v>308.52634718310412</v>
      </c>
      <c r="B286" s="28">
        <v>3085.2634718310414</v>
      </c>
      <c r="C286" s="25">
        <v>3921.8163199999826</v>
      </c>
      <c r="D286" s="23">
        <f t="shared" si="9"/>
        <v>39.218163199999829</v>
      </c>
    </row>
    <row r="287" spans="1:4">
      <c r="A287" s="29">
        <f t="shared" si="8"/>
        <v>309.61270756050942</v>
      </c>
      <c r="B287" s="28">
        <v>3096.127075605094</v>
      </c>
      <c r="C287" s="25">
        <v>3820.1700499999824</v>
      </c>
      <c r="D287" s="23">
        <f t="shared" si="9"/>
        <v>38.201700499999824</v>
      </c>
    </row>
    <row r="288" spans="1:4">
      <c r="A288" s="29">
        <f t="shared" si="8"/>
        <v>310.69906793791472</v>
      </c>
      <c r="B288" s="28">
        <v>3106.990679379147</v>
      </c>
      <c r="C288" s="25">
        <v>3718.5237799999823</v>
      </c>
      <c r="D288" s="23">
        <f t="shared" si="9"/>
        <v>37.185237799999825</v>
      </c>
    </row>
    <row r="289" spans="1:4">
      <c r="A289" s="29">
        <f t="shared" si="8"/>
        <v>311.78542831532002</v>
      </c>
      <c r="B289" s="28">
        <v>3117.8542831532</v>
      </c>
      <c r="C289" s="25">
        <v>3616.8775099999821</v>
      </c>
      <c r="D289" s="23">
        <f t="shared" si="9"/>
        <v>36.16877509999982</v>
      </c>
    </row>
    <row r="290" spans="1:4">
      <c r="A290" s="29">
        <f t="shared" si="8"/>
        <v>312.87178869272532</v>
      </c>
      <c r="B290" s="28">
        <v>3128.7178869272529</v>
      </c>
      <c r="C290" s="25">
        <v>3515.2312399999819</v>
      </c>
      <c r="D290" s="23">
        <f t="shared" si="9"/>
        <v>35.152312399999822</v>
      </c>
    </row>
    <row r="291" spans="1:4">
      <c r="A291" s="29">
        <f t="shared" si="8"/>
        <v>313.95814907013062</v>
      </c>
      <c r="B291" s="28">
        <v>3139.5814907013059</v>
      </c>
      <c r="C291" s="25">
        <v>3413.5849699999817</v>
      </c>
      <c r="D291" s="23">
        <f t="shared" si="9"/>
        <v>34.135849699999817</v>
      </c>
    </row>
    <row r="292" spans="1:4">
      <c r="A292" s="29">
        <f t="shared" si="8"/>
        <v>315.04450944753592</v>
      </c>
      <c r="B292" s="28">
        <v>3150.4450944753589</v>
      </c>
      <c r="C292" s="25">
        <v>3311.9386999999815</v>
      </c>
      <c r="D292" s="23">
        <f t="shared" si="9"/>
        <v>33.119386999999818</v>
      </c>
    </row>
    <row r="293" spans="1:4">
      <c r="A293" s="29">
        <f t="shared" si="8"/>
        <v>316.13086982494121</v>
      </c>
      <c r="B293" s="28">
        <v>3161.3086982494119</v>
      </c>
      <c r="C293" s="25">
        <v>3210.2924299999813</v>
      </c>
      <c r="D293" s="23">
        <f t="shared" si="9"/>
        <v>32.102924299999813</v>
      </c>
    </row>
    <row r="294" spans="1:4">
      <c r="A294" s="29">
        <f t="shared" si="8"/>
        <v>317.21723020234651</v>
      </c>
      <c r="B294" s="28">
        <v>3172.1723020234649</v>
      </c>
      <c r="C294" s="25">
        <v>3108.6461599999811</v>
      </c>
      <c r="D294" s="23">
        <f t="shared" si="9"/>
        <v>31.086461599999812</v>
      </c>
    </row>
    <row r="295" spans="1:4">
      <c r="A295" s="29">
        <f t="shared" si="8"/>
        <v>318.30359057975181</v>
      </c>
      <c r="B295" s="28">
        <v>3183.0359057975179</v>
      </c>
      <c r="C295" s="25">
        <v>3006.999889999981</v>
      </c>
      <c r="D295" s="23">
        <f t="shared" si="9"/>
        <v>30.06999889999981</v>
      </c>
    </row>
    <row r="296" spans="1:4">
      <c r="A296" s="29">
        <f t="shared" si="8"/>
        <v>319.38995095715711</v>
      </c>
      <c r="B296" s="28">
        <v>3193.8995095715709</v>
      </c>
      <c r="C296" s="25">
        <v>2905.3536199999808</v>
      </c>
      <c r="D296" s="23">
        <f t="shared" si="9"/>
        <v>29.053536199999808</v>
      </c>
    </row>
    <row r="297" spans="1:4">
      <c r="A297" s="29">
        <f t="shared" si="8"/>
        <v>320.47631133456241</v>
      </c>
      <c r="B297" s="28">
        <v>3204.7631133456239</v>
      </c>
      <c r="C297" s="25">
        <v>2803.7073499999806</v>
      </c>
      <c r="D297" s="23">
        <f t="shared" si="9"/>
        <v>28.037073499999806</v>
      </c>
    </row>
    <row r="298" spans="1:4">
      <c r="A298" s="29">
        <f t="shared" si="8"/>
        <v>321.56267171196771</v>
      </c>
      <c r="B298" s="28">
        <v>3215.6267171196769</v>
      </c>
      <c r="C298" s="25">
        <v>2702.0610799999804</v>
      </c>
      <c r="D298" s="23">
        <f t="shared" si="9"/>
        <v>27.020610799999805</v>
      </c>
    </row>
    <row r="299" spans="1:4">
      <c r="A299" s="29">
        <f t="shared" si="8"/>
        <v>322.64903208937301</v>
      </c>
      <c r="B299" s="28">
        <v>3226.4903208937299</v>
      </c>
      <c r="C299" s="25">
        <v>2600.4148099999802</v>
      </c>
      <c r="D299" s="23">
        <f t="shared" si="9"/>
        <v>26.004148099999803</v>
      </c>
    </row>
    <row r="300" spans="1:4">
      <c r="A300" s="29">
        <f t="shared" si="8"/>
        <v>323.73539246677831</v>
      </c>
      <c r="B300" s="28">
        <v>3237.3539246677828</v>
      </c>
      <c r="C300" s="25">
        <v>2498.76853999998</v>
      </c>
      <c r="D300" s="23">
        <f t="shared" si="9"/>
        <v>24.987685399999801</v>
      </c>
    </row>
    <row r="301" spans="1:4">
      <c r="A301" s="29">
        <f t="shared" si="8"/>
        <v>324.82175284418361</v>
      </c>
      <c r="B301" s="28">
        <v>3248.2175284418358</v>
      </c>
      <c r="C301" s="25">
        <v>2397.1222699999798</v>
      </c>
      <c r="D301" s="23">
        <f t="shared" si="9"/>
        <v>23.971222699999799</v>
      </c>
    </row>
    <row r="302" spans="1:4">
      <c r="A302" s="29">
        <f t="shared" si="8"/>
        <v>325.90811322158891</v>
      </c>
      <c r="B302" s="28">
        <v>3259.0811322158888</v>
      </c>
      <c r="C302" s="25">
        <v>2295.4759999999796</v>
      </c>
      <c r="D302" s="23">
        <f t="shared" si="9"/>
        <v>22.954759999999798</v>
      </c>
    </row>
    <row r="303" spans="1:4">
      <c r="A303" s="29">
        <f t="shared" si="8"/>
        <v>326.99447359899415</v>
      </c>
      <c r="B303" s="28">
        <v>3269.9447359899414</v>
      </c>
      <c r="C303" s="25">
        <v>2193.8297299999795</v>
      </c>
      <c r="D303" s="23">
        <f t="shared" si="9"/>
        <v>21.938297299999796</v>
      </c>
    </row>
    <row r="304" spans="1:4">
      <c r="A304" s="29">
        <f t="shared" si="8"/>
        <v>328.08083397639945</v>
      </c>
      <c r="B304" s="28">
        <v>3280.8083397639944</v>
      </c>
      <c r="C304" s="25">
        <v>2092.1834599999793</v>
      </c>
      <c r="D304" s="23">
        <f t="shared" si="9"/>
        <v>20.921834599999794</v>
      </c>
    </row>
    <row r="305" spans="1:4">
      <c r="A305" s="29">
        <f t="shared" si="8"/>
        <v>329.16719435380475</v>
      </c>
      <c r="B305" s="28">
        <v>3291.6719435380473</v>
      </c>
      <c r="C305" s="25">
        <v>1990.5371899999793</v>
      </c>
      <c r="D305" s="23">
        <f t="shared" si="9"/>
        <v>19.905371899999793</v>
      </c>
    </row>
    <row r="306" spans="1:4">
      <c r="A306" s="29">
        <f t="shared" si="8"/>
        <v>330.25355473121004</v>
      </c>
      <c r="B306" s="28">
        <v>3302.5355473121003</v>
      </c>
      <c r="C306" s="25">
        <v>1888.8909199999794</v>
      </c>
      <c r="D306" s="23">
        <f t="shared" si="9"/>
        <v>18.888909199999794</v>
      </c>
    </row>
    <row r="307" spans="1:4">
      <c r="A307" s="29">
        <f t="shared" si="8"/>
        <v>331.33991510861534</v>
      </c>
      <c r="B307" s="28">
        <v>3313.3991510861533</v>
      </c>
      <c r="C307" s="25">
        <v>1787.2446499999794</v>
      </c>
      <c r="D307" s="23">
        <f t="shared" si="9"/>
        <v>17.872446499999793</v>
      </c>
    </row>
    <row r="308" spans="1:4">
      <c r="A308" s="29">
        <f t="shared" si="8"/>
        <v>332.42627548602064</v>
      </c>
      <c r="B308" s="28">
        <v>3324.2627548602063</v>
      </c>
      <c r="C308" s="25">
        <v>1685.5983799999794</v>
      </c>
      <c r="D308" s="23">
        <f t="shared" si="9"/>
        <v>16.855983799999795</v>
      </c>
    </row>
    <row r="309" spans="1:4">
      <c r="A309" s="29">
        <f t="shared" si="8"/>
        <v>333.51263586342594</v>
      </c>
      <c r="B309" s="28">
        <v>3335.1263586342593</v>
      </c>
      <c r="C309" s="25">
        <v>1583.9521099999795</v>
      </c>
      <c r="D309" s="23">
        <f t="shared" si="9"/>
        <v>15.839521099999795</v>
      </c>
    </row>
    <row r="310" spans="1:4">
      <c r="A310" s="29">
        <f t="shared" si="8"/>
        <v>334.59899624083124</v>
      </c>
      <c r="B310" s="28">
        <v>3345.9899624083123</v>
      </c>
      <c r="C310" s="25">
        <v>1482.3058399999795</v>
      </c>
      <c r="D310" s="23">
        <f t="shared" si="9"/>
        <v>14.823058399999795</v>
      </c>
    </row>
    <row r="311" spans="1:4">
      <c r="A311" s="29">
        <f t="shared" si="8"/>
        <v>335.68535661823654</v>
      </c>
      <c r="B311" s="28">
        <v>3356.8535661823653</v>
      </c>
      <c r="C311" s="25">
        <v>1380.6595699999796</v>
      </c>
      <c r="D311" s="23">
        <f t="shared" si="9"/>
        <v>13.806595699999797</v>
      </c>
    </row>
    <row r="312" spans="1:4">
      <c r="A312" s="29">
        <f t="shared" si="8"/>
        <v>336.77171699564184</v>
      </c>
      <c r="B312" s="28">
        <v>3367.7171699564183</v>
      </c>
      <c r="C312" s="25">
        <v>1279.0132999999796</v>
      </c>
      <c r="D312" s="23">
        <f t="shared" si="9"/>
        <v>12.790132999999797</v>
      </c>
    </row>
    <row r="313" spans="1:4">
      <c r="A313" s="29">
        <f t="shared" si="8"/>
        <v>337.85807737304714</v>
      </c>
      <c r="B313" s="28">
        <v>3378.5807737304713</v>
      </c>
      <c r="C313" s="25">
        <v>1179.8409699999816</v>
      </c>
      <c r="D313" s="23">
        <f t="shared" si="9"/>
        <v>11.798409699999816</v>
      </c>
    </row>
    <row r="314" spans="1:4">
      <c r="A314" s="29">
        <f t="shared" si="8"/>
        <v>338.94443775045244</v>
      </c>
      <c r="B314" s="28">
        <v>3389.4443775045243</v>
      </c>
      <c r="C314" s="25">
        <v>1080.6686399999835</v>
      </c>
      <c r="D314" s="23">
        <f t="shared" si="9"/>
        <v>10.806686399999835</v>
      </c>
    </row>
    <row r="315" spans="1:4">
      <c r="A315" s="29">
        <f t="shared" si="8"/>
        <v>340.03079812785774</v>
      </c>
      <c r="B315" s="28">
        <v>3400.3079812785772</v>
      </c>
      <c r="C315" s="25">
        <v>981.49630999998556</v>
      </c>
      <c r="D315" s="23">
        <f t="shared" si="9"/>
        <v>9.8149630999998561</v>
      </c>
    </row>
    <row r="316" spans="1:4">
      <c r="A316" s="29">
        <f t="shared" si="8"/>
        <v>341.11715850526303</v>
      </c>
      <c r="B316" s="28">
        <v>3411.1715850526302</v>
      </c>
      <c r="C316" s="25">
        <v>882.32397999998761</v>
      </c>
      <c r="D316" s="23">
        <f t="shared" si="9"/>
        <v>8.8232397999998753</v>
      </c>
    </row>
    <row r="317" spans="1:4">
      <c r="A317" s="29">
        <f t="shared" si="8"/>
        <v>342.20351888266833</v>
      </c>
      <c r="B317" s="28">
        <v>3422.0351888266832</v>
      </c>
      <c r="C317" s="25">
        <v>783.15164999998967</v>
      </c>
      <c r="D317" s="23">
        <f t="shared" si="9"/>
        <v>7.8315164999998963</v>
      </c>
    </row>
    <row r="318" spans="1:4">
      <c r="A318" s="29">
        <f t="shared" si="8"/>
        <v>343.28987926007363</v>
      </c>
      <c r="B318" s="28">
        <v>3432.8987926007362</v>
      </c>
      <c r="C318" s="25">
        <v>683.97931999999173</v>
      </c>
      <c r="D318" s="23">
        <f t="shared" si="9"/>
        <v>6.8397931999999173</v>
      </c>
    </row>
    <row r="319" spans="1:4">
      <c r="A319" s="29">
        <f t="shared" si="8"/>
        <v>344.37623963747888</v>
      </c>
      <c r="B319" s="28">
        <v>3443.7623963747888</v>
      </c>
      <c r="C319" s="25">
        <v>584.80698999999379</v>
      </c>
      <c r="D319" s="23">
        <f t="shared" si="9"/>
        <v>5.8480698999999383</v>
      </c>
    </row>
    <row r="320" spans="1:4">
      <c r="A320" s="29">
        <f t="shared" si="8"/>
        <v>345.46260001488417</v>
      </c>
      <c r="B320" s="28">
        <v>3454.6260001488417</v>
      </c>
      <c r="C320" s="25">
        <v>485.63465999999585</v>
      </c>
      <c r="D320" s="23">
        <f t="shared" si="9"/>
        <v>4.8563465999999584</v>
      </c>
    </row>
    <row r="321" spans="1:4">
      <c r="A321" s="29">
        <f t="shared" si="8"/>
        <v>346.54896039228947</v>
      </c>
      <c r="B321" s="27">
        <v>3465.4896039228947</v>
      </c>
      <c r="C321">
        <v>386.46232999999791</v>
      </c>
      <c r="D321" s="23">
        <f t="shared" si="9"/>
        <v>3.864623299999979</v>
      </c>
    </row>
    <row r="322" spans="1:4">
      <c r="A322" s="29">
        <f t="shared" si="8"/>
        <v>347.63532076969477</v>
      </c>
      <c r="B322" s="27">
        <v>3476.3532076969477</v>
      </c>
      <c r="C322">
        <v>287.29000000000002</v>
      </c>
      <c r="D322" s="23">
        <f t="shared" si="9"/>
        <v>2.8729</v>
      </c>
    </row>
    <row r="323" spans="1:4">
      <c r="A323" s="29">
        <f t="shared" ref="A323:A328" si="10">$B323/10</f>
        <v>348.72168114710007</v>
      </c>
      <c r="B323" s="27">
        <v>3487.2168114710007</v>
      </c>
      <c r="C323">
        <v>241.08833333333334</v>
      </c>
      <c r="D323" s="23">
        <f t="shared" ref="D323:D328" si="11">$C323/100</f>
        <v>2.4108833333333335</v>
      </c>
    </row>
    <row r="324" spans="1:4">
      <c r="A324" s="29">
        <f t="shared" si="10"/>
        <v>349.80804152450537</v>
      </c>
      <c r="B324" s="27">
        <v>3498.0804152450537</v>
      </c>
      <c r="C324">
        <v>194.88666666666666</v>
      </c>
      <c r="D324" s="23">
        <f t="shared" si="11"/>
        <v>1.9488666666666665</v>
      </c>
    </row>
    <row r="325" spans="1:4">
      <c r="A325" s="29">
        <f t="shared" si="10"/>
        <v>350.89440190191067</v>
      </c>
      <c r="B325" s="27">
        <v>3508.9440190191067</v>
      </c>
      <c r="C325">
        <v>148.68499999999997</v>
      </c>
      <c r="D325" s="23">
        <f t="shared" si="11"/>
        <v>1.4868499999999998</v>
      </c>
    </row>
    <row r="326" spans="1:4">
      <c r="A326" s="29">
        <f t="shared" si="10"/>
        <v>351.98076227931597</v>
      </c>
      <c r="B326" s="27">
        <v>3519.8076227931597</v>
      </c>
      <c r="C326">
        <v>102.48333333333329</v>
      </c>
      <c r="D326" s="23">
        <f t="shared" si="11"/>
        <v>1.0248333333333328</v>
      </c>
    </row>
    <row r="327" spans="1:4">
      <c r="A327" s="29">
        <f t="shared" si="10"/>
        <v>353.06712265672127</v>
      </c>
      <c r="B327" s="27">
        <v>3530.6712265672127</v>
      </c>
      <c r="C327">
        <v>56.281666666666617</v>
      </c>
      <c r="D327" s="23">
        <f t="shared" si="11"/>
        <v>0.56281666666666619</v>
      </c>
    </row>
    <row r="328" spans="1:4">
      <c r="A328" s="29">
        <f t="shared" si="10"/>
        <v>354.15348303412657</v>
      </c>
      <c r="B328" s="27">
        <v>3541.5348303412657</v>
      </c>
      <c r="C328">
        <v>10.08</v>
      </c>
      <c r="D328" s="23">
        <f t="shared" si="11"/>
        <v>0.1008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FE34-475F-4477-81CD-E980DCEC016B}">
  <sheetPr>
    <tabColor rgb="FFFF0000"/>
  </sheetPr>
  <dimension ref="A1:D680"/>
  <sheetViews>
    <sheetView workbookViewId="0">
      <selection activeCell="C30" sqref="C30"/>
    </sheetView>
  </sheetViews>
  <sheetFormatPr baseColWidth="10" defaultColWidth="11.3984375" defaultRowHeight="14.25"/>
  <sheetData>
    <row r="1" spans="1:4">
      <c r="A1" t="s">
        <v>0</v>
      </c>
      <c r="B1" s="27" t="s">
        <v>1</v>
      </c>
      <c r="C1" t="s">
        <v>2</v>
      </c>
      <c r="D1" t="s">
        <v>3</v>
      </c>
    </row>
    <row r="2" spans="1:4">
      <c r="A2" s="29">
        <v>0</v>
      </c>
      <c r="B2">
        <v>0</v>
      </c>
      <c r="C2">
        <v>34535</v>
      </c>
      <c r="D2" s="23">
        <f>$C2/100</f>
        <v>345.35</v>
      </c>
    </row>
    <row r="3" spans="1:4">
      <c r="A3" s="29">
        <f t="shared" ref="A3:A66" si="0">$B3/10</f>
        <v>1.0863603774052961</v>
      </c>
      <c r="B3">
        <v>10.863603774052962</v>
      </c>
      <c r="C3">
        <v>34533</v>
      </c>
      <c r="D3" s="23">
        <f t="shared" ref="D3:D66" si="1">$C3/100</f>
        <v>345.33</v>
      </c>
    </row>
    <row r="4" spans="1:4">
      <c r="A4" s="29">
        <f t="shared" si="0"/>
        <v>2.1727207548105922</v>
      </c>
      <c r="B4">
        <v>21.727207548105923</v>
      </c>
      <c r="C4">
        <v>34531</v>
      </c>
      <c r="D4" s="23">
        <f t="shared" si="1"/>
        <v>345.31</v>
      </c>
    </row>
    <row r="5" spans="1:4">
      <c r="A5" s="29">
        <f t="shared" si="0"/>
        <v>3.2590811322158886</v>
      </c>
      <c r="B5">
        <v>32.590811322158885</v>
      </c>
      <c r="C5">
        <v>34529</v>
      </c>
      <c r="D5" s="23">
        <f t="shared" si="1"/>
        <v>345.29</v>
      </c>
    </row>
    <row r="6" spans="1:4">
      <c r="A6" s="29">
        <f t="shared" si="0"/>
        <v>4.3454415096211845</v>
      </c>
      <c r="B6">
        <v>43.454415096211847</v>
      </c>
      <c r="C6">
        <v>34527</v>
      </c>
      <c r="D6" s="23">
        <f t="shared" si="1"/>
        <v>345.27</v>
      </c>
    </row>
    <row r="7" spans="1:4">
      <c r="A7" s="29">
        <f t="shared" si="0"/>
        <v>5.4318018870264808</v>
      </c>
      <c r="B7">
        <v>54.318018870264808</v>
      </c>
      <c r="C7">
        <v>34525</v>
      </c>
      <c r="D7" s="23">
        <f t="shared" si="1"/>
        <v>345.25</v>
      </c>
    </row>
    <row r="8" spans="1:4">
      <c r="A8" s="29">
        <f t="shared" si="0"/>
        <v>6.5181622644317772</v>
      </c>
      <c r="B8">
        <v>65.18162264431777</v>
      </c>
      <c r="C8">
        <v>34523</v>
      </c>
      <c r="D8" s="23">
        <f t="shared" si="1"/>
        <v>345.23</v>
      </c>
    </row>
    <row r="9" spans="1:4">
      <c r="A9" s="29">
        <f t="shared" si="0"/>
        <v>7.6045226418370735</v>
      </c>
      <c r="B9">
        <v>76.045226418370731</v>
      </c>
      <c r="C9">
        <v>34521</v>
      </c>
      <c r="D9" s="23">
        <f t="shared" si="1"/>
        <v>345.21</v>
      </c>
    </row>
    <row r="10" spans="1:4">
      <c r="A10" s="29">
        <f t="shared" si="0"/>
        <v>8.6908830192423689</v>
      </c>
      <c r="B10">
        <v>86.908830192423693</v>
      </c>
      <c r="C10">
        <v>34519</v>
      </c>
      <c r="D10" s="23">
        <f t="shared" si="1"/>
        <v>345.19</v>
      </c>
    </row>
    <row r="11" spans="1:4">
      <c r="A11" s="29">
        <f t="shared" si="0"/>
        <v>9.7772433966476662</v>
      </c>
      <c r="B11">
        <v>97.772433966476655</v>
      </c>
      <c r="C11">
        <v>34517</v>
      </c>
      <c r="D11" s="23">
        <f t="shared" si="1"/>
        <v>345.17</v>
      </c>
    </row>
    <row r="12" spans="1:4">
      <c r="A12" s="29">
        <f t="shared" si="0"/>
        <v>10.863603774052962</v>
      </c>
      <c r="B12">
        <v>108.63603774052962</v>
      </c>
      <c r="C12">
        <v>34515</v>
      </c>
      <c r="D12" s="23">
        <f t="shared" si="1"/>
        <v>345.15</v>
      </c>
    </row>
    <row r="13" spans="1:4">
      <c r="A13" s="29">
        <f t="shared" si="0"/>
        <v>11.949964151458257</v>
      </c>
      <c r="B13">
        <v>119.49964151458258</v>
      </c>
      <c r="C13">
        <v>34513.076000000001</v>
      </c>
      <c r="D13" s="23">
        <f t="shared" si="1"/>
        <v>345.13076000000001</v>
      </c>
    </row>
    <row r="14" spans="1:4">
      <c r="A14" s="29">
        <f t="shared" si="0"/>
        <v>13.036324528863554</v>
      </c>
      <c r="B14">
        <v>130.36324528863554</v>
      </c>
      <c r="C14">
        <v>34511.152000000002</v>
      </c>
      <c r="D14" s="23">
        <f t="shared" si="1"/>
        <v>345.11152000000004</v>
      </c>
    </row>
    <row r="15" spans="1:4">
      <c r="A15" s="29">
        <f t="shared" si="0"/>
        <v>14.12268490626885</v>
      </c>
      <c r="B15">
        <v>141.2268490626885</v>
      </c>
      <c r="C15">
        <v>34509.228000000003</v>
      </c>
      <c r="D15" s="23">
        <f t="shared" si="1"/>
        <v>345.09228000000002</v>
      </c>
    </row>
    <row r="16" spans="1:4">
      <c r="A16" s="29">
        <f t="shared" si="0"/>
        <v>15.209045283674147</v>
      </c>
      <c r="B16">
        <v>152.09045283674146</v>
      </c>
      <c r="C16">
        <v>34507.304000000004</v>
      </c>
      <c r="D16" s="23">
        <f t="shared" si="1"/>
        <v>345.07304000000005</v>
      </c>
    </row>
    <row r="17" spans="1:4">
      <c r="A17" s="29">
        <f t="shared" si="0"/>
        <v>16.295405661079442</v>
      </c>
      <c r="B17">
        <v>162.95405661079442</v>
      </c>
      <c r="C17">
        <v>34505.380000000005</v>
      </c>
      <c r="D17" s="23">
        <f t="shared" si="1"/>
        <v>345.05380000000002</v>
      </c>
    </row>
    <row r="18" spans="1:4">
      <c r="A18" s="29">
        <f t="shared" si="0"/>
        <v>17.381766038484738</v>
      </c>
      <c r="B18">
        <v>173.81766038484739</v>
      </c>
      <c r="C18">
        <v>34503.456000000006</v>
      </c>
      <c r="D18" s="23">
        <f t="shared" si="1"/>
        <v>345.03456000000006</v>
      </c>
    </row>
    <row r="19" spans="1:4">
      <c r="A19" s="29">
        <f t="shared" si="0"/>
        <v>18.468126415890033</v>
      </c>
      <c r="B19">
        <v>184.68126415890035</v>
      </c>
      <c r="C19">
        <v>34501.532000000007</v>
      </c>
      <c r="D19" s="23">
        <f t="shared" si="1"/>
        <v>345.01532000000009</v>
      </c>
    </row>
    <row r="20" spans="1:4">
      <c r="A20" s="29">
        <f t="shared" si="0"/>
        <v>19.554486793295332</v>
      </c>
      <c r="B20">
        <v>195.54486793295331</v>
      </c>
      <c r="C20">
        <v>34499.608000000007</v>
      </c>
      <c r="D20" s="23">
        <f t="shared" si="1"/>
        <v>344.99608000000006</v>
      </c>
    </row>
    <row r="21" spans="1:4">
      <c r="A21" s="29">
        <f t="shared" si="0"/>
        <v>20.640847170700628</v>
      </c>
      <c r="B21">
        <v>206.40847170700627</v>
      </c>
      <c r="C21">
        <v>34497.684000000008</v>
      </c>
      <c r="D21" s="23">
        <f t="shared" si="1"/>
        <v>344.9768400000001</v>
      </c>
    </row>
    <row r="22" spans="1:4">
      <c r="A22" s="29">
        <f t="shared" si="0"/>
        <v>21.727207548105923</v>
      </c>
      <c r="B22">
        <v>217.27207548105923</v>
      </c>
      <c r="C22">
        <v>34495.760000000002</v>
      </c>
      <c r="D22" s="23">
        <f t="shared" si="1"/>
        <v>344.95760000000001</v>
      </c>
    </row>
    <row r="23" spans="1:4">
      <c r="A23" s="29">
        <f t="shared" si="0"/>
        <v>22.813567925511219</v>
      </c>
      <c r="B23">
        <v>228.13567925511219</v>
      </c>
      <c r="C23">
        <v>34493.798000000003</v>
      </c>
      <c r="D23" s="23">
        <f t="shared" si="1"/>
        <v>344.93798000000004</v>
      </c>
    </row>
    <row r="24" spans="1:4">
      <c r="A24" s="29">
        <f t="shared" si="0"/>
        <v>23.899928302916514</v>
      </c>
      <c r="B24">
        <v>238.99928302916516</v>
      </c>
      <c r="C24">
        <v>34491.836000000003</v>
      </c>
      <c r="D24" s="23">
        <f t="shared" si="1"/>
        <v>344.91836000000001</v>
      </c>
    </row>
    <row r="25" spans="1:4">
      <c r="A25" s="29">
        <f t="shared" si="0"/>
        <v>24.986288680321813</v>
      </c>
      <c r="B25">
        <v>249.86288680321812</v>
      </c>
      <c r="C25">
        <v>34489.874000000003</v>
      </c>
      <c r="D25" s="23">
        <f t="shared" si="1"/>
        <v>344.89874000000003</v>
      </c>
    </row>
    <row r="26" spans="1:4">
      <c r="A26" s="29">
        <f t="shared" si="0"/>
        <v>26.072649057727109</v>
      </c>
      <c r="B26">
        <v>260.72649057727108</v>
      </c>
      <c r="C26">
        <v>34487.912000000004</v>
      </c>
      <c r="D26" s="23">
        <f t="shared" si="1"/>
        <v>344.87912000000006</v>
      </c>
    </row>
    <row r="27" spans="1:4">
      <c r="A27" s="29">
        <f t="shared" si="0"/>
        <v>27.159009435132408</v>
      </c>
      <c r="B27">
        <v>271.59009435132407</v>
      </c>
      <c r="C27">
        <v>34485.950000000004</v>
      </c>
      <c r="D27" s="23">
        <f t="shared" si="1"/>
        <v>344.85950000000003</v>
      </c>
    </row>
    <row r="28" spans="1:4">
      <c r="A28" s="29">
        <f t="shared" si="0"/>
        <v>28.2453698125377</v>
      </c>
      <c r="B28">
        <v>282.453698125377</v>
      </c>
      <c r="C28">
        <v>34483.988000000005</v>
      </c>
      <c r="D28" s="23">
        <f t="shared" si="1"/>
        <v>344.83988000000005</v>
      </c>
    </row>
    <row r="29" spans="1:4">
      <c r="A29" s="29">
        <f t="shared" si="0"/>
        <v>29.331730189942999</v>
      </c>
      <c r="B29">
        <v>293.31730189942999</v>
      </c>
      <c r="C29">
        <v>34482.026000000005</v>
      </c>
      <c r="D29" s="23">
        <f t="shared" si="1"/>
        <v>344.82026000000008</v>
      </c>
    </row>
    <row r="30" spans="1:4">
      <c r="A30" s="29">
        <f t="shared" si="0"/>
        <v>30.418090567348294</v>
      </c>
      <c r="B30">
        <v>304.18090567348293</v>
      </c>
      <c r="C30">
        <v>34480.064000000006</v>
      </c>
      <c r="D30" s="23">
        <f t="shared" si="1"/>
        <v>344.80064000000004</v>
      </c>
    </row>
    <row r="31" spans="1:4">
      <c r="A31" s="29">
        <f t="shared" si="0"/>
        <v>31.504450944753593</v>
      </c>
      <c r="B31">
        <v>315.04450944753592</v>
      </c>
      <c r="C31">
        <v>34478.102000000006</v>
      </c>
      <c r="D31" s="23">
        <f t="shared" si="1"/>
        <v>344.78102000000007</v>
      </c>
    </row>
    <row r="32" spans="1:4">
      <c r="A32" s="29">
        <f t="shared" si="0"/>
        <v>32.590811322158885</v>
      </c>
      <c r="B32">
        <v>325.90811322158885</v>
      </c>
      <c r="C32">
        <v>34476.14</v>
      </c>
      <c r="D32" s="23">
        <f t="shared" si="1"/>
        <v>344.76139999999998</v>
      </c>
    </row>
    <row r="33" spans="1:4">
      <c r="A33" s="29">
        <f t="shared" si="0"/>
        <v>33.677171699564184</v>
      </c>
      <c r="B33">
        <v>336.77171699564184</v>
      </c>
      <c r="C33">
        <v>34474.176999999996</v>
      </c>
      <c r="D33" s="23">
        <f t="shared" si="1"/>
        <v>344.74176999999997</v>
      </c>
    </row>
    <row r="34" spans="1:4">
      <c r="A34" s="29">
        <f t="shared" si="0"/>
        <v>34.763532076969476</v>
      </c>
      <c r="B34">
        <v>347.63532076969477</v>
      </c>
      <c r="C34">
        <v>34472.213999999993</v>
      </c>
      <c r="D34" s="23">
        <f t="shared" si="1"/>
        <v>344.72213999999991</v>
      </c>
    </row>
    <row r="35" spans="1:4">
      <c r="A35" s="29">
        <f t="shared" si="0"/>
        <v>35.849892454374775</v>
      </c>
      <c r="B35">
        <v>358.49892454374776</v>
      </c>
      <c r="C35">
        <v>34470.250999999989</v>
      </c>
      <c r="D35" s="23">
        <f t="shared" si="1"/>
        <v>344.7025099999999</v>
      </c>
    </row>
    <row r="36" spans="1:4">
      <c r="A36" s="29">
        <f t="shared" si="0"/>
        <v>36.936252831780067</v>
      </c>
      <c r="B36">
        <v>369.3625283178007</v>
      </c>
      <c r="C36">
        <v>34468.287999999986</v>
      </c>
      <c r="D36" s="23">
        <f t="shared" si="1"/>
        <v>344.68287999999984</v>
      </c>
    </row>
    <row r="37" spans="1:4">
      <c r="A37" s="29">
        <f t="shared" si="0"/>
        <v>38.022613209185366</v>
      </c>
      <c r="B37">
        <v>380.22613209185369</v>
      </c>
      <c r="C37">
        <v>34466.324999999983</v>
      </c>
      <c r="D37" s="23">
        <f t="shared" si="1"/>
        <v>344.66324999999983</v>
      </c>
    </row>
    <row r="38" spans="1:4">
      <c r="A38" s="29">
        <f t="shared" si="0"/>
        <v>39.108973586590665</v>
      </c>
      <c r="B38">
        <v>391.08973586590662</v>
      </c>
      <c r="C38">
        <v>34464.361999999979</v>
      </c>
      <c r="D38" s="23">
        <f t="shared" si="1"/>
        <v>344.64361999999977</v>
      </c>
    </row>
    <row r="39" spans="1:4">
      <c r="A39" s="29">
        <f t="shared" si="0"/>
        <v>40.195333963995964</v>
      </c>
      <c r="B39">
        <v>401.95333963995961</v>
      </c>
      <c r="C39">
        <v>34462.398999999976</v>
      </c>
      <c r="D39" s="23">
        <f t="shared" si="1"/>
        <v>344.62398999999976</v>
      </c>
    </row>
    <row r="40" spans="1:4">
      <c r="A40" s="29">
        <f t="shared" si="0"/>
        <v>41.281694341401256</v>
      </c>
      <c r="B40">
        <v>412.81694341401254</v>
      </c>
      <c r="C40">
        <v>34460.435999999972</v>
      </c>
      <c r="D40" s="23">
        <f t="shared" si="1"/>
        <v>344.6043599999997</v>
      </c>
    </row>
    <row r="41" spans="1:4">
      <c r="A41" s="29">
        <f t="shared" si="0"/>
        <v>42.368054718806555</v>
      </c>
      <c r="B41">
        <v>423.68054718806553</v>
      </c>
      <c r="C41">
        <v>34458.472999999969</v>
      </c>
      <c r="D41" s="23">
        <f t="shared" si="1"/>
        <v>344.58472999999969</v>
      </c>
    </row>
    <row r="42" spans="1:4">
      <c r="A42" s="29">
        <f t="shared" si="0"/>
        <v>43.454415096211847</v>
      </c>
      <c r="B42">
        <v>434.54415096211847</v>
      </c>
      <c r="C42">
        <v>34456.51</v>
      </c>
      <c r="D42" s="23">
        <f t="shared" si="1"/>
        <v>344.56510000000003</v>
      </c>
    </row>
    <row r="43" spans="1:4">
      <c r="A43" s="29">
        <f t="shared" si="0"/>
        <v>44.540775473617146</v>
      </c>
      <c r="B43">
        <v>445.40775473617146</v>
      </c>
      <c r="C43">
        <v>34454.537000000004</v>
      </c>
      <c r="D43" s="23">
        <f t="shared" si="1"/>
        <v>344.54537000000005</v>
      </c>
    </row>
    <row r="44" spans="1:4">
      <c r="A44" s="29">
        <f t="shared" si="0"/>
        <v>45.627135851022437</v>
      </c>
      <c r="B44">
        <v>456.27135851022439</v>
      </c>
      <c r="C44">
        <v>34452.564000000006</v>
      </c>
      <c r="D44" s="23">
        <f t="shared" si="1"/>
        <v>344.52564000000007</v>
      </c>
    </row>
    <row r="45" spans="1:4">
      <c r="A45" s="29">
        <f t="shared" si="0"/>
        <v>46.713496228427736</v>
      </c>
      <c r="B45">
        <v>467.13496228427738</v>
      </c>
      <c r="C45">
        <v>34450.591000000008</v>
      </c>
      <c r="D45" s="23">
        <f t="shared" si="1"/>
        <v>344.50591000000009</v>
      </c>
    </row>
    <row r="46" spans="1:4">
      <c r="A46" s="29">
        <f t="shared" si="0"/>
        <v>47.799856605833028</v>
      </c>
      <c r="B46">
        <v>477.99856605833031</v>
      </c>
      <c r="C46">
        <v>34448.618000000009</v>
      </c>
      <c r="D46" s="23">
        <f t="shared" si="1"/>
        <v>344.4861800000001</v>
      </c>
    </row>
    <row r="47" spans="1:4">
      <c r="A47" s="29">
        <f t="shared" si="0"/>
        <v>48.886216983238327</v>
      </c>
      <c r="B47">
        <v>488.8621698323833</v>
      </c>
      <c r="C47">
        <v>34446.645000000011</v>
      </c>
      <c r="D47" s="23">
        <f t="shared" si="1"/>
        <v>344.46645000000012</v>
      </c>
    </row>
    <row r="48" spans="1:4">
      <c r="A48" s="29">
        <f t="shared" si="0"/>
        <v>49.972577360643626</v>
      </c>
      <c r="B48">
        <v>499.72577360643623</v>
      </c>
      <c r="C48">
        <v>34444.672000000013</v>
      </c>
      <c r="D48" s="23">
        <f t="shared" si="1"/>
        <v>344.44672000000014</v>
      </c>
    </row>
    <row r="49" spans="1:4">
      <c r="A49" s="29">
        <f t="shared" si="0"/>
        <v>51.058937738048925</v>
      </c>
      <c r="B49">
        <v>510.58937738048922</v>
      </c>
      <c r="C49">
        <v>34442.699000000015</v>
      </c>
      <c r="D49" s="23">
        <f t="shared" si="1"/>
        <v>344.42699000000016</v>
      </c>
    </row>
    <row r="50" spans="1:4">
      <c r="A50" s="29">
        <f t="shared" si="0"/>
        <v>52.145298115454217</v>
      </c>
      <c r="B50">
        <v>521.45298115454216</v>
      </c>
      <c r="C50">
        <v>34440.726000000017</v>
      </c>
      <c r="D50" s="23">
        <f t="shared" si="1"/>
        <v>344.40726000000018</v>
      </c>
    </row>
    <row r="51" spans="1:4">
      <c r="A51" s="29">
        <f t="shared" si="0"/>
        <v>53.231658492859516</v>
      </c>
      <c r="B51">
        <v>532.31658492859515</v>
      </c>
      <c r="C51">
        <v>34438.753000000019</v>
      </c>
      <c r="D51" s="23">
        <f t="shared" si="1"/>
        <v>344.3875300000002</v>
      </c>
    </row>
    <row r="52" spans="1:4">
      <c r="A52" s="29">
        <f t="shared" si="0"/>
        <v>54.318018870264815</v>
      </c>
      <c r="B52">
        <v>543.18018870264814</v>
      </c>
      <c r="C52">
        <v>34436.78</v>
      </c>
      <c r="D52" s="23">
        <f t="shared" si="1"/>
        <v>344.36779999999999</v>
      </c>
    </row>
    <row r="53" spans="1:4">
      <c r="A53" s="29">
        <f t="shared" si="0"/>
        <v>55.4043792476701</v>
      </c>
      <c r="B53">
        <v>554.04379247670101</v>
      </c>
      <c r="C53">
        <v>34434.178</v>
      </c>
      <c r="D53" s="23">
        <f t="shared" si="1"/>
        <v>344.34177999999997</v>
      </c>
    </row>
    <row r="54" spans="1:4">
      <c r="A54" s="29">
        <f t="shared" si="0"/>
        <v>56.490739625075399</v>
      </c>
      <c r="B54">
        <v>564.907396250754</v>
      </c>
      <c r="C54">
        <v>34431.576000000001</v>
      </c>
      <c r="D54" s="23">
        <f t="shared" si="1"/>
        <v>344.31576000000001</v>
      </c>
    </row>
    <row r="55" spans="1:4">
      <c r="A55" s="29">
        <f t="shared" si="0"/>
        <v>57.577100002480698</v>
      </c>
      <c r="B55">
        <v>575.77100002480699</v>
      </c>
      <c r="C55">
        <v>34428.974000000002</v>
      </c>
      <c r="D55" s="23">
        <f t="shared" si="1"/>
        <v>344.28973999999999</v>
      </c>
    </row>
    <row r="56" spans="1:4">
      <c r="A56" s="29">
        <f t="shared" si="0"/>
        <v>58.663460379885997</v>
      </c>
      <c r="B56">
        <v>586.63460379885998</v>
      </c>
      <c r="C56">
        <v>34426.372000000003</v>
      </c>
      <c r="D56" s="23">
        <f t="shared" si="1"/>
        <v>344.26372000000003</v>
      </c>
    </row>
    <row r="57" spans="1:4">
      <c r="A57" s="29">
        <f t="shared" si="0"/>
        <v>59.749820757291289</v>
      </c>
      <c r="B57">
        <v>597.49820757291286</v>
      </c>
      <c r="C57">
        <v>34423.770000000004</v>
      </c>
      <c r="D57" s="23">
        <f t="shared" si="1"/>
        <v>344.23770000000002</v>
      </c>
    </row>
    <row r="58" spans="1:4">
      <c r="A58" s="29">
        <f t="shared" si="0"/>
        <v>60.836181134696588</v>
      </c>
      <c r="B58">
        <v>608.36181134696585</v>
      </c>
      <c r="C58">
        <v>34421.168000000005</v>
      </c>
      <c r="D58" s="23">
        <f t="shared" si="1"/>
        <v>344.21168000000006</v>
      </c>
    </row>
    <row r="59" spans="1:4">
      <c r="A59" s="29">
        <f t="shared" si="0"/>
        <v>61.922541512101887</v>
      </c>
      <c r="B59">
        <v>619.22541512101884</v>
      </c>
      <c r="C59">
        <v>34418.566000000006</v>
      </c>
      <c r="D59" s="23">
        <f t="shared" si="1"/>
        <v>344.18566000000004</v>
      </c>
    </row>
    <row r="60" spans="1:4">
      <c r="A60" s="29">
        <f t="shared" si="0"/>
        <v>63.008901889507186</v>
      </c>
      <c r="B60">
        <v>630.08901889507183</v>
      </c>
      <c r="C60">
        <v>34415.964000000007</v>
      </c>
      <c r="D60" s="23">
        <f t="shared" si="1"/>
        <v>344.15964000000008</v>
      </c>
    </row>
    <row r="61" spans="1:4">
      <c r="A61" s="29">
        <f t="shared" si="0"/>
        <v>64.095262266912471</v>
      </c>
      <c r="B61">
        <v>640.95262266912471</v>
      </c>
      <c r="C61">
        <v>34413.362000000008</v>
      </c>
      <c r="D61" s="23">
        <f t="shared" si="1"/>
        <v>344.13362000000006</v>
      </c>
    </row>
    <row r="62" spans="1:4">
      <c r="A62" s="29">
        <f t="shared" si="0"/>
        <v>65.18162264431777</v>
      </c>
      <c r="B62">
        <v>651.8162264431777</v>
      </c>
      <c r="C62">
        <v>34410.76</v>
      </c>
      <c r="D62" s="23">
        <f t="shared" si="1"/>
        <v>344.10760000000005</v>
      </c>
    </row>
    <row r="63" spans="1:4">
      <c r="A63" s="29">
        <f t="shared" si="0"/>
        <v>66.267983021723069</v>
      </c>
      <c r="B63">
        <v>662.67983021723069</v>
      </c>
      <c r="C63">
        <v>34406.103999999999</v>
      </c>
      <c r="D63" s="23">
        <f t="shared" si="1"/>
        <v>344.06103999999999</v>
      </c>
    </row>
    <row r="64" spans="1:4">
      <c r="A64" s="29">
        <f t="shared" si="0"/>
        <v>67.354343399128368</v>
      </c>
      <c r="B64">
        <v>673.54343399128368</v>
      </c>
      <c r="C64">
        <v>34401.447999999997</v>
      </c>
      <c r="D64" s="23">
        <f t="shared" si="1"/>
        <v>344.01447999999999</v>
      </c>
    </row>
    <row r="65" spans="1:4">
      <c r="A65" s="29">
        <f t="shared" si="0"/>
        <v>68.440703776533653</v>
      </c>
      <c r="B65">
        <v>684.40703776533655</v>
      </c>
      <c r="C65">
        <v>34396.791999999994</v>
      </c>
      <c r="D65" s="23">
        <f t="shared" si="1"/>
        <v>343.96791999999994</v>
      </c>
    </row>
    <row r="66" spans="1:4">
      <c r="A66" s="29">
        <f t="shared" si="0"/>
        <v>69.527064153938952</v>
      </c>
      <c r="B66">
        <v>695.27064153938954</v>
      </c>
      <c r="C66">
        <v>34392.135999999991</v>
      </c>
      <c r="D66" s="23">
        <f t="shared" si="1"/>
        <v>343.92135999999994</v>
      </c>
    </row>
    <row r="67" spans="1:4">
      <c r="A67" s="29">
        <f t="shared" ref="A67:A130" si="2">$B67/10</f>
        <v>70.613424531344251</v>
      </c>
      <c r="B67">
        <v>706.13424531344253</v>
      </c>
      <c r="C67">
        <v>34387.479999999989</v>
      </c>
      <c r="D67" s="23">
        <f t="shared" ref="D67:D130" si="3">$C67/100</f>
        <v>343.87479999999988</v>
      </c>
    </row>
    <row r="68" spans="1:4">
      <c r="A68" s="29">
        <f t="shared" si="2"/>
        <v>71.69978490874955</v>
      </c>
      <c r="B68">
        <v>716.99784908749552</v>
      </c>
      <c r="C68">
        <v>34382.823999999986</v>
      </c>
      <c r="D68" s="23">
        <f t="shared" si="3"/>
        <v>343.82823999999988</v>
      </c>
    </row>
    <row r="69" spans="1:4">
      <c r="A69" s="29">
        <f t="shared" si="2"/>
        <v>72.786145286154834</v>
      </c>
      <c r="B69">
        <v>727.8614528615484</v>
      </c>
      <c r="C69">
        <v>34378.167999999983</v>
      </c>
      <c r="D69" s="23">
        <f t="shared" si="3"/>
        <v>343.78167999999982</v>
      </c>
    </row>
    <row r="70" spans="1:4">
      <c r="A70" s="29">
        <f t="shared" si="2"/>
        <v>73.872505663560133</v>
      </c>
      <c r="B70">
        <v>738.72505663560139</v>
      </c>
      <c r="C70">
        <v>34373.511999999981</v>
      </c>
      <c r="D70" s="23">
        <f t="shared" si="3"/>
        <v>343.73511999999982</v>
      </c>
    </row>
    <row r="71" spans="1:4">
      <c r="A71" s="29">
        <f t="shared" si="2"/>
        <v>74.958866040965432</v>
      </c>
      <c r="B71">
        <v>749.58866040965438</v>
      </c>
      <c r="C71">
        <v>34368.855999999978</v>
      </c>
      <c r="D71" s="23">
        <f t="shared" si="3"/>
        <v>343.68855999999977</v>
      </c>
    </row>
    <row r="72" spans="1:4">
      <c r="A72" s="29">
        <f t="shared" si="2"/>
        <v>76.045226418370731</v>
      </c>
      <c r="B72">
        <v>760.45226418370737</v>
      </c>
      <c r="C72">
        <v>34364.199999999997</v>
      </c>
      <c r="D72" s="23">
        <f t="shared" si="3"/>
        <v>343.642</v>
      </c>
    </row>
    <row r="73" spans="1:4">
      <c r="A73" s="29">
        <f t="shared" si="2"/>
        <v>77.13158679577603</v>
      </c>
      <c r="B73">
        <v>771.31586795776036</v>
      </c>
      <c r="C73">
        <v>34356.636999999995</v>
      </c>
      <c r="D73" s="23">
        <f t="shared" si="3"/>
        <v>343.56636999999995</v>
      </c>
    </row>
    <row r="74" spans="1:4">
      <c r="A74" s="29">
        <f t="shared" si="2"/>
        <v>78.217947173181329</v>
      </c>
      <c r="B74">
        <v>782.17947173181324</v>
      </c>
      <c r="C74">
        <v>34349.073999999993</v>
      </c>
      <c r="D74" s="23">
        <f t="shared" si="3"/>
        <v>343.49073999999996</v>
      </c>
    </row>
    <row r="75" spans="1:4">
      <c r="A75" s="29">
        <f t="shared" si="2"/>
        <v>79.304307550586628</v>
      </c>
      <c r="B75">
        <v>793.04307550586623</v>
      </c>
      <c r="C75">
        <v>34341.510999999991</v>
      </c>
      <c r="D75" s="23">
        <f t="shared" si="3"/>
        <v>343.41510999999991</v>
      </c>
    </row>
    <row r="76" spans="1:4">
      <c r="A76" s="29">
        <f t="shared" si="2"/>
        <v>80.390667927991927</v>
      </c>
      <c r="B76">
        <v>803.90667927991922</v>
      </c>
      <c r="C76">
        <v>34333.947999999989</v>
      </c>
      <c r="D76" s="23">
        <f t="shared" si="3"/>
        <v>343.33947999999987</v>
      </c>
    </row>
    <row r="77" spans="1:4">
      <c r="A77" s="29">
        <f t="shared" si="2"/>
        <v>81.477028305397226</v>
      </c>
      <c r="B77">
        <v>814.77028305397221</v>
      </c>
      <c r="C77">
        <v>34326.384999999987</v>
      </c>
      <c r="D77" s="23">
        <f t="shared" si="3"/>
        <v>343.26384999999988</v>
      </c>
    </row>
    <row r="78" spans="1:4">
      <c r="A78" s="29">
        <f t="shared" si="2"/>
        <v>82.563388682802511</v>
      </c>
      <c r="B78">
        <v>825.63388682802508</v>
      </c>
      <c r="C78">
        <v>34318.821999999986</v>
      </c>
      <c r="D78" s="23">
        <f t="shared" si="3"/>
        <v>343.18821999999983</v>
      </c>
    </row>
    <row r="79" spans="1:4">
      <c r="A79" s="29">
        <f t="shared" si="2"/>
        <v>83.64974906020781</v>
      </c>
      <c r="B79">
        <v>836.49749060207807</v>
      </c>
      <c r="C79">
        <v>34311.258999999984</v>
      </c>
      <c r="D79" s="23">
        <f t="shared" si="3"/>
        <v>343.11258999999984</v>
      </c>
    </row>
    <row r="80" spans="1:4">
      <c r="A80" s="29">
        <f t="shared" si="2"/>
        <v>84.736109437613109</v>
      </c>
      <c r="B80">
        <v>847.36109437613106</v>
      </c>
      <c r="C80">
        <v>34303.695999999982</v>
      </c>
      <c r="D80" s="23">
        <f t="shared" si="3"/>
        <v>343.03695999999979</v>
      </c>
    </row>
    <row r="81" spans="1:4">
      <c r="A81" s="29">
        <f t="shared" si="2"/>
        <v>85.822469815018408</v>
      </c>
      <c r="B81">
        <v>858.22469815018405</v>
      </c>
      <c r="C81">
        <v>34296.13299999998</v>
      </c>
      <c r="D81" s="23">
        <f t="shared" si="3"/>
        <v>342.9613299999998</v>
      </c>
    </row>
    <row r="82" spans="1:4">
      <c r="A82" s="29">
        <f t="shared" si="2"/>
        <v>86.908830192423693</v>
      </c>
      <c r="B82">
        <v>869.08830192423693</v>
      </c>
      <c r="C82">
        <v>34288.57</v>
      </c>
      <c r="D82" s="23">
        <f t="shared" si="3"/>
        <v>342.88569999999999</v>
      </c>
    </row>
    <row r="83" spans="1:4">
      <c r="A83" s="29">
        <f t="shared" si="2"/>
        <v>87.995190569828992</v>
      </c>
      <c r="B83">
        <v>879.95190569828992</v>
      </c>
      <c r="C83">
        <v>34278.019</v>
      </c>
      <c r="D83" s="23">
        <f t="shared" si="3"/>
        <v>342.78019</v>
      </c>
    </row>
    <row r="84" spans="1:4">
      <c r="A84" s="29">
        <f t="shared" si="2"/>
        <v>89.081550947234291</v>
      </c>
      <c r="B84">
        <v>890.81550947234291</v>
      </c>
      <c r="C84">
        <v>34267.468000000001</v>
      </c>
      <c r="D84" s="23">
        <f t="shared" si="3"/>
        <v>342.67468000000002</v>
      </c>
    </row>
    <row r="85" spans="1:4">
      <c r="A85" s="29">
        <f t="shared" si="2"/>
        <v>90.16791132463959</v>
      </c>
      <c r="B85">
        <v>901.6791132463959</v>
      </c>
      <c r="C85">
        <v>34256.917000000001</v>
      </c>
      <c r="D85" s="23">
        <f t="shared" si="3"/>
        <v>342.56916999999999</v>
      </c>
    </row>
    <row r="86" spans="1:4">
      <c r="A86" s="29">
        <f t="shared" si="2"/>
        <v>91.254271702044875</v>
      </c>
      <c r="B86">
        <v>912.54271702044878</v>
      </c>
      <c r="C86">
        <v>34246.366000000002</v>
      </c>
      <c r="D86" s="23">
        <f t="shared" si="3"/>
        <v>342.46366</v>
      </c>
    </row>
    <row r="87" spans="1:4">
      <c r="A87" s="29">
        <f t="shared" si="2"/>
        <v>92.340632079450174</v>
      </c>
      <c r="B87">
        <v>923.40632079450177</v>
      </c>
      <c r="C87">
        <v>34235.815000000002</v>
      </c>
      <c r="D87" s="23">
        <f t="shared" si="3"/>
        <v>342.35815000000002</v>
      </c>
    </row>
    <row r="88" spans="1:4">
      <c r="A88" s="29">
        <f t="shared" si="2"/>
        <v>93.426992456855473</v>
      </c>
      <c r="B88">
        <v>934.26992456855476</v>
      </c>
      <c r="C88">
        <v>34225.264000000003</v>
      </c>
      <c r="D88" s="23">
        <f t="shared" si="3"/>
        <v>342.25264000000004</v>
      </c>
    </row>
    <row r="89" spans="1:4">
      <c r="A89" s="29">
        <f t="shared" si="2"/>
        <v>94.513352834260772</v>
      </c>
      <c r="B89">
        <v>945.13352834260775</v>
      </c>
      <c r="C89">
        <v>34214.713000000003</v>
      </c>
      <c r="D89" s="23">
        <f t="shared" si="3"/>
        <v>342.14713000000006</v>
      </c>
    </row>
    <row r="90" spans="1:4">
      <c r="A90" s="29">
        <f t="shared" si="2"/>
        <v>95.599713211666057</v>
      </c>
      <c r="B90">
        <v>955.99713211666062</v>
      </c>
      <c r="C90">
        <v>34204.162000000004</v>
      </c>
      <c r="D90" s="23">
        <f t="shared" si="3"/>
        <v>342.04162000000002</v>
      </c>
    </row>
    <row r="91" spans="1:4">
      <c r="A91" s="29">
        <f t="shared" si="2"/>
        <v>96.686073589071356</v>
      </c>
      <c r="B91">
        <v>966.86073589071361</v>
      </c>
      <c r="C91">
        <v>34193.611000000004</v>
      </c>
      <c r="D91" s="23">
        <f t="shared" si="3"/>
        <v>341.93611000000004</v>
      </c>
    </row>
    <row r="92" spans="1:4">
      <c r="A92" s="29">
        <f t="shared" si="2"/>
        <v>97.772433966476655</v>
      </c>
      <c r="B92">
        <v>977.7243396647666</v>
      </c>
      <c r="C92">
        <v>34183.06</v>
      </c>
      <c r="D92" s="23">
        <f t="shared" si="3"/>
        <v>341.8306</v>
      </c>
    </row>
    <row r="93" spans="1:4">
      <c r="A93" s="29">
        <f t="shared" si="2"/>
        <v>98.858794343881954</v>
      </c>
      <c r="B93">
        <v>988.58794343881959</v>
      </c>
      <c r="C93">
        <v>34169.062999999995</v>
      </c>
      <c r="D93" s="23">
        <f t="shared" si="3"/>
        <v>341.69062999999994</v>
      </c>
    </row>
    <row r="94" spans="1:4">
      <c r="A94" s="29">
        <f t="shared" si="2"/>
        <v>99.945154721287253</v>
      </c>
      <c r="B94">
        <v>999.45154721287247</v>
      </c>
      <c r="C94">
        <v>34155.065999999992</v>
      </c>
      <c r="D94" s="23">
        <f t="shared" si="3"/>
        <v>341.55065999999994</v>
      </c>
    </row>
    <row r="95" spans="1:4">
      <c r="A95" s="29">
        <f t="shared" si="2"/>
        <v>101.03151509869255</v>
      </c>
      <c r="B95">
        <v>1010.3151509869255</v>
      </c>
      <c r="C95">
        <v>34141.068999999989</v>
      </c>
      <c r="D95" s="23">
        <f t="shared" si="3"/>
        <v>341.41068999999987</v>
      </c>
    </row>
    <row r="96" spans="1:4">
      <c r="A96" s="29">
        <f t="shared" si="2"/>
        <v>102.11787547609785</v>
      </c>
      <c r="B96">
        <v>1021.1787547609784</v>
      </c>
      <c r="C96">
        <v>34127.071999999986</v>
      </c>
      <c r="D96" s="23">
        <f t="shared" si="3"/>
        <v>341.27071999999987</v>
      </c>
    </row>
    <row r="97" spans="1:4">
      <c r="A97" s="29">
        <f t="shared" si="2"/>
        <v>103.20423585350314</v>
      </c>
      <c r="B97">
        <v>1032.0423585350313</v>
      </c>
      <c r="C97">
        <v>34113.074999999983</v>
      </c>
      <c r="D97" s="23">
        <f t="shared" si="3"/>
        <v>341.13074999999981</v>
      </c>
    </row>
    <row r="98" spans="1:4">
      <c r="A98" s="29">
        <f t="shared" si="2"/>
        <v>104.29059623090843</v>
      </c>
      <c r="B98">
        <v>1042.9059623090843</v>
      </c>
      <c r="C98">
        <v>34099.07799999998</v>
      </c>
      <c r="D98" s="23">
        <f t="shared" si="3"/>
        <v>340.9907799999998</v>
      </c>
    </row>
    <row r="99" spans="1:4">
      <c r="A99" s="29">
        <f t="shared" si="2"/>
        <v>105.37695660831373</v>
      </c>
      <c r="B99">
        <v>1053.7695660831373</v>
      </c>
      <c r="C99">
        <v>34085.080999999976</v>
      </c>
      <c r="D99" s="23">
        <f t="shared" si="3"/>
        <v>340.85080999999974</v>
      </c>
    </row>
    <row r="100" spans="1:4">
      <c r="A100" s="29">
        <f t="shared" si="2"/>
        <v>106.46331698571903</v>
      </c>
      <c r="B100">
        <v>1064.6331698571903</v>
      </c>
      <c r="C100">
        <v>34071.083999999973</v>
      </c>
      <c r="D100" s="23">
        <f t="shared" si="3"/>
        <v>340.71083999999973</v>
      </c>
    </row>
    <row r="101" spans="1:4">
      <c r="A101" s="29">
        <f t="shared" si="2"/>
        <v>107.54967736312433</v>
      </c>
      <c r="B101">
        <v>1075.4967736312433</v>
      </c>
      <c r="C101">
        <v>34057.08699999997</v>
      </c>
      <c r="D101" s="23">
        <f t="shared" si="3"/>
        <v>340.57086999999973</v>
      </c>
    </row>
    <row r="102" spans="1:4">
      <c r="A102" s="29">
        <f t="shared" si="2"/>
        <v>108.63603774052963</v>
      </c>
      <c r="B102">
        <v>1086.3603774052963</v>
      </c>
      <c r="C102">
        <v>34043.089999999997</v>
      </c>
      <c r="D102" s="23">
        <f t="shared" si="3"/>
        <v>340.43089999999995</v>
      </c>
    </row>
    <row r="103" spans="1:4">
      <c r="A103" s="29">
        <f t="shared" si="2"/>
        <v>109.72239811793493</v>
      </c>
      <c r="B103">
        <v>1097.2239811793493</v>
      </c>
      <c r="C103">
        <v>34023.550300000003</v>
      </c>
      <c r="D103" s="23">
        <f t="shared" si="3"/>
        <v>340.23550300000005</v>
      </c>
    </row>
    <row r="104" spans="1:4">
      <c r="A104" s="29">
        <f t="shared" si="2"/>
        <v>110.8087584953402</v>
      </c>
      <c r="B104">
        <v>1108.087584953402</v>
      </c>
      <c r="C104">
        <v>34004.010600000009</v>
      </c>
      <c r="D104" s="23">
        <f t="shared" si="3"/>
        <v>340.04010600000009</v>
      </c>
    </row>
    <row r="105" spans="1:4">
      <c r="A105" s="29">
        <f t="shared" si="2"/>
        <v>111.8951188727455</v>
      </c>
      <c r="B105">
        <v>1118.951188727455</v>
      </c>
      <c r="C105">
        <v>33984.470900000015</v>
      </c>
      <c r="D105" s="23">
        <f t="shared" si="3"/>
        <v>339.84470900000014</v>
      </c>
    </row>
    <row r="106" spans="1:4">
      <c r="A106" s="29">
        <f t="shared" si="2"/>
        <v>112.9814792501508</v>
      </c>
      <c r="B106">
        <v>1129.814792501508</v>
      </c>
      <c r="C106">
        <v>33964.931200000021</v>
      </c>
      <c r="D106" s="23">
        <f t="shared" si="3"/>
        <v>339.64931200000024</v>
      </c>
    </row>
    <row r="107" spans="1:4">
      <c r="A107" s="29">
        <f t="shared" si="2"/>
        <v>114.0678396275561</v>
      </c>
      <c r="B107">
        <v>1140.678396275561</v>
      </c>
      <c r="C107">
        <v>33945.391500000027</v>
      </c>
      <c r="D107" s="23">
        <f t="shared" si="3"/>
        <v>339.45391500000028</v>
      </c>
    </row>
    <row r="108" spans="1:4">
      <c r="A108" s="29">
        <f t="shared" si="2"/>
        <v>115.1542000049614</v>
      </c>
      <c r="B108">
        <v>1151.542000049614</v>
      </c>
      <c r="C108">
        <v>33925.851800000033</v>
      </c>
      <c r="D108" s="23">
        <f t="shared" si="3"/>
        <v>339.25851800000032</v>
      </c>
    </row>
    <row r="109" spans="1:4">
      <c r="A109" s="29">
        <f t="shared" si="2"/>
        <v>116.2405603823667</v>
      </c>
      <c r="B109">
        <v>1162.405603823667</v>
      </c>
      <c r="C109">
        <v>33906.312100000039</v>
      </c>
      <c r="D109" s="23">
        <f t="shared" si="3"/>
        <v>339.06312100000036</v>
      </c>
    </row>
    <row r="110" spans="1:4">
      <c r="A110" s="29">
        <f t="shared" si="2"/>
        <v>117.32692075977199</v>
      </c>
      <c r="B110">
        <v>1173.26920759772</v>
      </c>
      <c r="C110">
        <v>33886.772400000045</v>
      </c>
      <c r="D110" s="23">
        <f t="shared" si="3"/>
        <v>338.86772400000046</v>
      </c>
    </row>
    <row r="111" spans="1:4">
      <c r="A111" s="29">
        <f t="shared" si="2"/>
        <v>118.41328113717729</v>
      </c>
      <c r="B111">
        <v>1184.132811371773</v>
      </c>
      <c r="C111">
        <v>33867.232700000051</v>
      </c>
      <c r="D111" s="23">
        <f t="shared" si="3"/>
        <v>338.67232700000051</v>
      </c>
    </row>
    <row r="112" spans="1:4">
      <c r="A112" s="29">
        <f t="shared" si="2"/>
        <v>119.49964151458258</v>
      </c>
      <c r="B112">
        <v>1194.9964151458257</v>
      </c>
      <c r="C112">
        <v>33861.69</v>
      </c>
      <c r="D112" s="23">
        <f t="shared" si="3"/>
        <v>338.61690000000004</v>
      </c>
    </row>
    <row r="113" spans="1:4">
      <c r="A113" s="29">
        <f t="shared" si="2"/>
        <v>120.58600189198788</v>
      </c>
      <c r="B113">
        <v>1205.8600189198787</v>
      </c>
      <c r="C113">
        <v>33838.365000000005</v>
      </c>
      <c r="D113" s="23">
        <f t="shared" si="3"/>
        <v>338.38365000000005</v>
      </c>
    </row>
    <row r="114" spans="1:4">
      <c r="A114" s="29">
        <f t="shared" si="2"/>
        <v>121.67236226939318</v>
      </c>
      <c r="B114">
        <v>1216.7236226939317</v>
      </c>
      <c r="C114">
        <v>33815.040000000008</v>
      </c>
      <c r="D114" s="23">
        <f t="shared" si="3"/>
        <v>338.1504000000001</v>
      </c>
    </row>
    <row r="115" spans="1:4">
      <c r="A115" s="29">
        <f t="shared" si="2"/>
        <v>122.75872264679847</v>
      </c>
      <c r="B115">
        <v>1227.5872264679847</v>
      </c>
      <c r="C115">
        <v>33791.715000000011</v>
      </c>
      <c r="D115" s="23">
        <f t="shared" si="3"/>
        <v>337.91715000000011</v>
      </c>
    </row>
    <row r="116" spans="1:4">
      <c r="A116" s="29">
        <f t="shared" si="2"/>
        <v>123.84508302420377</v>
      </c>
      <c r="B116">
        <v>1238.4508302420377</v>
      </c>
      <c r="C116">
        <v>33768.390000000014</v>
      </c>
      <c r="D116" s="23">
        <f t="shared" si="3"/>
        <v>337.68390000000016</v>
      </c>
    </row>
    <row r="117" spans="1:4">
      <c r="A117" s="29">
        <f t="shared" si="2"/>
        <v>124.93144340160907</v>
      </c>
      <c r="B117">
        <v>1249.3144340160907</v>
      </c>
      <c r="C117">
        <v>33745.065000000017</v>
      </c>
      <c r="D117" s="23">
        <f t="shared" si="3"/>
        <v>337.45065000000017</v>
      </c>
    </row>
    <row r="118" spans="1:4">
      <c r="A118" s="29">
        <f t="shared" si="2"/>
        <v>126.01780377901437</v>
      </c>
      <c r="B118">
        <v>1260.1780377901437</v>
      </c>
      <c r="C118">
        <v>33721.74000000002</v>
      </c>
      <c r="D118" s="23">
        <f t="shared" si="3"/>
        <v>337.21740000000023</v>
      </c>
    </row>
    <row r="119" spans="1:4">
      <c r="A119" s="29">
        <f t="shared" si="2"/>
        <v>127.10416415641967</v>
      </c>
      <c r="B119">
        <v>1271.0416415641967</v>
      </c>
      <c r="C119">
        <v>33698.415000000023</v>
      </c>
      <c r="D119" s="23">
        <f t="shared" si="3"/>
        <v>336.98415000000023</v>
      </c>
    </row>
    <row r="120" spans="1:4">
      <c r="A120" s="29">
        <f t="shared" si="2"/>
        <v>128.19052453382494</v>
      </c>
      <c r="B120">
        <v>1281.9052453382494</v>
      </c>
      <c r="C120">
        <v>33675.090000000026</v>
      </c>
      <c r="D120" s="23">
        <f t="shared" si="3"/>
        <v>336.75090000000023</v>
      </c>
    </row>
    <row r="121" spans="1:4">
      <c r="A121" s="29">
        <f t="shared" si="2"/>
        <v>129.27688491123024</v>
      </c>
      <c r="B121">
        <v>1292.7688491123024</v>
      </c>
      <c r="C121">
        <v>33651.765000000029</v>
      </c>
      <c r="D121" s="23">
        <f t="shared" si="3"/>
        <v>336.51765000000029</v>
      </c>
    </row>
    <row r="122" spans="1:4">
      <c r="A122" s="29">
        <f t="shared" si="2"/>
        <v>130.36324528863554</v>
      </c>
      <c r="B122">
        <v>1303.6324528863554</v>
      </c>
      <c r="C122">
        <v>33628.44</v>
      </c>
      <c r="D122" s="23">
        <f t="shared" si="3"/>
        <v>336.28440000000001</v>
      </c>
    </row>
    <row r="123" spans="1:4">
      <c r="A123" s="29">
        <f t="shared" si="2"/>
        <v>131.44960566604084</v>
      </c>
      <c r="B123">
        <v>1314.4960566604084</v>
      </c>
      <c r="C123">
        <v>33599.256000000001</v>
      </c>
      <c r="D123" s="23">
        <f t="shared" si="3"/>
        <v>335.99256000000003</v>
      </c>
    </row>
    <row r="124" spans="1:4">
      <c r="A124" s="29">
        <f t="shared" si="2"/>
        <v>132.53596604344614</v>
      </c>
      <c r="B124">
        <v>1325.3596604344614</v>
      </c>
      <c r="C124">
        <v>33570.072</v>
      </c>
      <c r="D124" s="23">
        <f t="shared" si="3"/>
        <v>335.70071999999999</v>
      </c>
    </row>
    <row r="125" spans="1:4">
      <c r="A125" s="29">
        <f t="shared" si="2"/>
        <v>133.62232642085144</v>
      </c>
      <c r="B125">
        <v>1336.2232642085144</v>
      </c>
      <c r="C125">
        <v>33540.887999999999</v>
      </c>
      <c r="D125" s="23">
        <f t="shared" si="3"/>
        <v>335.40888000000001</v>
      </c>
    </row>
    <row r="126" spans="1:4">
      <c r="A126" s="29">
        <f t="shared" si="2"/>
        <v>134.70868679825674</v>
      </c>
      <c r="B126">
        <v>1347.0868679825674</v>
      </c>
      <c r="C126">
        <v>33511.703999999998</v>
      </c>
      <c r="D126" s="23">
        <f t="shared" si="3"/>
        <v>335.11703999999997</v>
      </c>
    </row>
    <row r="127" spans="1:4">
      <c r="A127" s="29">
        <f t="shared" si="2"/>
        <v>135.79504717566203</v>
      </c>
      <c r="B127">
        <v>1357.9504717566203</v>
      </c>
      <c r="C127">
        <v>33482.519999999997</v>
      </c>
      <c r="D127" s="23">
        <f t="shared" si="3"/>
        <v>334.8252</v>
      </c>
    </row>
    <row r="128" spans="1:4">
      <c r="A128" s="29">
        <f t="shared" si="2"/>
        <v>136.88140755306731</v>
      </c>
      <c r="B128">
        <v>1368.8140755306731</v>
      </c>
      <c r="C128">
        <v>33453.335999999996</v>
      </c>
      <c r="D128" s="23">
        <f t="shared" si="3"/>
        <v>334.53335999999996</v>
      </c>
    </row>
    <row r="129" spans="1:4">
      <c r="A129" s="29">
        <f t="shared" si="2"/>
        <v>137.9677679304726</v>
      </c>
      <c r="B129">
        <v>1379.6776793047261</v>
      </c>
      <c r="C129">
        <v>33424.151999999995</v>
      </c>
      <c r="D129" s="23">
        <f t="shared" si="3"/>
        <v>334.24151999999992</v>
      </c>
    </row>
    <row r="130" spans="1:4">
      <c r="A130" s="29">
        <f t="shared" si="2"/>
        <v>139.0541283078779</v>
      </c>
      <c r="B130">
        <v>1390.5412830787791</v>
      </c>
      <c r="C130">
        <v>33394.967999999993</v>
      </c>
      <c r="D130" s="23">
        <f t="shared" si="3"/>
        <v>333.94967999999994</v>
      </c>
    </row>
    <row r="131" spans="1:4">
      <c r="A131" s="29">
        <f t="shared" ref="A131:A194" si="4">$B131/10</f>
        <v>140.1404886852832</v>
      </c>
      <c r="B131">
        <v>1401.4048868528321</v>
      </c>
      <c r="C131">
        <v>33365.783999999992</v>
      </c>
      <c r="D131" s="23">
        <f t="shared" ref="D131:D194" si="5">$C131/100</f>
        <v>333.65783999999991</v>
      </c>
    </row>
    <row r="132" spans="1:4">
      <c r="A132" s="29">
        <f t="shared" si="4"/>
        <v>141.2268490626885</v>
      </c>
      <c r="B132">
        <v>1412.2684906268851</v>
      </c>
      <c r="C132">
        <v>33336.6</v>
      </c>
      <c r="D132" s="23">
        <f t="shared" si="5"/>
        <v>333.36599999999999</v>
      </c>
    </row>
    <row r="133" spans="1:4">
      <c r="A133" s="29">
        <f t="shared" si="4"/>
        <v>142.3132094400938</v>
      </c>
      <c r="B133">
        <v>1423.1320944009381</v>
      </c>
      <c r="C133">
        <v>33301.190999999999</v>
      </c>
      <c r="D133" s="23">
        <f t="shared" si="5"/>
        <v>333.01191</v>
      </c>
    </row>
    <row r="134" spans="1:4">
      <c r="A134" s="29">
        <f t="shared" si="4"/>
        <v>143.3995698174991</v>
      </c>
      <c r="B134">
        <v>1433.995698174991</v>
      </c>
      <c r="C134">
        <v>33265.781999999999</v>
      </c>
      <c r="D134" s="23">
        <f t="shared" si="5"/>
        <v>332.65782000000002</v>
      </c>
    </row>
    <row r="135" spans="1:4">
      <c r="A135" s="29">
        <f t="shared" si="4"/>
        <v>144.4859301949044</v>
      </c>
      <c r="B135">
        <v>1444.859301949044</v>
      </c>
      <c r="C135">
        <v>33230.373</v>
      </c>
      <c r="D135" s="23">
        <f t="shared" si="5"/>
        <v>332.30372999999997</v>
      </c>
    </row>
    <row r="136" spans="1:4">
      <c r="A136" s="29">
        <f t="shared" si="4"/>
        <v>145.57229057230967</v>
      </c>
      <c r="B136">
        <v>1455.7229057230968</v>
      </c>
      <c r="C136">
        <v>33194.964</v>
      </c>
      <c r="D136" s="23">
        <f t="shared" si="5"/>
        <v>331.94963999999999</v>
      </c>
    </row>
    <row r="137" spans="1:4">
      <c r="A137" s="29">
        <f t="shared" si="4"/>
        <v>146.65865094971497</v>
      </c>
      <c r="B137" s="28">
        <v>1466.5865094971498</v>
      </c>
      <c r="C137" s="25">
        <v>33159.555</v>
      </c>
      <c r="D137" s="23">
        <f t="shared" si="5"/>
        <v>331.59555</v>
      </c>
    </row>
    <row r="138" spans="1:4">
      <c r="A138" s="29">
        <f t="shared" si="4"/>
        <v>147.74501132712027</v>
      </c>
      <c r="B138" s="28">
        <v>1477.4501132712028</v>
      </c>
      <c r="C138" s="25">
        <v>33124.146000000001</v>
      </c>
      <c r="D138" s="23">
        <f t="shared" si="5"/>
        <v>331.24146000000002</v>
      </c>
    </row>
    <row r="139" spans="1:4">
      <c r="A139" s="29">
        <f t="shared" si="4"/>
        <v>148.83137170452557</v>
      </c>
      <c r="B139" s="28">
        <v>1488.3137170452558</v>
      </c>
      <c r="C139" s="25">
        <v>33088.737000000001</v>
      </c>
      <c r="D139" s="23">
        <f t="shared" si="5"/>
        <v>330.88737000000003</v>
      </c>
    </row>
    <row r="140" spans="1:4">
      <c r="A140" s="29">
        <f t="shared" si="4"/>
        <v>149.91773208193086</v>
      </c>
      <c r="B140" s="28">
        <v>1499.1773208193088</v>
      </c>
      <c r="C140" s="25">
        <v>33053.328000000001</v>
      </c>
      <c r="D140" s="23">
        <f t="shared" si="5"/>
        <v>330.53327999999999</v>
      </c>
    </row>
    <row r="141" spans="1:4">
      <c r="A141" s="29">
        <f t="shared" si="4"/>
        <v>151.00409245933616</v>
      </c>
      <c r="B141" s="28">
        <v>1510.0409245933618</v>
      </c>
      <c r="C141" s="25">
        <v>33017.919000000002</v>
      </c>
      <c r="D141" s="23">
        <f t="shared" si="5"/>
        <v>330.17919000000001</v>
      </c>
    </row>
    <row r="142" spans="1:4">
      <c r="A142" s="29">
        <f t="shared" si="4"/>
        <v>152.09045283674146</v>
      </c>
      <c r="B142" s="28">
        <v>1520.9045283674147</v>
      </c>
      <c r="C142" s="25">
        <v>32982.51</v>
      </c>
      <c r="D142" s="23">
        <f t="shared" si="5"/>
        <v>329.82510000000002</v>
      </c>
    </row>
    <row r="143" spans="1:4">
      <c r="A143" s="29">
        <f t="shared" si="4"/>
        <v>153.17681321414676</v>
      </c>
      <c r="B143" s="28">
        <v>1531.7681321414677</v>
      </c>
      <c r="C143" s="25">
        <v>32940.560000000005</v>
      </c>
      <c r="D143" s="23">
        <f t="shared" si="5"/>
        <v>329.40560000000005</v>
      </c>
    </row>
    <row r="144" spans="1:4">
      <c r="A144" s="29">
        <f t="shared" si="4"/>
        <v>154.26317359155206</v>
      </c>
      <c r="B144" s="28">
        <v>1542.6317359155207</v>
      </c>
      <c r="C144" s="25">
        <v>32898.610000000008</v>
      </c>
      <c r="D144" s="23">
        <f t="shared" si="5"/>
        <v>328.98610000000008</v>
      </c>
    </row>
    <row r="145" spans="1:4">
      <c r="A145" s="29">
        <f t="shared" si="4"/>
        <v>155.34953396895736</v>
      </c>
      <c r="B145" s="28">
        <v>1553.4953396895735</v>
      </c>
      <c r="C145" s="25">
        <v>32856.660000000011</v>
      </c>
      <c r="D145" s="23">
        <f t="shared" si="5"/>
        <v>328.56660000000011</v>
      </c>
    </row>
    <row r="146" spans="1:4">
      <c r="A146" s="29">
        <f t="shared" si="4"/>
        <v>156.43589434636266</v>
      </c>
      <c r="B146" s="28">
        <v>1564.3589434636265</v>
      </c>
      <c r="C146" s="25">
        <v>32814.710000000014</v>
      </c>
      <c r="D146" s="23">
        <f t="shared" si="5"/>
        <v>328.14710000000014</v>
      </c>
    </row>
    <row r="147" spans="1:4">
      <c r="A147" s="29">
        <f t="shared" si="4"/>
        <v>157.52225472376796</v>
      </c>
      <c r="B147" s="28">
        <v>1575.2225472376795</v>
      </c>
      <c r="C147" s="25">
        <v>32772.760000000017</v>
      </c>
      <c r="D147" s="23">
        <f t="shared" si="5"/>
        <v>327.72760000000017</v>
      </c>
    </row>
    <row r="148" spans="1:4">
      <c r="A148" s="29">
        <f t="shared" si="4"/>
        <v>158.60861510117326</v>
      </c>
      <c r="B148" s="28">
        <v>1586.0861510117325</v>
      </c>
      <c r="C148" s="25">
        <v>32730.810000000016</v>
      </c>
      <c r="D148" s="23">
        <f t="shared" si="5"/>
        <v>327.30810000000014</v>
      </c>
    </row>
    <row r="149" spans="1:4">
      <c r="A149" s="29">
        <f t="shared" si="4"/>
        <v>159.69497547857856</v>
      </c>
      <c r="B149" s="28">
        <v>1596.9497547857854</v>
      </c>
      <c r="C149" s="25">
        <v>32688.860000000015</v>
      </c>
      <c r="D149" s="23">
        <f t="shared" si="5"/>
        <v>326.88860000000017</v>
      </c>
    </row>
    <row r="150" spans="1:4">
      <c r="A150" s="29">
        <f t="shared" si="4"/>
        <v>160.78133585598385</v>
      </c>
      <c r="B150" s="28">
        <v>1607.8133585598384</v>
      </c>
      <c r="C150" s="25">
        <v>32646.910000000014</v>
      </c>
      <c r="D150" s="23">
        <f t="shared" si="5"/>
        <v>326.46910000000014</v>
      </c>
    </row>
    <row r="151" spans="1:4">
      <c r="A151" s="29">
        <f t="shared" si="4"/>
        <v>161.86769623338915</v>
      </c>
      <c r="B151" s="28">
        <v>1618.6769623338914</v>
      </c>
      <c r="C151" s="25">
        <v>32604.960000000014</v>
      </c>
      <c r="D151" s="23">
        <f t="shared" si="5"/>
        <v>326.04960000000011</v>
      </c>
    </row>
    <row r="152" spans="1:4">
      <c r="A152" s="29">
        <f t="shared" si="4"/>
        <v>162.95405661079445</v>
      </c>
      <c r="B152" s="28">
        <v>1629.5405661079444</v>
      </c>
      <c r="C152" s="25">
        <v>32563.01</v>
      </c>
      <c r="D152" s="23">
        <f t="shared" si="5"/>
        <v>325.63009999999997</v>
      </c>
    </row>
    <row r="153" spans="1:4">
      <c r="A153" s="29">
        <f t="shared" si="4"/>
        <v>164.04041698819972</v>
      </c>
      <c r="B153" s="28">
        <v>1640.4041698819972</v>
      </c>
      <c r="C153" s="25">
        <v>32514.224999999999</v>
      </c>
      <c r="D153" s="23">
        <f t="shared" si="5"/>
        <v>325.14224999999999</v>
      </c>
    </row>
    <row r="154" spans="1:4">
      <c r="A154" s="29">
        <f t="shared" si="4"/>
        <v>165.12677736560502</v>
      </c>
      <c r="B154" s="28">
        <v>1651.2677736560502</v>
      </c>
      <c r="C154" s="25">
        <v>32465.439999999999</v>
      </c>
      <c r="D154" s="23">
        <f t="shared" si="5"/>
        <v>324.65440000000001</v>
      </c>
    </row>
    <row r="155" spans="1:4">
      <c r="A155" s="29">
        <f t="shared" si="4"/>
        <v>166.21313774301032</v>
      </c>
      <c r="B155" s="28">
        <v>1662.1313774301032</v>
      </c>
      <c r="C155" s="25">
        <v>32416.654999999999</v>
      </c>
      <c r="D155" s="23">
        <f t="shared" si="5"/>
        <v>324.16654999999997</v>
      </c>
    </row>
    <row r="156" spans="1:4">
      <c r="A156" s="29">
        <f t="shared" si="4"/>
        <v>167.29949812041562</v>
      </c>
      <c r="B156" s="28">
        <v>1672.9949812041561</v>
      </c>
      <c r="C156" s="25">
        <v>32367.87</v>
      </c>
      <c r="D156" s="23">
        <f t="shared" si="5"/>
        <v>323.67869999999999</v>
      </c>
    </row>
    <row r="157" spans="1:4">
      <c r="A157" s="29">
        <f t="shared" si="4"/>
        <v>168.38585849782092</v>
      </c>
      <c r="B157" s="28">
        <v>1683.8585849782091</v>
      </c>
      <c r="C157" s="25">
        <v>32319.084999999999</v>
      </c>
      <c r="D157" s="23">
        <f t="shared" si="5"/>
        <v>323.19085000000001</v>
      </c>
    </row>
    <row r="158" spans="1:4">
      <c r="A158" s="29">
        <f t="shared" si="4"/>
        <v>169.47221887522622</v>
      </c>
      <c r="B158" s="28">
        <v>1694.7221887522621</v>
      </c>
      <c r="C158" s="25">
        <v>32270.3</v>
      </c>
      <c r="D158" s="23">
        <f t="shared" si="5"/>
        <v>322.70299999999997</v>
      </c>
    </row>
    <row r="159" spans="1:4">
      <c r="A159" s="29">
        <f t="shared" si="4"/>
        <v>170.55857925263152</v>
      </c>
      <c r="B159" s="28">
        <v>1705.5857925263151</v>
      </c>
      <c r="C159" s="25">
        <v>32221.514999999999</v>
      </c>
      <c r="D159" s="23">
        <f t="shared" si="5"/>
        <v>322.21514999999999</v>
      </c>
    </row>
    <row r="160" spans="1:4">
      <c r="A160" s="29">
        <f t="shared" si="4"/>
        <v>171.64493963003682</v>
      </c>
      <c r="B160" s="28">
        <v>1716.4493963003681</v>
      </c>
      <c r="C160" s="25">
        <v>32172.73</v>
      </c>
      <c r="D160" s="23">
        <f t="shared" si="5"/>
        <v>321.72730000000001</v>
      </c>
    </row>
    <row r="161" spans="1:4">
      <c r="A161" s="29">
        <f t="shared" si="4"/>
        <v>172.73130000744209</v>
      </c>
      <c r="B161" s="28">
        <v>1727.3130000744209</v>
      </c>
      <c r="C161" s="25">
        <v>32123.945</v>
      </c>
      <c r="D161" s="23">
        <f t="shared" si="5"/>
        <v>321.23944999999998</v>
      </c>
    </row>
    <row r="162" spans="1:4">
      <c r="A162" s="29">
        <f t="shared" si="4"/>
        <v>173.81766038484739</v>
      </c>
      <c r="B162" s="28">
        <v>1738.1766038484739</v>
      </c>
      <c r="C162" s="25">
        <v>32075.16</v>
      </c>
      <c r="D162" s="23">
        <f t="shared" si="5"/>
        <v>320.7516</v>
      </c>
    </row>
    <row r="163" spans="1:4">
      <c r="A163" s="29">
        <f t="shared" si="4"/>
        <v>174.90402076225269</v>
      </c>
      <c r="B163" s="28">
        <v>1749.0402076225269</v>
      </c>
      <c r="C163" s="25">
        <v>32019.302</v>
      </c>
      <c r="D163" s="23">
        <f t="shared" si="5"/>
        <v>320.19301999999999</v>
      </c>
    </row>
    <row r="164" spans="1:4">
      <c r="A164" s="29">
        <f t="shared" si="4"/>
        <v>175.99038113965798</v>
      </c>
      <c r="B164" s="28">
        <v>1759.9038113965798</v>
      </c>
      <c r="C164" s="25">
        <v>31963.444</v>
      </c>
      <c r="D164" s="23">
        <f t="shared" si="5"/>
        <v>319.63443999999998</v>
      </c>
    </row>
    <row r="165" spans="1:4">
      <c r="A165" s="29">
        <f t="shared" si="4"/>
        <v>177.07674151706328</v>
      </c>
      <c r="B165" s="28">
        <v>1770.7674151706328</v>
      </c>
      <c r="C165" s="25">
        <v>31907.585999999999</v>
      </c>
      <c r="D165" s="23">
        <f t="shared" si="5"/>
        <v>319.07585999999998</v>
      </c>
    </row>
    <row r="166" spans="1:4">
      <c r="A166" s="29">
        <f t="shared" si="4"/>
        <v>178.16310189446858</v>
      </c>
      <c r="B166" s="28">
        <v>1781.6310189446858</v>
      </c>
      <c r="C166" s="25">
        <v>31851.727999999999</v>
      </c>
      <c r="D166" s="23">
        <f t="shared" si="5"/>
        <v>318.51727999999997</v>
      </c>
    </row>
    <row r="167" spans="1:4">
      <c r="A167" s="29">
        <f t="shared" si="4"/>
        <v>179.24946227187388</v>
      </c>
      <c r="B167" s="28">
        <v>1792.4946227187388</v>
      </c>
      <c r="C167" s="25">
        <v>31795.87</v>
      </c>
      <c r="D167" s="23">
        <f t="shared" si="5"/>
        <v>317.95869999999996</v>
      </c>
    </row>
    <row r="168" spans="1:4">
      <c r="A168" s="29">
        <f t="shared" si="4"/>
        <v>180.33582264927918</v>
      </c>
      <c r="B168" s="28">
        <v>1803.3582264927918</v>
      </c>
      <c r="C168" s="25">
        <v>31740.011999999999</v>
      </c>
      <c r="D168" s="23">
        <f t="shared" si="5"/>
        <v>317.40012000000002</v>
      </c>
    </row>
    <row r="169" spans="1:4">
      <c r="A169" s="29">
        <f t="shared" si="4"/>
        <v>181.42218302668445</v>
      </c>
      <c r="B169" s="28">
        <v>1814.2218302668446</v>
      </c>
      <c r="C169" s="25">
        <v>31684.153999999999</v>
      </c>
      <c r="D169" s="23">
        <f t="shared" si="5"/>
        <v>316.84154000000001</v>
      </c>
    </row>
    <row r="170" spans="1:4">
      <c r="A170" s="29">
        <f t="shared" si="4"/>
        <v>182.50854340408975</v>
      </c>
      <c r="B170" s="28">
        <v>1825.0854340408976</v>
      </c>
      <c r="C170" s="25">
        <v>31628.295999999998</v>
      </c>
      <c r="D170" s="23">
        <f t="shared" si="5"/>
        <v>316.28296</v>
      </c>
    </row>
    <row r="171" spans="1:4">
      <c r="A171" s="29">
        <f t="shared" si="4"/>
        <v>183.59490378149505</v>
      </c>
      <c r="B171" s="28">
        <v>1835.9490378149505</v>
      </c>
      <c r="C171" s="25">
        <v>31572.437999999998</v>
      </c>
      <c r="D171" s="23">
        <f t="shared" si="5"/>
        <v>315.72438</v>
      </c>
    </row>
    <row r="172" spans="1:4">
      <c r="A172" s="29">
        <f t="shared" si="4"/>
        <v>184.68126415890035</v>
      </c>
      <c r="B172" s="28">
        <v>1846.8126415890035</v>
      </c>
      <c r="C172" s="25">
        <v>31516.58</v>
      </c>
      <c r="D172" s="23">
        <f t="shared" si="5"/>
        <v>315.16579999999999</v>
      </c>
    </row>
    <row r="173" spans="1:4">
      <c r="A173" s="29">
        <f t="shared" si="4"/>
        <v>185.76762453630565</v>
      </c>
      <c r="B173" s="28">
        <v>1857.6762453630565</v>
      </c>
      <c r="C173" s="25">
        <v>31453.416000000001</v>
      </c>
      <c r="D173" s="23">
        <f t="shared" si="5"/>
        <v>314.53415999999999</v>
      </c>
    </row>
    <row r="174" spans="1:4">
      <c r="A174" s="29">
        <f t="shared" si="4"/>
        <v>186.85398491371095</v>
      </c>
      <c r="B174" s="28">
        <v>1868.5398491371095</v>
      </c>
      <c r="C174" s="25">
        <v>31390.252</v>
      </c>
      <c r="D174" s="23">
        <f t="shared" si="5"/>
        <v>313.90251999999998</v>
      </c>
    </row>
    <row r="175" spans="1:4">
      <c r="A175" s="29">
        <f t="shared" si="4"/>
        <v>187.94034529111624</v>
      </c>
      <c r="B175" s="28">
        <v>1879.4034529111625</v>
      </c>
      <c r="C175" s="25">
        <v>31327.088</v>
      </c>
      <c r="D175" s="23">
        <f t="shared" si="5"/>
        <v>313.27087999999998</v>
      </c>
    </row>
    <row r="176" spans="1:4">
      <c r="A176" s="29">
        <f t="shared" si="4"/>
        <v>189.02670566852154</v>
      </c>
      <c r="B176" s="28">
        <v>1890.2670566852155</v>
      </c>
      <c r="C176" s="25">
        <v>31263.923999999999</v>
      </c>
      <c r="D176" s="23">
        <f t="shared" si="5"/>
        <v>312.63923999999997</v>
      </c>
    </row>
    <row r="177" spans="1:4">
      <c r="A177" s="29">
        <f t="shared" si="4"/>
        <v>190.11306604592681</v>
      </c>
      <c r="B177" s="28">
        <v>1901.1306604592683</v>
      </c>
      <c r="C177" s="25">
        <v>31200.76</v>
      </c>
      <c r="D177" s="23">
        <f t="shared" si="5"/>
        <v>312.00759999999997</v>
      </c>
    </row>
    <row r="178" spans="1:4">
      <c r="A178" s="29">
        <f t="shared" si="4"/>
        <v>191.19942642333211</v>
      </c>
      <c r="B178" s="28">
        <v>1911.9942642333212</v>
      </c>
      <c r="C178" s="25">
        <v>31137.595999999998</v>
      </c>
      <c r="D178" s="23">
        <f t="shared" si="5"/>
        <v>311.37595999999996</v>
      </c>
    </row>
    <row r="179" spans="1:4">
      <c r="A179" s="29">
        <f t="shared" si="4"/>
        <v>192.28578680073741</v>
      </c>
      <c r="B179" s="28">
        <v>1922.8578680073742</v>
      </c>
      <c r="C179" s="25">
        <v>31074.431999999997</v>
      </c>
      <c r="D179" s="23">
        <f t="shared" si="5"/>
        <v>310.74431999999996</v>
      </c>
    </row>
    <row r="180" spans="1:4">
      <c r="A180" s="29">
        <f t="shared" si="4"/>
        <v>193.37214717814271</v>
      </c>
      <c r="B180" s="28">
        <v>1933.7214717814272</v>
      </c>
      <c r="C180" s="25">
        <v>31011.267999999996</v>
      </c>
      <c r="D180" s="23">
        <f t="shared" si="5"/>
        <v>310.11267999999995</v>
      </c>
    </row>
    <row r="181" spans="1:4">
      <c r="A181" s="29">
        <f t="shared" si="4"/>
        <v>194.45850755554801</v>
      </c>
      <c r="B181" s="28">
        <v>1944.5850755554802</v>
      </c>
      <c r="C181" s="25">
        <v>30948.103999999996</v>
      </c>
      <c r="D181" s="23">
        <f t="shared" si="5"/>
        <v>309.48103999999995</v>
      </c>
    </row>
    <row r="182" spans="1:4">
      <c r="A182" s="29">
        <f t="shared" si="4"/>
        <v>195.54486793295331</v>
      </c>
      <c r="B182" s="28">
        <v>1955.4486793295332</v>
      </c>
      <c r="C182" s="25">
        <v>30884.94</v>
      </c>
      <c r="D182" s="23">
        <f t="shared" si="5"/>
        <v>308.8494</v>
      </c>
    </row>
    <row r="183" spans="1:4">
      <c r="A183" s="29">
        <f t="shared" si="4"/>
        <v>196.63122831035861</v>
      </c>
      <c r="B183" s="28">
        <v>1966.3122831035862</v>
      </c>
      <c r="C183" s="25">
        <v>30814.293999999998</v>
      </c>
      <c r="D183" s="23">
        <f t="shared" si="5"/>
        <v>308.14293999999995</v>
      </c>
    </row>
    <row r="184" spans="1:4">
      <c r="A184" s="29">
        <f t="shared" si="4"/>
        <v>197.71758868776391</v>
      </c>
      <c r="B184" s="28">
        <v>1977.1758868776392</v>
      </c>
      <c r="C184" s="25">
        <v>30743.647999999997</v>
      </c>
      <c r="D184" s="23">
        <f t="shared" si="5"/>
        <v>307.43647999999996</v>
      </c>
    </row>
    <row r="185" spans="1:4">
      <c r="A185" s="29">
        <f t="shared" si="4"/>
        <v>198.80394906516921</v>
      </c>
      <c r="B185">
        <v>1988.0394906516919</v>
      </c>
      <c r="C185">
        <v>30673.001999999997</v>
      </c>
      <c r="D185" s="23">
        <f t="shared" si="5"/>
        <v>306.73001999999997</v>
      </c>
    </row>
    <row r="186" spans="1:4">
      <c r="A186" s="29">
        <f t="shared" si="4"/>
        <v>199.89030944257451</v>
      </c>
      <c r="B186">
        <v>1998.9030944257449</v>
      </c>
      <c r="C186">
        <v>30602.355999999996</v>
      </c>
      <c r="D186" s="23">
        <f t="shared" si="5"/>
        <v>306.02355999999997</v>
      </c>
    </row>
    <row r="187" spans="1:4">
      <c r="A187" s="29">
        <f t="shared" si="4"/>
        <v>200.9766698199798</v>
      </c>
      <c r="B187">
        <v>2009.7666981997979</v>
      </c>
      <c r="C187">
        <v>30531.709999999995</v>
      </c>
      <c r="D187" s="23">
        <f t="shared" si="5"/>
        <v>305.31709999999998</v>
      </c>
    </row>
    <row r="188" spans="1:4">
      <c r="A188" s="29">
        <f t="shared" si="4"/>
        <v>202.0630301973851</v>
      </c>
      <c r="B188">
        <v>2020.6303019738509</v>
      </c>
      <c r="C188">
        <v>30461.063999999995</v>
      </c>
      <c r="D188" s="23">
        <f t="shared" si="5"/>
        <v>304.61063999999993</v>
      </c>
    </row>
    <row r="189" spans="1:4">
      <c r="A189" s="29">
        <f t="shared" si="4"/>
        <v>203.1493905747904</v>
      </c>
      <c r="B189">
        <v>2031.4939057479039</v>
      </c>
      <c r="C189">
        <v>30390.417999999994</v>
      </c>
      <c r="D189" s="23">
        <f t="shared" si="5"/>
        <v>303.90417999999994</v>
      </c>
    </row>
    <row r="190" spans="1:4">
      <c r="A190" s="29">
        <f t="shared" si="4"/>
        <v>204.2357509521957</v>
      </c>
      <c r="B190">
        <v>2042.3575095219569</v>
      </c>
      <c r="C190">
        <v>30319.771999999994</v>
      </c>
      <c r="D190" s="23">
        <f t="shared" si="5"/>
        <v>303.19771999999995</v>
      </c>
    </row>
    <row r="191" spans="1:4">
      <c r="A191" s="29">
        <f t="shared" si="4"/>
        <v>205.32211132960097</v>
      </c>
      <c r="B191">
        <v>2053.2211132960097</v>
      </c>
      <c r="C191">
        <v>30249.125999999993</v>
      </c>
      <c r="D191" s="23">
        <f t="shared" si="5"/>
        <v>302.49125999999995</v>
      </c>
    </row>
    <row r="192" spans="1:4">
      <c r="A192" s="29">
        <f t="shared" si="4"/>
        <v>206.40847170700627</v>
      </c>
      <c r="B192">
        <v>2064.0847170700627</v>
      </c>
      <c r="C192">
        <v>30178.48</v>
      </c>
      <c r="D192" s="23">
        <f t="shared" si="5"/>
        <v>301.78480000000002</v>
      </c>
    </row>
    <row r="193" spans="1:4">
      <c r="A193" s="29">
        <f t="shared" si="4"/>
        <v>207.49483208441157</v>
      </c>
      <c r="B193">
        <v>2074.9483208441156</v>
      </c>
      <c r="C193">
        <v>30100.214</v>
      </c>
      <c r="D193" s="23">
        <f t="shared" si="5"/>
        <v>301.00214</v>
      </c>
    </row>
    <row r="194" spans="1:4">
      <c r="A194" s="29">
        <f t="shared" si="4"/>
        <v>208.58119246181687</v>
      </c>
      <c r="B194">
        <v>2085.8119246181686</v>
      </c>
      <c r="C194">
        <v>30021.948</v>
      </c>
      <c r="D194" s="23">
        <f t="shared" si="5"/>
        <v>300.21947999999998</v>
      </c>
    </row>
    <row r="195" spans="1:4">
      <c r="A195" s="29">
        <f t="shared" ref="A195:A258" si="6">$B195/10</f>
        <v>209.66755283922217</v>
      </c>
      <c r="B195">
        <v>2096.6755283922216</v>
      </c>
      <c r="C195">
        <v>29943.682000000001</v>
      </c>
      <c r="D195" s="23">
        <f t="shared" ref="D195:D258" si="7">$C195/100</f>
        <v>299.43682000000001</v>
      </c>
    </row>
    <row r="196" spans="1:4">
      <c r="A196" s="29">
        <f t="shared" si="6"/>
        <v>210.75391321662747</v>
      </c>
      <c r="B196">
        <v>2107.5391321662746</v>
      </c>
      <c r="C196">
        <v>29865.416000000001</v>
      </c>
      <c r="D196" s="23">
        <f t="shared" si="7"/>
        <v>298.65415999999999</v>
      </c>
    </row>
    <row r="197" spans="1:4">
      <c r="A197" s="29">
        <f t="shared" si="6"/>
        <v>211.84027359403277</v>
      </c>
      <c r="B197">
        <v>2118.4027359403276</v>
      </c>
      <c r="C197">
        <v>29787.15</v>
      </c>
      <c r="D197" s="23">
        <f t="shared" si="7"/>
        <v>297.87150000000003</v>
      </c>
    </row>
    <row r="198" spans="1:4">
      <c r="A198" s="29">
        <f t="shared" si="6"/>
        <v>212.92663397143806</v>
      </c>
      <c r="B198">
        <v>2129.2663397143806</v>
      </c>
      <c r="C198">
        <v>29708.884000000002</v>
      </c>
      <c r="D198" s="23">
        <f t="shared" si="7"/>
        <v>297.08884</v>
      </c>
    </row>
    <row r="199" spans="1:4">
      <c r="A199" s="29">
        <f t="shared" si="6"/>
        <v>214.01299434884336</v>
      </c>
      <c r="B199">
        <v>2140.1299434884336</v>
      </c>
      <c r="C199">
        <v>29630.618000000002</v>
      </c>
      <c r="D199" s="23">
        <f t="shared" si="7"/>
        <v>296.30618000000004</v>
      </c>
    </row>
    <row r="200" spans="1:4">
      <c r="A200" s="29">
        <f t="shared" si="6"/>
        <v>215.09935472624866</v>
      </c>
      <c r="B200">
        <v>2150.9935472624866</v>
      </c>
      <c r="C200">
        <v>29552.352000000003</v>
      </c>
      <c r="D200" s="23">
        <f t="shared" si="7"/>
        <v>295.52352000000002</v>
      </c>
    </row>
    <row r="201" spans="1:4">
      <c r="A201" s="29">
        <f t="shared" si="6"/>
        <v>216.18571510365396</v>
      </c>
      <c r="B201">
        <v>2161.8571510365396</v>
      </c>
      <c r="C201">
        <v>29474.086000000003</v>
      </c>
      <c r="D201" s="23">
        <f t="shared" si="7"/>
        <v>294.74086000000005</v>
      </c>
    </row>
    <row r="202" spans="1:4">
      <c r="A202" s="29">
        <f t="shared" si="6"/>
        <v>217.27207548105926</v>
      </c>
      <c r="B202">
        <v>2172.7207548105926</v>
      </c>
      <c r="C202">
        <v>29395.82</v>
      </c>
      <c r="D202" s="23">
        <f t="shared" si="7"/>
        <v>293.95819999999998</v>
      </c>
    </row>
    <row r="203" spans="1:4">
      <c r="A203" s="29">
        <f t="shared" si="6"/>
        <v>218.35843585846456</v>
      </c>
      <c r="B203">
        <v>2183.5843585846455</v>
      </c>
      <c r="C203">
        <v>29309.859</v>
      </c>
      <c r="D203" s="23">
        <f t="shared" si="7"/>
        <v>293.09859</v>
      </c>
    </row>
    <row r="204" spans="1:4">
      <c r="A204" s="29">
        <f t="shared" si="6"/>
        <v>219.44479623586986</v>
      </c>
      <c r="B204">
        <v>2194.4479623586985</v>
      </c>
      <c r="C204">
        <v>29223.898000000001</v>
      </c>
      <c r="D204" s="23">
        <f t="shared" si="7"/>
        <v>292.23898000000003</v>
      </c>
    </row>
    <row r="205" spans="1:4">
      <c r="A205" s="29">
        <f t="shared" si="6"/>
        <v>220.5311566132751</v>
      </c>
      <c r="B205">
        <v>2205.3115661327511</v>
      </c>
      <c r="C205">
        <v>29137.937000000002</v>
      </c>
      <c r="D205" s="23">
        <f t="shared" si="7"/>
        <v>291.37936999999999</v>
      </c>
    </row>
    <row r="206" spans="1:4">
      <c r="A206" s="29">
        <f t="shared" si="6"/>
        <v>221.6175169906804</v>
      </c>
      <c r="B206">
        <v>2216.1751699068041</v>
      </c>
      <c r="C206">
        <v>29051.976000000002</v>
      </c>
      <c r="D206" s="23">
        <f t="shared" si="7"/>
        <v>290.51976000000002</v>
      </c>
    </row>
    <row r="207" spans="1:4">
      <c r="A207" s="29">
        <f t="shared" si="6"/>
        <v>222.7038773680857</v>
      </c>
      <c r="B207">
        <v>2227.038773680857</v>
      </c>
      <c r="C207">
        <v>28966.015000000003</v>
      </c>
      <c r="D207" s="23">
        <f t="shared" si="7"/>
        <v>289.66015000000004</v>
      </c>
    </row>
    <row r="208" spans="1:4">
      <c r="A208" s="29">
        <f t="shared" si="6"/>
        <v>223.790237745491</v>
      </c>
      <c r="B208">
        <v>2237.90237745491</v>
      </c>
      <c r="C208">
        <v>28880.054000000004</v>
      </c>
      <c r="D208" s="23">
        <f t="shared" si="7"/>
        <v>288.80054000000001</v>
      </c>
    </row>
    <row r="209" spans="1:4">
      <c r="A209" s="29">
        <f t="shared" si="6"/>
        <v>224.8765981228963</v>
      </c>
      <c r="B209">
        <v>2248.765981228963</v>
      </c>
      <c r="C209">
        <v>28794.093000000004</v>
      </c>
      <c r="D209" s="23">
        <f t="shared" si="7"/>
        <v>287.94093000000004</v>
      </c>
    </row>
    <row r="210" spans="1:4">
      <c r="A210" s="29">
        <f t="shared" si="6"/>
        <v>225.9629585003016</v>
      </c>
      <c r="B210">
        <v>2259.629585003016</v>
      </c>
      <c r="C210">
        <v>28708.132000000005</v>
      </c>
      <c r="D210" s="23">
        <f t="shared" si="7"/>
        <v>287.08132000000006</v>
      </c>
    </row>
    <row r="211" spans="1:4">
      <c r="A211" s="29">
        <f t="shared" si="6"/>
        <v>227.0493188777069</v>
      </c>
      <c r="B211">
        <v>2270.493188777069</v>
      </c>
      <c r="C211">
        <v>28622.171000000006</v>
      </c>
      <c r="D211" s="23">
        <f t="shared" si="7"/>
        <v>286.22171000000003</v>
      </c>
    </row>
    <row r="212" spans="1:4">
      <c r="A212" s="29">
        <f t="shared" si="6"/>
        <v>228.13567925511219</v>
      </c>
      <c r="B212">
        <v>2281.356792551122</v>
      </c>
      <c r="C212">
        <v>28536.21</v>
      </c>
      <c r="D212" s="23">
        <f t="shared" si="7"/>
        <v>285.3621</v>
      </c>
    </row>
    <row r="213" spans="1:4">
      <c r="A213" s="29">
        <f t="shared" si="6"/>
        <v>229.22203963251749</v>
      </c>
      <c r="B213">
        <v>2292.220396325175</v>
      </c>
      <c r="C213">
        <v>28442.564999999999</v>
      </c>
      <c r="D213" s="23">
        <f t="shared" si="7"/>
        <v>284.42564999999996</v>
      </c>
    </row>
    <row r="214" spans="1:4">
      <c r="A214" s="29">
        <f t="shared" si="6"/>
        <v>230.30840000992279</v>
      </c>
      <c r="B214">
        <v>2303.084000099228</v>
      </c>
      <c r="C214">
        <v>28348.92</v>
      </c>
      <c r="D214" s="23">
        <f t="shared" si="7"/>
        <v>283.48919999999998</v>
      </c>
    </row>
    <row r="215" spans="1:4">
      <c r="A215" s="29">
        <f t="shared" si="6"/>
        <v>231.39476038732809</v>
      </c>
      <c r="B215">
        <v>2313.947603873281</v>
      </c>
      <c r="C215">
        <v>28255.274999999998</v>
      </c>
      <c r="D215" s="23">
        <f t="shared" si="7"/>
        <v>282.55275</v>
      </c>
    </row>
    <row r="216" spans="1:4">
      <c r="A216" s="29">
        <f t="shared" si="6"/>
        <v>232.48112076473339</v>
      </c>
      <c r="B216">
        <v>2324.811207647334</v>
      </c>
      <c r="C216">
        <v>28161.629999999997</v>
      </c>
      <c r="D216" s="23">
        <f t="shared" si="7"/>
        <v>281.61629999999997</v>
      </c>
    </row>
    <row r="217" spans="1:4">
      <c r="A217" s="29">
        <f t="shared" si="6"/>
        <v>233.56748114213869</v>
      </c>
      <c r="B217">
        <v>2335.6748114213869</v>
      </c>
      <c r="C217">
        <v>28067.984999999997</v>
      </c>
      <c r="D217" s="23">
        <f t="shared" si="7"/>
        <v>280.67984999999999</v>
      </c>
    </row>
    <row r="218" spans="1:4">
      <c r="A218" s="29">
        <f t="shared" si="6"/>
        <v>234.65384151954399</v>
      </c>
      <c r="B218">
        <v>2346.5384151954399</v>
      </c>
      <c r="C218">
        <v>27974.339999999997</v>
      </c>
      <c r="D218" s="23">
        <f t="shared" si="7"/>
        <v>279.74339999999995</v>
      </c>
    </row>
    <row r="219" spans="1:4">
      <c r="A219" s="29">
        <f t="shared" si="6"/>
        <v>235.74020189694929</v>
      </c>
      <c r="B219">
        <v>2357.4020189694929</v>
      </c>
      <c r="C219">
        <v>27880.694999999996</v>
      </c>
      <c r="D219" s="23">
        <f t="shared" si="7"/>
        <v>278.80694999999997</v>
      </c>
    </row>
    <row r="220" spans="1:4">
      <c r="A220" s="29">
        <f t="shared" si="6"/>
        <v>236.82656227435459</v>
      </c>
      <c r="B220">
        <v>2368.2656227435459</v>
      </c>
      <c r="C220">
        <v>27787.049999999996</v>
      </c>
      <c r="D220" s="23">
        <f t="shared" si="7"/>
        <v>277.87049999999994</v>
      </c>
    </row>
    <row r="221" spans="1:4">
      <c r="A221" s="29">
        <f t="shared" si="6"/>
        <v>237.91292265175989</v>
      </c>
      <c r="B221">
        <v>2379.1292265175989</v>
      </c>
      <c r="C221">
        <v>27693.404999999995</v>
      </c>
      <c r="D221" s="23">
        <f t="shared" si="7"/>
        <v>276.93404999999996</v>
      </c>
    </row>
    <row r="222" spans="1:4">
      <c r="A222" s="29">
        <f t="shared" si="6"/>
        <v>238.99928302916516</v>
      </c>
      <c r="B222">
        <v>2389.9928302916514</v>
      </c>
      <c r="C222">
        <v>27599.759999999998</v>
      </c>
      <c r="D222" s="23">
        <f t="shared" si="7"/>
        <v>275.99759999999998</v>
      </c>
    </row>
    <row r="223" spans="1:4">
      <c r="A223" s="29">
        <f t="shared" si="6"/>
        <v>240.08564340657045</v>
      </c>
      <c r="B223">
        <v>2400.8564340657044</v>
      </c>
      <c r="C223">
        <v>27499.584999999999</v>
      </c>
      <c r="D223" s="23">
        <f t="shared" si="7"/>
        <v>274.99585000000002</v>
      </c>
    </row>
    <row r="224" spans="1:4">
      <c r="A224" s="29">
        <f t="shared" si="6"/>
        <v>241.17200378397575</v>
      </c>
      <c r="B224">
        <v>2411.7200378397574</v>
      </c>
      <c r="C224">
        <v>27399.41</v>
      </c>
      <c r="D224" s="23">
        <f t="shared" si="7"/>
        <v>273.9941</v>
      </c>
    </row>
    <row r="225" spans="1:4">
      <c r="A225" s="29">
        <f t="shared" si="6"/>
        <v>242.25836416138105</v>
      </c>
      <c r="B225">
        <v>2422.5836416138104</v>
      </c>
      <c r="C225">
        <v>27299.235000000001</v>
      </c>
      <c r="D225" s="23">
        <f t="shared" si="7"/>
        <v>272.99234999999999</v>
      </c>
    </row>
    <row r="226" spans="1:4">
      <c r="A226" s="29">
        <f t="shared" si="6"/>
        <v>243.34472453878635</v>
      </c>
      <c r="B226">
        <v>2433.4472453878634</v>
      </c>
      <c r="C226">
        <v>27199.06</v>
      </c>
      <c r="D226" s="23">
        <f t="shared" si="7"/>
        <v>271.99060000000003</v>
      </c>
    </row>
    <row r="227" spans="1:4">
      <c r="A227" s="29">
        <f t="shared" si="6"/>
        <v>244.43108491619165</v>
      </c>
      <c r="B227">
        <v>2444.3108491619164</v>
      </c>
      <c r="C227">
        <v>27098.885000000002</v>
      </c>
      <c r="D227" s="23">
        <f t="shared" si="7"/>
        <v>270.98885000000001</v>
      </c>
    </row>
    <row r="228" spans="1:4">
      <c r="A228" s="29">
        <f t="shared" si="6"/>
        <v>245.51744529359695</v>
      </c>
      <c r="B228">
        <v>2455.1744529359694</v>
      </c>
      <c r="C228">
        <v>26998.710000000003</v>
      </c>
      <c r="D228" s="23">
        <f t="shared" si="7"/>
        <v>269.98710000000005</v>
      </c>
    </row>
    <row r="229" spans="1:4">
      <c r="A229" s="29">
        <f t="shared" si="6"/>
        <v>246.60380567100225</v>
      </c>
      <c r="B229">
        <v>2466.0380567100224</v>
      </c>
      <c r="C229">
        <v>26898.535000000003</v>
      </c>
      <c r="D229" s="23">
        <f t="shared" si="7"/>
        <v>268.98535000000004</v>
      </c>
    </row>
    <row r="230" spans="1:4">
      <c r="A230" s="29">
        <f t="shared" si="6"/>
        <v>247.69016604840755</v>
      </c>
      <c r="B230">
        <v>2476.9016604840754</v>
      </c>
      <c r="C230">
        <v>26798.360000000004</v>
      </c>
      <c r="D230" s="23">
        <f t="shared" si="7"/>
        <v>267.98360000000002</v>
      </c>
    </row>
    <row r="231" spans="1:4">
      <c r="A231" s="29">
        <f t="shared" si="6"/>
        <v>248.77652642581285</v>
      </c>
      <c r="B231">
        <v>2487.7652642581284</v>
      </c>
      <c r="C231">
        <v>26698.185000000005</v>
      </c>
      <c r="D231" s="23">
        <f t="shared" si="7"/>
        <v>266.98185000000007</v>
      </c>
    </row>
    <row r="232" spans="1:4">
      <c r="A232" s="29">
        <f t="shared" si="6"/>
        <v>249.86288680321815</v>
      </c>
      <c r="B232">
        <v>2498.6288680321813</v>
      </c>
      <c r="C232">
        <v>26598.01</v>
      </c>
      <c r="D232" s="23">
        <f t="shared" si="7"/>
        <v>265.98009999999999</v>
      </c>
    </row>
    <row r="233" spans="1:4">
      <c r="A233" s="29">
        <f t="shared" si="6"/>
        <v>250.94924718062344</v>
      </c>
      <c r="B233">
        <v>2509.4924718062343</v>
      </c>
      <c r="C233">
        <v>26496.39197334</v>
      </c>
      <c r="D233" s="23">
        <f t="shared" si="7"/>
        <v>264.96391973340002</v>
      </c>
    </row>
    <row r="234" spans="1:4">
      <c r="A234" s="29">
        <f t="shared" si="6"/>
        <v>252.03560755802874</v>
      </c>
      <c r="B234">
        <v>2520.3560755802873</v>
      </c>
      <c r="C234">
        <v>26394.773946680001</v>
      </c>
      <c r="D234" s="23">
        <f t="shared" si="7"/>
        <v>263.94773946679999</v>
      </c>
    </row>
    <row r="235" spans="1:4">
      <c r="A235" s="29">
        <f t="shared" si="6"/>
        <v>253.12196793543404</v>
      </c>
      <c r="B235">
        <v>2531.2196793543403</v>
      </c>
      <c r="C235">
        <v>26293.155920020003</v>
      </c>
      <c r="D235" s="23">
        <f t="shared" si="7"/>
        <v>262.93155920020001</v>
      </c>
    </row>
    <row r="236" spans="1:4">
      <c r="A236" s="29">
        <f t="shared" si="6"/>
        <v>254.20832831283934</v>
      </c>
      <c r="B236">
        <v>2542.0832831283933</v>
      </c>
      <c r="C236">
        <v>26191.537893360004</v>
      </c>
      <c r="D236" s="23">
        <f t="shared" si="7"/>
        <v>261.91537893360004</v>
      </c>
    </row>
    <row r="237" spans="1:4">
      <c r="A237" s="29">
        <f t="shared" si="6"/>
        <v>255.29468869024464</v>
      </c>
      <c r="B237">
        <v>2552.9468869024463</v>
      </c>
      <c r="C237">
        <v>26089.919866700006</v>
      </c>
      <c r="D237" s="23">
        <f t="shared" si="7"/>
        <v>260.89919866700006</v>
      </c>
    </row>
    <row r="238" spans="1:4">
      <c r="A238" s="29">
        <f t="shared" si="6"/>
        <v>256.38104906764988</v>
      </c>
      <c r="B238">
        <v>2563.8104906764988</v>
      </c>
      <c r="C238">
        <v>25988.301840040007</v>
      </c>
      <c r="D238" s="23">
        <f t="shared" si="7"/>
        <v>259.88301840040009</v>
      </c>
    </row>
    <row r="239" spans="1:4">
      <c r="A239" s="29">
        <f t="shared" si="6"/>
        <v>257.46740944505518</v>
      </c>
      <c r="B239">
        <v>2574.6740944505518</v>
      </c>
      <c r="C239">
        <v>25886.683813380008</v>
      </c>
      <c r="D239" s="23">
        <f t="shared" si="7"/>
        <v>258.86683813380006</v>
      </c>
    </row>
    <row r="240" spans="1:4">
      <c r="A240" s="29">
        <f t="shared" si="6"/>
        <v>258.55376982246048</v>
      </c>
      <c r="B240">
        <v>2585.5376982246048</v>
      </c>
      <c r="C240">
        <v>25785.06578672001</v>
      </c>
      <c r="D240" s="23">
        <f t="shared" si="7"/>
        <v>257.85065786720008</v>
      </c>
    </row>
    <row r="241" spans="1:4">
      <c r="A241" s="29">
        <f t="shared" si="6"/>
        <v>259.64013019986578</v>
      </c>
      <c r="B241">
        <v>2596.4013019986578</v>
      </c>
      <c r="C241">
        <v>25683.447760060011</v>
      </c>
      <c r="D241" s="23">
        <f t="shared" si="7"/>
        <v>256.83447760060011</v>
      </c>
    </row>
    <row r="242" spans="1:4">
      <c r="A242" s="29">
        <f t="shared" si="6"/>
        <v>260.72649057727108</v>
      </c>
      <c r="B242">
        <v>2607.2649057727108</v>
      </c>
      <c r="C242">
        <v>25581.829733400013</v>
      </c>
      <c r="D242" s="23">
        <f t="shared" si="7"/>
        <v>255.81829733400014</v>
      </c>
    </row>
    <row r="243" spans="1:4">
      <c r="A243" s="29">
        <f t="shared" si="6"/>
        <v>261.81285095467638</v>
      </c>
      <c r="B243">
        <v>2618.1285095467638</v>
      </c>
      <c r="C243">
        <v>25480.211706740014</v>
      </c>
      <c r="D243" s="23">
        <f t="shared" si="7"/>
        <v>254.80211706740013</v>
      </c>
    </row>
    <row r="244" spans="1:4">
      <c r="A244" s="29">
        <f t="shared" si="6"/>
        <v>262.89921133208168</v>
      </c>
      <c r="B244">
        <v>2628.9921133208168</v>
      </c>
      <c r="C244">
        <v>25378.593680080015</v>
      </c>
      <c r="D244" s="23">
        <f t="shared" si="7"/>
        <v>253.78593680080016</v>
      </c>
    </row>
    <row r="245" spans="1:4">
      <c r="A245" s="29">
        <f t="shared" si="6"/>
        <v>263.98557170948698</v>
      </c>
      <c r="B245">
        <v>2639.8557170948698</v>
      </c>
      <c r="C245">
        <v>25276.975653420017</v>
      </c>
      <c r="D245" s="23">
        <f t="shared" si="7"/>
        <v>252.76975653420016</v>
      </c>
    </row>
    <row r="246" spans="1:4">
      <c r="A246" s="29">
        <f t="shared" si="6"/>
        <v>265.07193208689228</v>
      </c>
      <c r="B246">
        <v>2650.7193208689228</v>
      </c>
      <c r="C246">
        <v>25175.357626760018</v>
      </c>
      <c r="D246" s="23">
        <f t="shared" si="7"/>
        <v>251.75357626760018</v>
      </c>
    </row>
    <row r="247" spans="1:4">
      <c r="A247" s="29">
        <f t="shared" si="6"/>
        <v>266.15829246429757</v>
      </c>
      <c r="B247">
        <v>2661.5829246429757</v>
      </c>
      <c r="C247">
        <v>25073.73960010002</v>
      </c>
      <c r="D247" s="23">
        <f t="shared" si="7"/>
        <v>250.73739600100021</v>
      </c>
    </row>
    <row r="248" spans="1:4">
      <c r="A248" s="29">
        <f t="shared" si="6"/>
        <v>267.24465284170287</v>
      </c>
      <c r="B248">
        <v>2672.4465284170287</v>
      </c>
      <c r="C248">
        <v>24972.121573440021</v>
      </c>
      <c r="D248" s="23">
        <f t="shared" si="7"/>
        <v>249.7212157344002</v>
      </c>
    </row>
    <row r="249" spans="1:4">
      <c r="A249" s="29">
        <f t="shared" si="6"/>
        <v>268.33101321910817</v>
      </c>
      <c r="B249">
        <v>2683.3101321910817</v>
      </c>
      <c r="C249">
        <v>24870.503546780023</v>
      </c>
      <c r="D249" s="23">
        <f t="shared" si="7"/>
        <v>248.70503546780023</v>
      </c>
    </row>
    <row r="250" spans="1:4">
      <c r="A250" s="29">
        <f t="shared" si="6"/>
        <v>269.41737359651347</v>
      </c>
      <c r="B250">
        <v>2694.1737359651347</v>
      </c>
      <c r="C250">
        <v>24768.885520120024</v>
      </c>
      <c r="D250" s="23">
        <f t="shared" si="7"/>
        <v>247.68885520120023</v>
      </c>
    </row>
    <row r="251" spans="1:4">
      <c r="A251" s="29">
        <f t="shared" si="6"/>
        <v>270.50373397391877</v>
      </c>
      <c r="B251">
        <v>2705.0373397391877</v>
      </c>
      <c r="C251">
        <v>24667.267493460025</v>
      </c>
      <c r="D251" s="23">
        <f t="shared" si="7"/>
        <v>246.67267493460025</v>
      </c>
    </row>
    <row r="252" spans="1:4">
      <c r="A252" s="29">
        <f t="shared" si="6"/>
        <v>271.59009435132407</v>
      </c>
      <c r="B252">
        <v>2715.9009435132407</v>
      </c>
      <c r="C252">
        <v>24565.649466800027</v>
      </c>
      <c r="D252" s="23">
        <f t="shared" si="7"/>
        <v>245.65649466800028</v>
      </c>
    </row>
    <row r="253" spans="1:4">
      <c r="A253" s="29">
        <f t="shared" si="6"/>
        <v>272.67645472872937</v>
      </c>
      <c r="B253">
        <v>2726.7645472872937</v>
      </c>
      <c r="C253">
        <v>24464.031440140028</v>
      </c>
      <c r="D253" s="23">
        <f t="shared" si="7"/>
        <v>244.64031440140027</v>
      </c>
    </row>
    <row r="254" spans="1:4">
      <c r="A254" s="29">
        <f t="shared" si="6"/>
        <v>273.76281510613461</v>
      </c>
      <c r="B254">
        <v>2737.6281510613462</v>
      </c>
      <c r="C254">
        <v>24362.41341348003</v>
      </c>
      <c r="D254" s="23">
        <f t="shared" si="7"/>
        <v>243.6241341348003</v>
      </c>
    </row>
    <row r="255" spans="1:4">
      <c r="A255" s="29">
        <f t="shared" si="6"/>
        <v>274.84917548353991</v>
      </c>
      <c r="B255">
        <v>2748.4917548353992</v>
      </c>
      <c r="C255">
        <v>24260.795386820031</v>
      </c>
      <c r="D255" s="23">
        <f t="shared" si="7"/>
        <v>242.6079538682003</v>
      </c>
    </row>
    <row r="256" spans="1:4">
      <c r="A256" s="29">
        <f t="shared" si="6"/>
        <v>275.93553586094521</v>
      </c>
      <c r="B256">
        <v>2759.3553586094522</v>
      </c>
      <c r="C256">
        <v>24159.177360160033</v>
      </c>
      <c r="D256" s="23">
        <f t="shared" si="7"/>
        <v>241.59177360160032</v>
      </c>
    </row>
    <row r="257" spans="1:4">
      <c r="A257" s="29">
        <f t="shared" si="6"/>
        <v>277.02189623835051</v>
      </c>
      <c r="B257">
        <v>2770.2189623835052</v>
      </c>
      <c r="C257">
        <v>24057.559333500034</v>
      </c>
      <c r="D257" s="23">
        <f t="shared" si="7"/>
        <v>240.57559333500035</v>
      </c>
    </row>
    <row r="258" spans="1:4">
      <c r="A258" s="29">
        <f t="shared" si="6"/>
        <v>278.10825661575581</v>
      </c>
      <c r="B258">
        <v>2781.0825661575582</v>
      </c>
      <c r="C258">
        <v>23955.941306840035</v>
      </c>
      <c r="D258" s="23">
        <f t="shared" si="7"/>
        <v>239.55941306840035</v>
      </c>
    </row>
    <row r="259" spans="1:4">
      <c r="A259" s="29">
        <f t="shared" ref="A259:A322" si="8">$B259/10</f>
        <v>279.19461699316111</v>
      </c>
      <c r="B259">
        <v>2791.9461699316112</v>
      </c>
      <c r="C259">
        <v>23854.323280180037</v>
      </c>
      <c r="D259" s="23">
        <f t="shared" ref="D259:D322" si="9">$C259/100</f>
        <v>238.54323280180037</v>
      </c>
    </row>
    <row r="260" spans="1:4">
      <c r="A260" s="29">
        <f t="shared" si="8"/>
        <v>280.2809773705664</v>
      </c>
      <c r="B260">
        <v>2802.8097737056642</v>
      </c>
      <c r="C260">
        <v>23752.705253520038</v>
      </c>
      <c r="D260" s="23">
        <f t="shared" si="9"/>
        <v>237.52705253520037</v>
      </c>
    </row>
    <row r="261" spans="1:4">
      <c r="A261" s="29">
        <f t="shared" si="8"/>
        <v>281.3673377479717</v>
      </c>
      <c r="B261">
        <v>2813.6733774797171</v>
      </c>
      <c r="C261">
        <v>23651.08722686004</v>
      </c>
      <c r="D261" s="23">
        <f t="shared" si="9"/>
        <v>236.51087226860039</v>
      </c>
    </row>
    <row r="262" spans="1:4">
      <c r="A262" s="29">
        <f t="shared" si="8"/>
        <v>282.453698125377</v>
      </c>
      <c r="B262">
        <v>2824.5369812537701</v>
      </c>
      <c r="C262">
        <v>23549.469200200041</v>
      </c>
      <c r="D262" s="23">
        <f t="shared" si="9"/>
        <v>235.49469200200042</v>
      </c>
    </row>
    <row r="263" spans="1:4">
      <c r="A263" s="29">
        <f t="shared" si="8"/>
        <v>283.5400585027823</v>
      </c>
      <c r="B263">
        <v>2835.4005850278231</v>
      </c>
      <c r="C263">
        <v>23447.851173540043</v>
      </c>
      <c r="D263" s="23">
        <f t="shared" si="9"/>
        <v>234.47851173540042</v>
      </c>
    </row>
    <row r="264" spans="1:4">
      <c r="A264" s="29">
        <f t="shared" si="8"/>
        <v>284.6264188801876</v>
      </c>
      <c r="B264">
        <v>2846.2641888018761</v>
      </c>
      <c r="C264">
        <v>23346.233146880044</v>
      </c>
      <c r="D264" s="23">
        <f t="shared" si="9"/>
        <v>233.46233146880044</v>
      </c>
    </row>
    <row r="265" spans="1:4">
      <c r="A265" s="29">
        <f t="shared" si="8"/>
        <v>285.7127792575929</v>
      </c>
      <c r="B265">
        <v>2857.1277925759291</v>
      </c>
      <c r="C265">
        <v>23244.615120220045</v>
      </c>
      <c r="D265" s="23">
        <f t="shared" si="9"/>
        <v>232.44615120220044</v>
      </c>
    </row>
    <row r="266" spans="1:4">
      <c r="A266" s="29">
        <f t="shared" si="8"/>
        <v>286.7991396349982</v>
      </c>
      <c r="B266">
        <v>2867.9913963499821</v>
      </c>
      <c r="C266">
        <v>23142.997093560047</v>
      </c>
      <c r="D266" s="23">
        <f t="shared" si="9"/>
        <v>231.42997093560047</v>
      </c>
    </row>
    <row r="267" spans="1:4">
      <c r="A267" s="29">
        <f t="shared" si="8"/>
        <v>287.8855000124035</v>
      </c>
      <c r="B267">
        <v>2878.8550001240351</v>
      </c>
      <c r="C267">
        <v>23041.379066900048</v>
      </c>
      <c r="D267" s="23">
        <f t="shared" si="9"/>
        <v>230.41379066900049</v>
      </c>
    </row>
    <row r="268" spans="1:4">
      <c r="A268" s="29">
        <f t="shared" si="8"/>
        <v>288.9718603898088</v>
      </c>
      <c r="B268">
        <v>2889.7186038980881</v>
      </c>
      <c r="C268">
        <v>22939.76104024005</v>
      </c>
      <c r="D268" s="23">
        <f t="shared" si="9"/>
        <v>229.39761040240049</v>
      </c>
    </row>
    <row r="269" spans="1:4">
      <c r="A269" s="29">
        <f t="shared" si="8"/>
        <v>290.0582207672141</v>
      </c>
      <c r="B269">
        <v>2900.5822076721411</v>
      </c>
      <c r="C269">
        <v>22838.143013580051</v>
      </c>
      <c r="D269" s="23">
        <f t="shared" si="9"/>
        <v>228.38143013580051</v>
      </c>
    </row>
    <row r="270" spans="1:4">
      <c r="A270" s="29">
        <f t="shared" si="8"/>
        <v>291.14458114461934</v>
      </c>
      <c r="B270">
        <v>2911.4458114461936</v>
      </c>
      <c r="C270">
        <v>22736.524986920052</v>
      </c>
      <c r="D270" s="23">
        <f t="shared" si="9"/>
        <v>227.36524986920051</v>
      </c>
    </row>
    <row r="271" spans="1:4">
      <c r="A271" s="29">
        <f t="shared" si="8"/>
        <v>292.23094152202464</v>
      </c>
      <c r="B271">
        <v>2922.3094152202466</v>
      </c>
      <c r="C271">
        <v>22634.906960260054</v>
      </c>
      <c r="D271" s="23">
        <f t="shared" si="9"/>
        <v>226.34906960260054</v>
      </c>
    </row>
    <row r="272" spans="1:4">
      <c r="A272" s="29">
        <f t="shared" si="8"/>
        <v>293.31730189942994</v>
      </c>
      <c r="B272">
        <v>2933.1730189942996</v>
      </c>
      <c r="C272">
        <v>22533.288933600055</v>
      </c>
      <c r="D272" s="23">
        <f t="shared" si="9"/>
        <v>225.33288933600056</v>
      </c>
    </row>
    <row r="273" spans="1:4">
      <c r="A273" s="29">
        <f t="shared" si="8"/>
        <v>294.40366227683523</v>
      </c>
      <c r="B273">
        <v>2944.0366227683526</v>
      </c>
      <c r="C273">
        <v>22431.670906940057</v>
      </c>
      <c r="D273" s="23">
        <f t="shared" si="9"/>
        <v>224.31670906940056</v>
      </c>
    </row>
    <row r="274" spans="1:4">
      <c r="A274" s="29">
        <f t="shared" si="8"/>
        <v>295.49002265424053</v>
      </c>
      <c r="B274">
        <v>2954.9002265424056</v>
      </c>
      <c r="C274">
        <v>22330.052880280058</v>
      </c>
      <c r="D274" s="23">
        <f t="shared" si="9"/>
        <v>223.30052880280059</v>
      </c>
    </row>
    <row r="275" spans="1:4">
      <c r="A275" s="29">
        <f t="shared" si="8"/>
        <v>296.57638303164583</v>
      </c>
      <c r="B275">
        <v>2965.7638303164586</v>
      </c>
      <c r="C275">
        <v>22228.43485362006</v>
      </c>
      <c r="D275" s="23">
        <f t="shared" si="9"/>
        <v>222.28434853620058</v>
      </c>
    </row>
    <row r="276" spans="1:4">
      <c r="A276" s="29">
        <f t="shared" si="8"/>
        <v>297.66274340905113</v>
      </c>
      <c r="B276">
        <v>2976.6274340905115</v>
      </c>
      <c r="C276">
        <v>22126.816826960061</v>
      </c>
      <c r="D276" s="23">
        <f t="shared" si="9"/>
        <v>221.26816826960061</v>
      </c>
    </row>
    <row r="277" spans="1:4">
      <c r="A277" s="29">
        <f t="shared" si="8"/>
        <v>298.74910378645643</v>
      </c>
      <c r="B277">
        <v>2987.4910378645645</v>
      </c>
      <c r="C277">
        <v>22025.198800300062</v>
      </c>
      <c r="D277" s="23">
        <f t="shared" si="9"/>
        <v>220.25198800300063</v>
      </c>
    </row>
    <row r="278" spans="1:4">
      <c r="A278" s="29">
        <f t="shared" si="8"/>
        <v>299.83546416386173</v>
      </c>
      <c r="B278">
        <v>2998.3546416386175</v>
      </c>
      <c r="C278">
        <v>21923.580773640064</v>
      </c>
      <c r="D278" s="23">
        <f t="shared" si="9"/>
        <v>219.23580773640063</v>
      </c>
    </row>
    <row r="279" spans="1:4">
      <c r="A279" s="29">
        <f t="shared" si="8"/>
        <v>300.92182454126703</v>
      </c>
      <c r="B279">
        <v>3009.2182454126705</v>
      </c>
      <c r="C279">
        <v>21821.962746980065</v>
      </c>
      <c r="D279" s="23">
        <f t="shared" si="9"/>
        <v>218.21962746980066</v>
      </c>
    </row>
    <row r="280" spans="1:4">
      <c r="A280" s="29">
        <f t="shared" si="8"/>
        <v>302.00818491867233</v>
      </c>
      <c r="B280">
        <v>3020.0818491867235</v>
      </c>
      <c r="C280">
        <v>21720.344720320067</v>
      </c>
      <c r="D280" s="23">
        <f t="shared" si="9"/>
        <v>217.20344720320065</v>
      </c>
    </row>
    <row r="281" spans="1:4">
      <c r="A281" s="29">
        <f t="shared" si="8"/>
        <v>303.09454529607763</v>
      </c>
      <c r="B281" s="28">
        <v>3030.9454529607765</v>
      </c>
      <c r="C281" s="25">
        <v>21618.726693660068</v>
      </c>
      <c r="D281" s="23">
        <f t="shared" si="9"/>
        <v>216.18726693660068</v>
      </c>
    </row>
    <row r="282" spans="1:4">
      <c r="A282" s="29">
        <f t="shared" si="8"/>
        <v>304.18090567348293</v>
      </c>
      <c r="B282" s="28">
        <v>3041.8090567348295</v>
      </c>
      <c r="C282" s="25">
        <v>21517.10866700007</v>
      </c>
      <c r="D282" s="23">
        <f t="shared" si="9"/>
        <v>215.1710866700007</v>
      </c>
    </row>
    <row r="283" spans="1:4">
      <c r="A283" s="29">
        <f t="shared" si="8"/>
        <v>305.26726605088822</v>
      </c>
      <c r="B283" s="28">
        <v>3052.6726605088825</v>
      </c>
      <c r="C283" s="25">
        <v>21415.490640340071</v>
      </c>
      <c r="D283" s="23">
        <f t="shared" si="9"/>
        <v>214.1549064034007</v>
      </c>
    </row>
    <row r="284" spans="1:4">
      <c r="A284" s="29">
        <f t="shared" si="8"/>
        <v>306.35362642829352</v>
      </c>
      <c r="B284" s="28">
        <v>3063.5362642829355</v>
      </c>
      <c r="C284" s="25">
        <v>21313.872613680072</v>
      </c>
      <c r="D284" s="23">
        <f t="shared" si="9"/>
        <v>213.13872613680073</v>
      </c>
    </row>
    <row r="285" spans="1:4">
      <c r="A285" s="29">
        <f t="shared" si="8"/>
        <v>307.43998680569882</v>
      </c>
      <c r="B285" s="28">
        <v>3074.3998680569885</v>
      </c>
      <c r="C285" s="25">
        <v>21212.254587020074</v>
      </c>
      <c r="D285" s="23">
        <f t="shared" si="9"/>
        <v>212.12254587020072</v>
      </c>
    </row>
    <row r="286" spans="1:4">
      <c r="A286" s="29">
        <f t="shared" si="8"/>
        <v>308.52634718310412</v>
      </c>
      <c r="B286" s="28">
        <v>3085.2634718310414</v>
      </c>
      <c r="C286" s="25">
        <v>21110.636560360075</v>
      </c>
      <c r="D286" s="23">
        <f t="shared" si="9"/>
        <v>211.10636560360075</v>
      </c>
    </row>
    <row r="287" spans="1:4">
      <c r="A287" s="29">
        <f t="shared" si="8"/>
        <v>309.61270756050942</v>
      </c>
      <c r="B287" s="28">
        <v>3096.127075605094</v>
      </c>
      <c r="C287" s="25">
        <v>21009.018533700077</v>
      </c>
      <c r="D287" s="23">
        <f t="shared" si="9"/>
        <v>210.09018533700078</v>
      </c>
    </row>
    <row r="288" spans="1:4">
      <c r="A288" s="29">
        <f t="shared" si="8"/>
        <v>310.69906793791472</v>
      </c>
      <c r="B288" s="28">
        <v>3106.990679379147</v>
      </c>
      <c r="C288" s="25">
        <v>20907.400507040078</v>
      </c>
      <c r="D288" s="23">
        <f t="shared" si="9"/>
        <v>209.07400507040077</v>
      </c>
    </row>
    <row r="289" spans="1:4">
      <c r="A289" s="29">
        <f t="shared" si="8"/>
        <v>311.78542831532002</v>
      </c>
      <c r="B289" s="28">
        <v>3117.8542831532</v>
      </c>
      <c r="C289" s="25">
        <v>20805.78248038008</v>
      </c>
      <c r="D289" s="23">
        <f t="shared" si="9"/>
        <v>208.0578248038008</v>
      </c>
    </row>
    <row r="290" spans="1:4">
      <c r="A290" s="29">
        <f t="shared" si="8"/>
        <v>312.87178869272532</v>
      </c>
      <c r="B290" s="28">
        <v>3128.7178869272529</v>
      </c>
      <c r="C290" s="25">
        <v>20704.164453720081</v>
      </c>
      <c r="D290" s="23">
        <f t="shared" si="9"/>
        <v>207.0416445372008</v>
      </c>
    </row>
    <row r="291" spans="1:4">
      <c r="A291" s="29">
        <f t="shared" si="8"/>
        <v>313.95814907013062</v>
      </c>
      <c r="B291" s="28">
        <v>3139.5814907013059</v>
      </c>
      <c r="C291" s="25">
        <v>20602.546427060082</v>
      </c>
      <c r="D291" s="23">
        <f t="shared" si="9"/>
        <v>206.02546427060082</v>
      </c>
    </row>
    <row r="292" spans="1:4">
      <c r="A292" s="29">
        <f t="shared" si="8"/>
        <v>315.04450944753592</v>
      </c>
      <c r="B292" s="28">
        <v>3150.4450944753589</v>
      </c>
      <c r="C292" s="25">
        <v>20500.928400400084</v>
      </c>
      <c r="D292" s="23">
        <f t="shared" si="9"/>
        <v>205.00928400400085</v>
      </c>
    </row>
    <row r="293" spans="1:4">
      <c r="A293" s="29">
        <f t="shared" si="8"/>
        <v>316.13086982494121</v>
      </c>
      <c r="B293" s="28">
        <v>3161.3086982494119</v>
      </c>
      <c r="C293" s="25">
        <v>20399.310373740085</v>
      </c>
      <c r="D293" s="23">
        <f t="shared" si="9"/>
        <v>203.99310373740084</v>
      </c>
    </row>
    <row r="294" spans="1:4">
      <c r="A294" s="29">
        <f t="shared" si="8"/>
        <v>317.21723020234651</v>
      </c>
      <c r="B294" s="28">
        <v>3172.1723020234649</v>
      </c>
      <c r="C294" s="25">
        <v>20297.692347080087</v>
      </c>
      <c r="D294" s="23">
        <f t="shared" si="9"/>
        <v>202.97692347080087</v>
      </c>
    </row>
    <row r="295" spans="1:4">
      <c r="A295" s="29">
        <f t="shared" si="8"/>
        <v>318.30359057975181</v>
      </c>
      <c r="B295" s="28">
        <v>3183.0359057975179</v>
      </c>
      <c r="C295" s="25">
        <v>20196.074320420088</v>
      </c>
      <c r="D295" s="23">
        <f t="shared" si="9"/>
        <v>201.96074320420087</v>
      </c>
    </row>
    <row r="296" spans="1:4">
      <c r="A296" s="29">
        <f t="shared" si="8"/>
        <v>319.38995095715711</v>
      </c>
      <c r="B296" s="28">
        <v>3193.8995095715709</v>
      </c>
      <c r="C296" s="25">
        <v>20094.456293760089</v>
      </c>
      <c r="D296" s="23">
        <f t="shared" si="9"/>
        <v>200.94456293760089</v>
      </c>
    </row>
    <row r="297" spans="1:4">
      <c r="A297" s="29">
        <f t="shared" si="8"/>
        <v>320.47631133456241</v>
      </c>
      <c r="B297" s="28">
        <v>3204.7631133456239</v>
      </c>
      <c r="C297" s="25">
        <v>19992.838267100091</v>
      </c>
      <c r="D297" s="23">
        <f t="shared" si="9"/>
        <v>199.92838267100092</v>
      </c>
    </row>
    <row r="298" spans="1:4">
      <c r="A298" s="29">
        <f t="shared" si="8"/>
        <v>321.56267171196771</v>
      </c>
      <c r="B298" s="28">
        <v>3215.6267171196769</v>
      </c>
      <c r="C298" s="25">
        <v>19891.220240440092</v>
      </c>
      <c r="D298" s="23">
        <f t="shared" si="9"/>
        <v>198.91220240440092</v>
      </c>
    </row>
    <row r="299" spans="1:4">
      <c r="A299" s="29">
        <f t="shared" si="8"/>
        <v>322.64903208937301</v>
      </c>
      <c r="B299" s="28">
        <v>3226.4903208937299</v>
      </c>
      <c r="C299" s="25">
        <v>19789.602213780094</v>
      </c>
      <c r="D299" s="23">
        <f t="shared" si="9"/>
        <v>197.89602213780094</v>
      </c>
    </row>
    <row r="300" spans="1:4">
      <c r="A300" s="29">
        <f t="shared" si="8"/>
        <v>323.73539246677831</v>
      </c>
      <c r="B300" s="28">
        <v>3237.3539246677828</v>
      </c>
      <c r="C300" s="25">
        <v>19687.984187120095</v>
      </c>
      <c r="D300" s="23">
        <f t="shared" si="9"/>
        <v>196.87984187120094</v>
      </c>
    </row>
    <row r="301" spans="1:4">
      <c r="A301" s="29">
        <f t="shared" si="8"/>
        <v>324.82175284418361</v>
      </c>
      <c r="B301" s="28">
        <v>3248.2175284418358</v>
      </c>
      <c r="C301" s="25">
        <v>19586.366160460097</v>
      </c>
      <c r="D301" s="23">
        <f t="shared" si="9"/>
        <v>195.86366160460096</v>
      </c>
    </row>
    <row r="302" spans="1:4">
      <c r="A302" s="29">
        <f t="shared" si="8"/>
        <v>325.90811322158891</v>
      </c>
      <c r="B302" s="28">
        <v>3259.0811322158888</v>
      </c>
      <c r="C302" s="25">
        <v>19484.748133800098</v>
      </c>
      <c r="D302" s="23">
        <f t="shared" si="9"/>
        <v>194.84748133800099</v>
      </c>
    </row>
    <row r="303" spans="1:4">
      <c r="A303" s="29">
        <f t="shared" si="8"/>
        <v>326.99447359899415</v>
      </c>
      <c r="B303" s="28">
        <v>3269.9447359899414</v>
      </c>
      <c r="C303" s="25">
        <v>19383.130107140099</v>
      </c>
      <c r="D303" s="23">
        <f t="shared" si="9"/>
        <v>193.83130107140099</v>
      </c>
    </row>
    <row r="304" spans="1:4">
      <c r="A304" s="29">
        <f t="shared" si="8"/>
        <v>328.08083397639945</v>
      </c>
      <c r="B304" s="28">
        <v>3280.8083397639944</v>
      </c>
      <c r="C304" s="25">
        <v>19281.512080480101</v>
      </c>
      <c r="D304" s="23">
        <f t="shared" si="9"/>
        <v>192.81512080480101</v>
      </c>
    </row>
    <row r="305" spans="1:4">
      <c r="A305" s="29">
        <f t="shared" si="8"/>
        <v>329.16719435380475</v>
      </c>
      <c r="B305" s="28">
        <v>3291.6719435380473</v>
      </c>
      <c r="C305" s="25">
        <v>19179.894053820102</v>
      </c>
      <c r="D305" s="23">
        <f t="shared" si="9"/>
        <v>191.79894053820101</v>
      </c>
    </row>
    <row r="306" spans="1:4">
      <c r="A306" s="29">
        <f t="shared" si="8"/>
        <v>330.25355473121004</v>
      </c>
      <c r="B306" s="28">
        <v>3302.5355473121003</v>
      </c>
      <c r="C306" s="25">
        <v>19078.276027160104</v>
      </c>
      <c r="D306" s="23">
        <f t="shared" si="9"/>
        <v>190.78276027160103</v>
      </c>
    </row>
    <row r="307" spans="1:4">
      <c r="A307" s="29">
        <f t="shared" si="8"/>
        <v>331.33991510861534</v>
      </c>
      <c r="B307" s="28">
        <v>3313.3991510861533</v>
      </c>
      <c r="C307" s="25">
        <v>18976.658000500105</v>
      </c>
      <c r="D307" s="23">
        <f t="shared" si="9"/>
        <v>189.76658000500106</v>
      </c>
    </row>
    <row r="308" spans="1:4">
      <c r="A308" s="29">
        <f t="shared" si="8"/>
        <v>332.42627548602064</v>
      </c>
      <c r="B308" s="28">
        <v>3324.2627548602063</v>
      </c>
      <c r="C308" s="25">
        <v>18875.039973840107</v>
      </c>
      <c r="D308" s="23">
        <f t="shared" si="9"/>
        <v>188.75039973840106</v>
      </c>
    </row>
    <row r="309" spans="1:4">
      <c r="A309" s="29">
        <f t="shared" si="8"/>
        <v>333.51263586342594</v>
      </c>
      <c r="B309" s="28">
        <v>3335.1263586342593</v>
      </c>
      <c r="C309" s="25">
        <v>18773.421947180108</v>
      </c>
      <c r="D309" s="23">
        <f t="shared" si="9"/>
        <v>187.73421947180108</v>
      </c>
    </row>
    <row r="310" spans="1:4">
      <c r="A310" s="29">
        <f t="shared" si="8"/>
        <v>334.59899624083124</v>
      </c>
      <c r="B310" s="28">
        <v>3345.9899624083123</v>
      </c>
      <c r="C310" s="25">
        <v>18671.803920520109</v>
      </c>
      <c r="D310" s="23">
        <f t="shared" si="9"/>
        <v>186.71803920520108</v>
      </c>
    </row>
    <row r="311" spans="1:4">
      <c r="A311" s="29">
        <f t="shared" si="8"/>
        <v>335.68535661823654</v>
      </c>
      <c r="B311" s="28">
        <v>3356.8535661823653</v>
      </c>
      <c r="C311" s="25">
        <v>18570.185893860111</v>
      </c>
      <c r="D311" s="23">
        <f t="shared" si="9"/>
        <v>185.70185893860111</v>
      </c>
    </row>
    <row r="312" spans="1:4">
      <c r="A312" s="29">
        <f t="shared" si="8"/>
        <v>336.77171699564184</v>
      </c>
      <c r="B312" s="28">
        <v>3367.7171699564183</v>
      </c>
      <c r="C312" s="25">
        <v>18468.567867200112</v>
      </c>
      <c r="D312" s="23">
        <f t="shared" si="9"/>
        <v>184.68567867200113</v>
      </c>
    </row>
    <row r="313" spans="1:4">
      <c r="A313" s="29">
        <f t="shared" si="8"/>
        <v>337.85807737304714</v>
      </c>
      <c r="B313" s="28">
        <v>3378.5807737304713</v>
      </c>
      <c r="C313" s="25">
        <v>18366.949840540114</v>
      </c>
      <c r="D313" s="23">
        <f t="shared" si="9"/>
        <v>183.66949840540113</v>
      </c>
    </row>
    <row r="314" spans="1:4">
      <c r="A314" s="29">
        <f t="shared" si="8"/>
        <v>338.94443775045244</v>
      </c>
      <c r="B314" s="28">
        <v>3389.4443775045243</v>
      </c>
      <c r="C314" s="25">
        <v>18265.331813880115</v>
      </c>
      <c r="D314" s="23">
        <f t="shared" si="9"/>
        <v>182.65331813880115</v>
      </c>
    </row>
    <row r="315" spans="1:4">
      <c r="A315" s="29">
        <f t="shared" si="8"/>
        <v>340.03079812785774</v>
      </c>
      <c r="B315" s="28">
        <v>3400.3079812785772</v>
      </c>
      <c r="C315" s="25">
        <v>18163.713787220117</v>
      </c>
      <c r="D315" s="23">
        <f t="shared" si="9"/>
        <v>181.63713787220115</v>
      </c>
    </row>
    <row r="316" spans="1:4">
      <c r="A316" s="29">
        <f t="shared" si="8"/>
        <v>341.11715850526303</v>
      </c>
      <c r="B316" s="28">
        <v>3411.1715850526302</v>
      </c>
      <c r="C316" s="25">
        <v>18062.095760560118</v>
      </c>
      <c r="D316" s="23">
        <f t="shared" si="9"/>
        <v>180.62095760560118</v>
      </c>
    </row>
    <row r="317" spans="1:4">
      <c r="A317" s="29">
        <f t="shared" si="8"/>
        <v>342.20351888266833</v>
      </c>
      <c r="B317" s="28">
        <v>3422.0351888266832</v>
      </c>
      <c r="C317" s="25">
        <v>17960.477733900119</v>
      </c>
      <c r="D317" s="23">
        <f t="shared" si="9"/>
        <v>179.6047773390012</v>
      </c>
    </row>
    <row r="318" spans="1:4">
      <c r="A318" s="29">
        <f t="shared" si="8"/>
        <v>343.28987926007363</v>
      </c>
      <c r="B318" s="28">
        <v>3432.8987926007362</v>
      </c>
      <c r="C318" s="25">
        <v>17858.859707240121</v>
      </c>
      <c r="D318" s="23">
        <f t="shared" si="9"/>
        <v>178.5885970724012</v>
      </c>
    </row>
    <row r="319" spans="1:4">
      <c r="A319" s="29">
        <f t="shared" si="8"/>
        <v>344.37623963747888</v>
      </c>
      <c r="B319" s="28">
        <v>3443.7623963747888</v>
      </c>
      <c r="C319" s="25">
        <v>17757.241680580122</v>
      </c>
      <c r="D319" s="23">
        <f t="shared" si="9"/>
        <v>177.57241680580123</v>
      </c>
    </row>
    <row r="320" spans="1:4">
      <c r="A320" s="29">
        <f t="shared" si="8"/>
        <v>345.46260001488417</v>
      </c>
      <c r="B320" s="28">
        <v>3454.6260001488417</v>
      </c>
      <c r="C320" s="25">
        <v>17655.623653920124</v>
      </c>
      <c r="D320" s="23">
        <f t="shared" si="9"/>
        <v>176.55623653920122</v>
      </c>
    </row>
    <row r="321" spans="1:4">
      <c r="A321" s="29">
        <f t="shared" si="8"/>
        <v>346.54896039228947</v>
      </c>
      <c r="B321" s="27">
        <v>3465.4896039228947</v>
      </c>
      <c r="C321">
        <v>17554.005627260125</v>
      </c>
      <c r="D321" s="23">
        <f t="shared" si="9"/>
        <v>175.54005627260125</v>
      </c>
    </row>
    <row r="322" spans="1:4">
      <c r="A322" s="29">
        <f t="shared" si="8"/>
        <v>347.63532076969477</v>
      </c>
      <c r="B322" s="27">
        <v>3476.3532076969477</v>
      </c>
      <c r="C322">
        <v>17452.387600600126</v>
      </c>
      <c r="D322" s="23">
        <f t="shared" si="9"/>
        <v>174.52387600600127</v>
      </c>
    </row>
    <row r="323" spans="1:4">
      <c r="A323" s="29">
        <f t="shared" ref="A323:A386" si="10">$B323/10</f>
        <v>348.72168114710007</v>
      </c>
      <c r="B323" s="27">
        <v>3487.2168114710007</v>
      </c>
      <c r="C323">
        <v>17350.769573940128</v>
      </c>
      <c r="D323" s="23">
        <f t="shared" ref="D323:D386" si="11">$C323/100</f>
        <v>173.50769573940127</v>
      </c>
    </row>
    <row r="324" spans="1:4">
      <c r="A324" s="29">
        <f t="shared" si="10"/>
        <v>349.80804152450537</v>
      </c>
      <c r="B324" s="27">
        <v>3498.0804152450537</v>
      </c>
      <c r="C324">
        <v>17249.151547280129</v>
      </c>
      <c r="D324" s="23">
        <f t="shared" si="11"/>
        <v>172.4915154728013</v>
      </c>
    </row>
    <row r="325" spans="1:4">
      <c r="A325" s="29">
        <f t="shared" si="10"/>
        <v>350.89440190191067</v>
      </c>
      <c r="B325" s="27">
        <v>3508.9440190191067</v>
      </c>
      <c r="C325">
        <v>17147.533520620131</v>
      </c>
      <c r="D325" s="23">
        <f t="shared" si="11"/>
        <v>171.47533520620129</v>
      </c>
    </row>
    <row r="326" spans="1:4">
      <c r="A326" s="29">
        <f t="shared" si="10"/>
        <v>351.98076227931597</v>
      </c>
      <c r="B326" s="27">
        <v>3519.8076227931597</v>
      </c>
      <c r="C326">
        <v>17045.915493960132</v>
      </c>
      <c r="D326" s="23">
        <f t="shared" si="11"/>
        <v>170.45915493960132</v>
      </c>
    </row>
    <row r="327" spans="1:4">
      <c r="A327" s="29">
        <f t="shared" si="10"/>
        <v>353.06712265672127</v>
      </c>
      <c r="B327" s="27">
        <v>3530.6712265672127</v>
      </c>
      <c r="C327">
        <v>16944.297467300134</v>
      </c>
      <c r="D327" s="23">
        <f t="shared" si="11"/>
        <v>169.44297467300134</v>
      </c>
    </row>
    <row r="328" spans="1:4">
      <c r="A328" s="29">
        <f t="shared" si="10"/>
        <v>354.15348303412657</v>
      </c>
      <c r="B328" s="27">
        <v>3541.5348303412657</v>
      </c>
      <c r="C328">
        <v>16842.679440640135</v>
      </c>
      <c r="D328" s="23">
        <f t="shared" si="11"/>
        <v>168.42679440640134</v>
      </c>
    </row>
    <row r="329" spans="1:4">
      <c r="A329" s="29">
        <f t="shared" si="10"/>
        <v>355.23984341153187</v>
      </c>
      <c r="B329">
        <v>3552.3984341153187</v>
      </c>
      <c r="C329">
        <v>16741.061413980136</v>
      </c>
      <c r="D329" s="23">
        <f t="shared" si="11"/>
        <v>167.41061413980137</v>
      </c>
    </row>
    <row r="330" spans="1:4">
      <c r="A330" s="29">
        <f t="shared" si="10"/>
        <v>356.32620378893716</v>
      </c>
      <c r="B330">
        <v>3563.2620378893716</v>
      </c>
      <c r="C330">
        <v>16639.443387320138</v>
      </c>
      <c r="D330" s="23">
        <f t="shared" si="11"/>
        <v>166.39443387320136</v>
      </c>
    </row>
    <row r="331" spans="1:4">
      <c r="A331" s="29">
        <f t="shared" si="10"/>
        <v>357.41256416634246</v>
      </c>
      <c r="B331">
        <v>3574.1256416634246</v>
      </c>
      <c r="C331">
        <v>16537.825360660139</v>
      </c>
      <c r="D331" s="23">
        <f t="shared" si="11"/>
        <v>165.37825360660139</v>
      </c>
    </row>
    <row r="332" spans="1:4">
      <c r="A332" s="29">
        <f t="shared" si="10"/>
        <v>358.49892454374776</v>
      </c>
      <c r="B332">
        <v>3584.9892454374776</v>
      </c>
      <c r="C332">
        <v>16436.207334000141</v>
      </c>
      <c r="D332" s="23">
        <f t="shared" si="11"/>
        <v>164.36207334000142</v>
      </c>
    </row>
    <row r="333" spans="1:4">
      <c r="A333" s="29">
        <f t="shared" si="10"/>
        <v>359.58528492115306</v>
      </c>
      <c r="B333">
        <v>3595.8528492115306</v>
      </c>
      <c r="C333">
        <v>16334.58930734014</v>
      </c>
      <c r="D333" s="23">
        <f t="shared" si="11"/>
        <v>163.34589307340141</v>
      </c>
    </row>
    <row r="334" spans="1:4">
      <c r="A334" s="29">
        <f t="shared" si="10"/>
        <v>360.67164529855836</v>
      </c>
      <c r="B334">
        <v>3606.7164529855836</v>
      </c>
      <c r="C334">
        <v>16232.97128068014</v>
      </c>
      <c r="D334" s="23">
        <f t="shared" si="11"/>
        <v>162.32971280680141</v>
      </c>
    </row>
    <row r="335" spans="1:4">
      <c r="A335" s="29">
        <f t="shared" si="10"/>
        <v>361.7580056759636</v>
      </c>
      <c r="B335">
        <v>3617.5800567596361</v>
      </c>
      <c r="C335">
        <v>16131.35325402014</v>
      </c>
      <c r="D335" s="23">
        <f t="shared" si="11"/>
        <v>161.31353254020141</v>
      </c>
    </row>
    <row r="336" spans="1:4">
      <c r="A336" s="29">
        <f t="shared" si="10"/>
        <v>362.8443660533689</v>
      </c>
      <c r="B336">
        <v>3628.4436605336891</v>
      </c>
      <c r="C336">
        <v>16029.735227360139</v>
      </c>
      <c r="D336" s="23">
        <f t="shared" si="11"/>
        <v>160.2973522736014</v>
      </c>
    </row>
    <row r="337" spans="1:4">
      <c r="A337" s="29">
        <f t="shared" si="10"/>
        <v>363.9307264307742</v>
      </c>
      <c r="B337">
        <v>3639.3072643077421</v>
      </c>
      <c r="C337">
        <v>15928.117200700139</v>
      </c>
      <c r="D337" s="23">
        <f t="shared" si="11"/>
        <v>159.28117200700137</v>
      </c>
    </row>
    <row r="338" spans="1:4">
      <c r="A338" s="29">
        <f t="shared" si="10"/>
        <v>365.0170868081795</v>
      </c>
      <c r="B338">
        <v>3650.1708680817951</v>
      </c>
      <c r="C338">
        <v>15826.499174040138</v>
      </c>
      <c r="D338" s="23">
        <f t="shared" si="11"/>
        <v>158.26499174040137</v>
      </c>
    </row>
    <row r="339" spans="1:4">
      <c r="A339" s="29">
        <f t="shared" si="10"/>
        <v>366.1034471855848</v>
      </c>
      <c r="B339">
        <v>3661.0344718558481</v>
      </c>
      <c r="C339">
        <v>15724.881147380138</v>
      </c>
      <c r="D339" s="23">
        <f t="shared" si="11"/>
        <v>157.24881147380137</v>
      </c>
    </row>
    <row r="340" spans="1:4">
      <c r="A340" s="29">
        <f t="shared" si="10"/>
        <v>367.1898075629901</v>
      </c>
      <c r="B340">
        <v>3671.8980756299011</v>
      </c>
      <c r="C340">
        <v>15623.263120720138</v>
      </c>
      <c r="D340" s="23">
        <f t="shared" si="11"/>
        <v>156.23263120720136</v>
      </c>
    </row>
    <row r="341" spans="1:4">
      <c r="A341" s="29">
        <f t="shared" si="10"/>
        <v>368.2761679403954</v>
      </c>
      <c r="B341">
        <v>3682.7616794039541</v>
      </c>
      <c r="C341">
        <v>15521.645094060137</v>
      </c>
      <c r="D341" s="23">
        <f t="shared" si="11"/>
        <v>155.21645094060136</v>
      </c>
    </row>
    <row r="342" spans="1:4">
      <c r="A342" s="29">
        <f t="shared" si="10"/>
        <v>369.3625283178007</v>
      </c>
      <c r="B342">
        <v>3693.6252831780071</v>
      </c>
      <c r="C342">
        <v>15420.027067400137</v>
      </c>
      <c r="D342" s="23">
        <f t="shared" si="11"/>
        <v>154.20027067400136</v>
      </c>
    </row>
    <row r="343" spans="1:4">
      <c r="A343" s="29">
        <f t="shared" si="10"/>
        <v>370.44888869520599</v>
      </c>
      <c r="B343">
        <v>3704.4888869520601</v>
      </c>
      <c r="C343">
        <v>15318.409040740136</v>
      </c>
      <c r="D343" s="23">
        <f t="shared" si="11"/>
        <v>153.18409040740136</v>
      </c>
    </row>
    <row r="344" spans="1:4">
      <c r="A344" s="29">
        <f t="shared" si="10"/>
        <v>371.53524907261129</v>
      </c>
      <c r="B344">
        <v>3715.352490726113</v>
      </c>
      <c r="C344">
        <v>15216.791014080136</v>
      </c>
      <c r="D344" s="23">
        <f t="shared" si="11"/>
        <v>152.16791014080135</v>
      </c>
    </row>
    <row r="345" spans="1:4">
      <c r="A345" s="29">
        <f t="shared" si="10"/>
        <v>372.62160945001659</v>
      </c>
      <c r="B345">
        <v>3726.216094500166</v>
      </c>
      <c r="C345">
        <v>15115.172987420136</v>
      </c>
      <c r="D345" s="23">
        <f t="shared" si="11"/>
        <v>151.15172987420135</v>
      </c>
    </row>
    <row r="346" spans="1:4">
      <c r="A346" s="29">
        <f t="shared" si="10"/>
        <v>373.70796982742189</v>
      </c>
      <c r="B346">
        <v>3737.079698274219</v>
      </c>
      <c r="C346">
        <v>15013.554960760135</v>
      </c>
      <c r="D346" s="23">
        <f t="shared" si="11"/>
        <v>150.13554960760135</v>
      </c>
    </row>
    <row r="347" spans="1:4">
      <c r="A347" s="29">
        <f t="shared" si="10"/>
        <v>374.79433020482719</v>
      </c>
      <c r="B347">
        <v>3747.943302048272</v>
      </c>
      <c r="C347">
        <v>14911.936934100135</v>
      </c>
      <c r="D347" s="23">
        <f t="shared" si="11"/>
        <v>149.11936934100135</v>
      </c>
    </row>
    <row r="348" spans="1:4">
      <c r="A348" s="29">
        <f t="shared" si="10"/>
        <v>375.88069058223249</v>
      </c>
      <c r="B348">
        <v>3758.806905822325</v>
      </c>
      <c r="C348">
        <v>14810.318907440134</v>
      </c>
      <c r="D348" s="23">
        <f t="shared" si="11"/>
        <v>148.10318907440134</v>
      </c>
    </row>
    <row r="349" spans="1:4">
      <c r="A349" s="29">
        <f t="shared" si="10"/>
        <v>376.96705095963779</v>
      </c>
      <c r="B349">
        <v>3769.670509596378</v>
      </c>
      <c r="C349">
        <v>14708.700880780134</v>
      </c>
      <c r="D349" s="23">
        <f t="shared" si="11"/>
        <v>147.08700880780134</v>
      </c>
    </row>
    <row r="350" spans="1:4">
      <c r="A350" s="29">
        <f t="shared" si="10"/>
        <v>378.05341133704309</v>
      </c>
      <c r="B350">
        <v>3780.534113370431</v>
      </c>
      <c r="C350">
        <v>14607.082854120134</v>
      </c>
      <c r="D350" s="23">
        <f t="shared" si="11"/>
        <v>146.07082854120134</v>
      </c>
    </row>
    <row r="351" spans="1:4">
      <c r="A351" s="29">
        <f t="shared" si="10"/>
        <v>379.13977171444839</v>
      </c>
      <c r="B351">
        <v>3791.397717144484</v>
      </c>
      <c r="C351">
        <v>14505.464827460133</v>
      </c>
      <c r="D351" s="23">
        <f t="shared" si="11"/>
        <v>145.05464827460133</v>
      </c>
    </row>
    <row r="352" spans="1:4">
      <c r="A352" s="29">
        <f t="shared" si="10"/>
        <v>380.22613209185363</v>
      </c>
      <c r="B352">
        <v>3802.2613209185365</v>
      </c>
      <c r="C352">
        <v>14403.846800800133</v>
      </c>
      <c r="D352" s="23">
        <f t="shared" si="11"/>
        <v>144.03846800800133</v>
      </c>
    </row>
    <row r="353" spans="1:4">
      <c r="A353" s="29">
        <f t="shared" si="10"/>
        <v>381.31249246925893</v>
      </c>
      <c r="B353">
        <v>3813.1249246925895</v>
      </c>
      <c r="C353">
        <v>14302.228774140132</v>
      </c>
      <c r="D353" s="23">
        <f t="shared" si="11"/>
        <v>143.02228774140133</v>
      </c>
    </row>
    <row r="354" spans="1:4">
      <c r="A354" s="29">
        <f t="shared" si="10"/>
        <v>382.39885284666423</v>
      </c>
      <c r="B354">
        <v>3823.9885284666425</v>
      </c>
      <c r="C354">
        <v>14200.610747480132</v>
      </c>
      <c r="D354" s="23">
        <f t="shared" si="11"/>
        <v>142.00610747480133</v>
      </c>
    </row>
    <row r="355" spans="1:4">
      <c r="A355" s="29">
        <f t="shared" si="10"/>
        <v>383.48521322406953</v>
      </c>
      <c r="B355">
        <v>3834.8521322406955</v>
      </c>
      <c r="C355">
        <v>14098.992720820132</v>
      </c>
      <c r="D355" s="23">
        <f t="shared" si="11"/>
        <v>140.98992720820132</v>
      </c>
    </row>
    <row r="356" spans="1:4">
      <c r="A356" s="29">
        <f t="shared" si="10"/>
        <v>384.57157360147482</v>
      </c>
      <c r="B356">
        <v>3845.7157360147485</v>
      </c>
      <c r="C356">
        <v>13997.374694160131</v>
      </c>
      <c r="D356" s="23">
        <f t="shared" si="11"/>
        <v>139.97374694160132</v>
      </c>
    </row>
    <row r="357" spans="1:4">
      <c r="A357" s="29">
        <f t="shared" si="10"/>
        <v>385.65793397888012</v>
      </c>
      <c r="B357">
        <v>3856.5793397888015</v>
      </c>
      <c r="C357">
        <v>13895.756667500131</v>
      </c>
      <c r="D357" s="23">
        <f t="shared" si="11"/>
        <v>138.95756667500132</v>
      </c>
    </row>
    <row r="358" spans="1:4">
      <c r="A358" s="29">
        <f t="shared" si="10"/>
        <v>386.74429435628542</v>
      </c>
      <c r="B358">
        <v>3867.4429435628545</v>
      </c>
      <c r="C358">
        <v>13794.13864084013</v>
      </c>
      <c r="D358" s="23">
        <f t="shared" si="11"/>
        <v>137.94138640840131</v>
      </c>
    </row>
    <row r="359" spans="1:4">
      <c r="A359" s="29">
        <f t="shared" si="10"/>
        <v>387.83065473369072</v>
      </c>
      <c r="B359">
        <v>3878.3065473369074</v>
      </c>
      <c r="C359">
        <v>13692.52061418013</v>
      </c>
      <c r="D359" s="23">
        <f t="shared" si="11"/>
        <v>136.92520614180131</v>
      </c>
    </row>
    <row r="360" spans="1:4">
      <c r="A360" s="29">
        <f t="shared" si="10"/>
        <v>388.91701511109602</v>
      </c>
      <c r="B360">
        <v>3889.1701511109604</v>
      </c>
      <c r="C360">
        <v>13590.90258752013</v>
      </c>
      <c r="D360" s="23">
        <f t="shared" si="11"/>
        <v>135.90902587520131</v>
      </c>
    </row>
    <row r="361" spans="1:4">
      <c r="A361" s="29">
        <f t="shared" si="10"/>
        <v>390.00337548850132</v>
      </c>
      <c r="B361">
        <v>3900.0337548850134</v>
      </c>
      <c r="C361">
        <v>13489.284560860129</v>
      </c>
      <c r="D361" s="23">
        <f t="shared" si="11"/>
        <v>134.89284560860131</v>
      </c>
    </row>
    <row r="362" spans="1:4">
      <c r="A362" s="29">
        <f t="shared" si="10"/>
        <v>391.08973586590662</v>
      </c>
      <c r="B362">
        <v>3910.8973586590664</v>
      </c>
      <c r="C362">
        <v>13387.666534200129</v>
      </c>
      <c r="D362" s="23">
        <f t="shared" si="11"/>
        <v>133.87666534200127</v>
      </c>
    </row>
    <row r="363" spans="1:4">
      <c r="A363" s="29">
        <f t="shared" si="10"/>
        <v>392.17609624331192</v>
      </c>
      <c r="B363">
        <v>3921.7609624331194</v>
      </c>
      <c r="C363">
        <v>13286.048507540128</v>
      </c>
      <c r="D363" s="23">
        <f t="shared" si="11"/>
        <v>132.86048507540127</v>
      </c>
    </row>
    <row r="364" spans="1:4">
      <c r="A364" s="29">
        <f t="shared" si="10"/>
        <v>393.26245662071722</v>
      </c>
      <c r="B364">
        <v>3932.6245662071724</v>
      </c>
      <c r="C364">
        <v>13184.430480880128</v>
      </c>
      <c r="D364" s="23">
        <f t="shared" si="11"/>
        <v>131.84430480880127</v>
      </c>
    </row>
    <row r="365" spans="1:4">
      <c r="A365" s="29">
        <f t="shared" si="10"/>
        <v>394.34881699812252</v>
      </c>
      <c r="B365">
        <v>3943.4881699812254</v>
      </c>
      <c r="C365">
        <v>13082.812454220128</v>
      </c>
      <c r="D365" s="23">
        <f t="shared" si="11"/>
        <v>130.82812454220127</v>
      </c>
    </row>
    <row r="366" spans="1:4">
      <c r="A366" s="29">
        <f t="shared" si="10"/>
        <v>395.43517737552781</v>
      </c>
      <c r="B366">
        <v>3954.3517737552784</v>
      </c>
      <c r="C366">
        <v>12981.194427560127</v>
      </c>
      <c r="D366" s="23">
        <f t="shared" si="11"/>
        <v>129.81194427560126</v>
      </c>
    </row>
    <row r="367" spans="1:4">
      <c r="A367" s="29">
        <f t="shared" si="10"/>
        <v>396.52153775293311</v>
      </c>
      <c r="B367">
        <v>3965.2153775293314</v>
      </c>
      <c r="C367">
        <v>12879.576400900127</v>
      </c>
      <c r="D367" s="23">
        <f t="shared" si="11"/>
        <v>128.79576400900126</v>
      </c>
    </row>
    <row r="368" spans="1:4">
      <c r="A368" s="29">
        <f t="shared" si="10"/>
        <v>397.60789813033841</v>
      </c>
      <c r="B368">
        <v>3976.0789813033839</v>
      </c>
      <c r="C368">
        <v>12777.958374240126</v>
      </c>
      <c r="D368" s="23">
        <f t="shared" si="11"/>
        <v>127.77958374240126</v>
      </c>
    </row>
    <row r="369" spans="1:4">
      <c r="A369" s="29">
        <f t="shared" si="10"/>
        <v>398.69425850774371</v>
      </c>
      <c r="B369">
        <v>3986.9425850774369</v>
      </c>
      <c r="C369">
        <v>12676.340347580126</v>
      </c>
      <c r="D369" s="23">
        <f t="shared" si="11"/>
        <v>126.76340347580125</v>
      </c>
    </row>
    <row r="370" spans="1:4">
      <c r="A370" s="29">
        <f t="shared" si="10"/>
        <v>399.78061888514901</v>
      </c>
      <c r="B370">
        <v>3997.8061888514899</v>
      </c>
      <c r="C370">
        <v>12574.722320920126</v>
      </c>
      <c r="D370" s="23">
        <f t="shared" si="11"/>
        <v>125.74722320920125</v>
      </c>
    </row>
    <row r="371" spans="1:4">
      <c r="A371" s="29">
        <f t="shared" si="10"/>
        <v>400.86697926255431</v>
      </c>
      <c r="B371">
        <v>4008.6697926255429</v>
      </c>
      <c r="C371">
        <v>12473.104294260125</v>
      </c>
      <c r="D371" s="23">
        <f t="shared" si="11"/>
        <v>124.73104294260125</v>
      </c>
    </row>
    <row r="372" spans="1:4">
      <c r="A372" s="29">
        <f t="shared" si="10"/>
        <v>401.95333963995961</v>
      </c>
      <c r="B372">
        <v>4019.5333963995959</v>
      </c>
      <c r="C372">
        <v>12371.486267600125</v>
      </c>
      <c r="D372" s="23">
        <f t="shared" si="11"/>
        <v>123.71486267600125</v>
      </c>
    </row>
    <row r="373" spans="1:4">
      <c r="A373" s="29">
        <f t="shared" si="10"/>
        <v>403.03970001736491</v>
      </c>
      <c r="B373">
        <v>4030.3970001736488</v>
      </c>
      <c r="C373">
        <v>12269.868240940124</v>
      </c>
      <c r="D373" s="23">
        <f t="shared" si="11"/>
        <v>122.69868240940124</v>
      </c>
    </row>
    <row r="374" spans="1:4">
      <c r="A374" s="29">
        <f t="shared" si="10"/>
        <v>404.12606039477021</v>
      </c>
      <c r="B374">
        <v>4041.2606039477018</v>
      </c>
      <c r="C374">
        <v>12168.250214280124</v>
      </c>
      <c r="D374" s="23">
        <f t="shared" si="11"/>
        <v>121.68250214280124</v>
      </c>
    </row>
    <row r="375" spans="1:4">
      <c r="A375" s="29">
        <f t="shared" si="10"/>
        <v>405.21242077217551</v>
      </c>
      <c r="B375">
        <v>4052.1242077217548</v>
      </c>
      <c r="C375">
        <v>12066.632187620124</v>
      </c>
      <c r="D375" s="23">
        <f t="shared" si="11"/>
        <v>120.66632187620124</v>
      </c>
    </row>
    <row r="376" spans="1:4">
      <c r="A376" s="29">
        <f t="shared" si="10"/>
        <v>406.2987811495808</v>
      </c>
      <c r="B376">
        <v>4062.9878114958078</v>
      </c>
      <c r="C376">
        <v>11965.014160960123</v>
      </c>
      <c r="D376" s="23">
        <f t="shared" si="11"/>
        <v>119.65014160960123</v>
      </c>
    </row>
    <row r="377" spans="1:4">
      <c r="A377" s="29">
        <f t="shared" si="10"/>
        <v>407.3851415269861</v>
      </c>
      <c r="B377">
        <v>4073.8514152698608</v>
      </c>
      <c r="C377">
        <v>11863.396134300123</v>
      </c>
      <c r="D377" s="23">
        <f t="shared" si="11"/>
        <v>118.63396134300123</v>
      </c>
    </row>
    <row r="378" spans="1:4">
      <c r="A378" s="29">
        <f t="shared" si="10"/>
        <v>408.4715019043914</v>
      </c>
      <c r="B378">
        <v>4084.7150190439138</v>
      </c>
      <c r="C378">
        <v>11761.778107640122</v>
      </c>
      <c r="D378" s="23">
        <f t="shared" si="11"/>
        <v>117.61778107640123</v>
      </c>
    </row>
    <row r="379" spans="1:4">
      <c r="A379" s="29">
        <f t="shared" si="10"/>
        <v>409.5578622817967</v>
      </c>
      <c r="B379">
        <v>4095.5786228179668</v>
      </c>
      <c r="C379">
        <v>11660.160080980122</v>
      </c>
      <c r="D379" s="23">
        <f t="shared" si="11"/>
        <v>116.60160080980123</v>
      </c>
    </row>
    <row r="380" spans="1:4">
      <c r="A380" s="29">
        <f t="shared" si="10"/>
        <v>410.64422265920194</v>
      </c>
      <c r="B380">
        <v>4106.4422265920193</v>
      </c>
      <c r="C380">
        <v>11558.542054320122</v>
      </c>
      <c r="D380" s="23">
        <f t="shared" si="11"/>
        <v>115.58542054320122</v>
      </c>
    </row>
    <row r="381" spans="1:4">
      <c r="A381" s="29">
        <f t="shared" si="10"/>
        <v>411.7305830366073</v>
      </c>
      <c r="B381">
        <v>4117.3058303660728</v>
      </c>
      <c r="C381">
        <v>11456.924027660121</v>
      </c>
      <c r="D381" s="23">
        <f t="shared" si="11"/>
        <v>114.56924027660121</v>
      </c>
    </row>
    <row r="382" spans="1:4">
      <c r="A382" s="29">
        <f t="shared" si="10"/>
        <v>412.81694341401254</v>
      </c>
      <c r="B382">
        <v>4128.1694341401253</v>
      </c>
      <c r="C382">
        <v>11355.306001000121</v>
      </c>
      <c r="D382" s="23">
        <f t="shared" si="11"/>
        <v>113.5530600100012</v>
      </c>
    </row>
    <row r="383" spans="1:4">
      <c r="A383" s="29">
        <f t="shared" si="10"/>
        <v>413.9033037914179</v>
      </c>
      <c r="B383">
        <v>4139.0330379141787</v>
      </c>
      <c r="C383">
        <v>11253.68797434012</v>
      </c>
      <c r="D383" s="23">
        <f t="shared" si="11"/>
        <v>112.5368797434012</v>
      </c>
    </row>
    <row r="384" spans="1:4">
      <c r="A384" s="29">
        <f t="shared" si="10"/>
        <v>414.98966416882314</v>
      </c>
      <c r="B384">
        <v>4149.8966416882313</v>
      </c>
      <c r="C384">
        <v>11152.06994768012</v>
      </c>
      <c r="D384" s="23">
        <f t="shared" si="11"/>
        <v>111.5206994768012</v>
      </c>
    </row>
    <row r="385" spans="1:4">
      <c r="A385" s="29">
        <f t="shared" si="10"/>
        <v>416.0760245462285</v>
      </c>
      <c r="B385">
        <v>4160.7602454622847</v>
      </c>
      <c r="C385">
        <v>11050.45192102012</v>
      </c>
      <c r="D385" s="23">
        <f t="shared" si="11"/>
        <v>110.5045192102012</v>
      </c>
    </row>
    <row r="386" spans="1:4">
      <c r="A386" s="29">
        <f t="shared" si="10"/>
        <v>417.16238492363374</v>
      </c>
      <c r="B386">
        <v>4171.6238492363373</v>
      </c>
      <c r="C386">
        <v>10948.833894360119</v>
      </c>
      <c r="D386" s="23">
        <f t="shared" si="11"/>
        <v>109.48833894360119</v>
      </c>
    </row>
    <row r="387" spans="1:4">
      <c r="A387" s="29">
        <f t="shared" ref="A387:A450" si="12">$B387/10</f>
        <v>418.24874530103909</v>
      </c>
      <c r="B387">
        <v>4182.4874530103907</v>
      </c>
      <c r="C387">
        <v>10847.215867700119</v>
      </c>
      <c r="D387" s="23">
        <f t="shared" ref="D387:D450" si="13">$C387/100</f>
        <v>108.47215867700119</v>
      </c>
    </row>
    <row r="388" spans="1:4">
      <c r="A388" s="29">
        <f t="shared" si="12"/>
        <v>419.33510567844434</v>
      </c>
      <c r="B388">
        <v>4193.3510567844432</v>
      </c>
      <c r="C388">
        <v>10745.597841040119</v>
      </c>
      <c r="D388" s="23">
        <f t="shared" si="13"/>
        <v>107.45597841040119</v>
      </c>
    </row>
    <row r="389" spans="1:4">
      <c r="A389" s="29">
        <f t="shared" si="12"/>
        <v>420.42146605584969</v>
      </c>
      <c r="B389">
        <v>4204.2146605584967</v>
      </c>
      <c r="C389">
        <v>10643.979814380118</v>
      </c>
      <c r="D389" s="23">
        <f t="shared" si="13"/>
        <v>106.43979814380118</v>
      </c>
    </row>
    <row r="390" spans="1:4">
      <c r="A390" s="29">
        <f t="shared" si="12"/>
        <v>421.50782643325493</v>
      </c>
      <c r="B390">
        <v>4215.0782643325492</v>
      </c>
      <c r="C390">
        <v>10542.361787720118</v>
      </c>
      <c r="D390" s="23">
        <f t="shared" si="13"/>
        <v>105.42361787720118</v>
      </c>
    </row>
    <row r="391" spans="1:4">
      <c r="A391" s="29">
        <f t="shared" si="12"/>
        <v>422.59418681066029</v>
      </c>
      <c r="B391">
        <v>4225.9418681066027</v>
      </c>
      <c r="C391">
        <v>10440.743761060117</v>
      </c>
      <c r="D391" s="23">
        <f t="shared" si="13"/>
        <v>104.40743761060118</v>
      </c>
    </row>
    <row r="392" spans="1:4">
      <c r="A392" s="29">
        <f t="shared" si="12"/>
        <v>423.68054718806553</v>
      </c>
      <c r="B392">
        <v>4236.8054718806552</v>
      </c>
      <c r="C392">
        <v>10339.125734400117</v>
      </c>
      <c r="D392" s="23">
        <f t="shared" si="13"/>
        <v>103.39125734400118</v>
      </c>
    </row>
    <row r="393" spans="1:4">
      <c r="A393" s="29">
        <f t="shared" si="12"/>
        <v>424.76690756547077</v>
      </c>
      <c r="B393">
        <v>4247.6690756547077</v>
      </c>
      <c r="C393">
        <v>10237.688160960106</v>
      </c>
      <c r="D393" s="23">
        <f t="shared" si="13"/>
        <v>102.37688160960106</v>
      </c>
    </row>
    <row r="394" spans="1:4">
      <c r="A394" s="29">
        <f t="shared" si="12"/>
        <v>425.85326794287613</v>
      </c>
      <c r="B394">
        <v>4258.5326794287612</v>
      </c>
      <c r="C394">
        <v>10136.250587520095</v>
      </c>
      <c r="D394" s="23">
        <f t="shared" si="13"/>
        <v>101.36250587520095</v>
      </c>
    </row>
    <row r="395" spans="1:4">
      <c r="A395" s="29">
        <f t="shared" si="12"/>
        <v>426.93962832028137</v>
      </c>
      <c r="B395">
        <v>4269.3962832028137</v>
      </c>
      <c r="C395">
        <v>10034.813014080084</v>
      </c>
      <c r="D395" s="23">
        <f t="shared" si="13"/>
        <v>100.34813014080083</v>
      </c>
    </row>
    <row r="396" spans="1:4">
      <c r="A396" s="29">
        <f t="shared" si="12"/>
        <v>428.02598869768673</v>
      </c>
      <c r="B396">
        <v>4280.2598869768672</v>
      </c>
      <c r="C396">
        <v>9933.3754406400731</v>
      </c>
      <c r="D396" s="23">
        <f t="shared" si="13"/>
        <v>99.333754406400729</v>
      </c>
    </row>
    <row r="397" spans="1:4">
      <c r="A397" s="29">
        <f t="shared" si="12"/>
        <v>429.11234907509197</v>
      </c>
      <c r="B397">
        <v>4291.1234907509197</v>
      </c>
      <c r="C397">
        <v>9831.9378672000621</v>
      </c>
      <c r="D397" s="23">
        <f t="shared" si="13"/>
        <v>98.319378672000624</v>
      </c>
    </row>
    <row r="398" spans="1:4">
      <c r="A398" s="29">
        <f t="shared" si="12"/>
        <v>430.19870945249733</v>
      </c>
      <c r="B398">
        <v>4301.9870945249731</v>
      </c>
      <c r="C398">
        <v>9730.5002937600511</v>
      </c>
      <c r="D398" s="23">
        <f t="shared" si="13"/>
        <v>97.305002937600506</v>
      </c>
    </row>
    <row r="399" spans="1:4">
      <c r="A399" s="29">
        <f t="shared" si="12"/>
        <v>431.28506982990257</v>
      </c>
      <c r="B399">
        <v>4312.8506982990257</v>
      </c>
      <c r="C399">
        <v>9629.0627203200402</v>
      </c>
      <c r="D399" s="23">
        <f t="shared" si="13"/>
        <v>96.290627203200401</v>
      </c>
    </row>
    <row r="400" spans="1:4">
      <c r="A400" s="29">
        <f t="shared" si="12"/>
        <v>432.37143020730792</v>
      </c>
      <c r="B400">
        <v>4323.7143020730791</v>
      </c>
      <c r="C400">
        <v>9527.6251468800292</v>
      </c>
      <c r="D400" s="23">
        <f t="shared" si="13"/>
        <v>95.276251468800297</v>
      </c>
    </row>
    <row r="401" spans="1:4">
      <c r="A401" s="29">
        <f t="shared" si="12"/>
        <v>433.45779058471317</v>
      </c>
      <c r="B401">
        <v>4334.5779058471317</v>
      </c>
      <c r="C401">
        <v>9426.1875734400182</v>
      </c>
      <c r="D401" s="23">
        <f t="shared" si="13"/>
        <v>94.261875734400178</v>
      </c>
    </row>
    <row r="402" spans="1:4">
      <c r="A402" s="29">
        <f t="shared" si="12"/>
        <v>434.54415096211852</v>
      </c>
      <c r="B402">
        <v>4345.4415096211851</v>
      </c>
      <c r="C402">
        <v>9324.75</v>
      </c>
      <c r="D402" s="23">
        <f t="shared" si="13"/>
        <v>93.247500000000002</v>
      </c>
    </row>
    <row r="403" spans="1:4">
      <c r="A403" s="29">
        <f t="shared" si="12"/>
        <v>435.63051133952376</v>
      </c>
      <c r="B403">
        <v>4356.3051133952376</v>
      </c>
      <c r="C403">
        <v>9224.5830000000005</v>
      </c>
      <c r="D403" s="23">
        <f t="shared" si="13"/>
        <v>92.245830000000012</v>
      </c>
    </row>
    <row r="404" spans="1:4">
      <c r="A404" s="29">
        <f t="shared" si="12"/>
        <v>436.71687171692912</v>
      </c>
      <c r="B404">
        <v>4367.1687171692911</v>
      </c>
      <c r="C404">
        <v>9124.4160000000011</v>
      </c>
      <c r="D404" s="23">
        <f t="shared" si="13"/>
        <v>91.244160000000008</v>
      </c>
    </row>
    <row r="405" spans="1:4">
      <c r="A405" s="29">
        <f t="shared" si="12"/>
        <v>437.80323209433436</v>
      </c>
      <c r="B405">
        <v>4378.0323209433436</v>
      </c>
      <c r="C405">
        <v>9024.2490000000016</v>
      </c>
      <c r="D405" s="23">
        <f t="shared" si="13"/>
        <v>90.242490000000018</v>
      </c>
    </row>
    <row r="406" spans="1:4">
      <c r="A406" s="29">
        <f t="shared" si="12"/>
        <v>438.88959247173972</v>
      </c>
      <c r="B406">
        <v>4388.8959247173971</v>
      </c>
      <c r="C406">
        <v>8924.0820000000022</v>
      </c>
      <c r="D406" s="23">
        <f t="shared" si="13"/>
        <v>89.240820000000028</v>
      </c>
    </row>
    <row r="407" spans="1:4">
      <c r="A407" s="29">
        <f t="shared" si="12"/>
        <v>439.97595284914496</v>
      </c>
      <c r="B407">
        <v>4399.7595284914496</v>
      </c>
      <c r="C407">
        <v>8823.9150000000027</v>
      </c>
      <c r="D407" s="23">
        <f t="shared" si="13"/>
        <v>88.239150000000024</v>
      </c>
    </row>
    <row r="408" spans="1:4">
      <c r="A408" s="29">
        <f t="shared" si="12"/>
        <v>441.0623132265502</v>
      </c>
      <c r="B408">
        <v>4410.6231322655021</v>
      </c>
      <c r="C408">
        <v>8723.7480000000032</v>
      </c>
      <c r="D408" s="23">
        <f t="shared" si="13"/>
        <v>87.237480000000033</v>
      </c>
    </row>
    <row r="409" spans="1:4">
      <c r="A409" s="29">
        <f t="shared" si="12"/>
        <v>442.14867360395556</v>
      </c>
      <c r="B409">
        <v>4421.4867360395556</v>
      </c>
      <c r="C409">
        <v>8623.5810000000038</v>
      </c>
      <c r="D409" s="23">
        <f t="shared" si="13"/>
        <v>86.235810000000043</v>
      </c>
    </row>
    <row r="410" spans="1:4">
      <c r="A410" s="29">
        <f t="shared" si="12"/>
        <v>443.2350339813608</v>
      </c>
      <c r="B410">
        <v>4432.3503398136081</v>
      </c>
      <c r="C410">
        <v>8523.4140000000043</v>
      </c>
      <c r="D410" s="23">
        <f t="shared" si="13"/>
        <v>85.234140000000039</v>
      </c>
    </row>
    <row r="411" spans="1:4">
      <c r="A411" s="29">
        <f t="shared" si="12"/>
        <v>444.32139435876616</v>
      </c>
      <c r="B411">
        <v>4443.2139435876616</v>
      </c>
      <c r="C411">
        <v>8423.2470000000048</v>
      </c>
      <c r="D411" s="23">
        <f t="shared" si="13"/>
        <v>84.232470000000049</v>
      </c>
    </row>
    <row r="412" spans="1:4">
      <c r="A412" s="29">
        <f t="shared" si="12"/>
        <v>445.4077547361714</v>
      </c>
      <c r="B412">
        <v>4454.0775473617141</v>
      </c>
      <c r="C412">
        <v>8323.08</v>
      </c>
      <c r="D412" s="23">
        <f t="shared" si="13"/>
        <v>83.230800000000002</v>
      </c>
    </row>
    <row r="413" spans="1:4">
      <c r="A413" s="29">
        <f t="shared" si="12"/>
        <v>446.49411511357675</v>
      </c>
      <c r="B413">
        <v>4464.9411511357675</v>
      </c>
      <c r="C413">
        <v>8225.2837</v>
      </c>
      <c r="D413" s="23">
        <f t="shared" si="13"/>
        <v>82.252837</v>
      </c>
    </row>
    <row r="414" spans="1:4">
      <c r="A414" s="29">
        <f t="shared" si="12"/>
        <v>447.580475490982</v>
      </c>
      <c r="B414">
        <v>4475.8047549098201</v>
      </c>
      <c r="C414">
        <v>8127.4874</v>
      </c>
      <c r="D414" s="23">
        <f t="shared" si="13"/>
        <v>81.274873999999997</v>
      </c>
    </row>
    <row r="415" spans="1:4">
      <c r="A415" s="29">
        <f t="shared" si="12"/>
        <v>448.66683586838735</v>
      </c>
      <c r="B415">
        <v>4486.6683586838735</v>
      </c>
      <c r="C415">
        <v>8029.6911</v>
      </c>
      <c r="D415" s="23">
        <f t="shared" si="13"/>
        <v>80.296910999999994</v>
      </c>
    </row>
    <row r="416" spans="1:4">
      <c r="A416" s="29">
        <f t="shared" si="12"/>
        <v>449.75319624579259</v>
      </c>
      <c r="B416">
        <v>4497.5319624579261</v>
      </c>
      <c r="C416">
        <v>7931.8948</v>
      </c>
      <c r="D416" s="23">
        <f t="shared" si="13"/>
        <v>79.318948000000006</v>
      </c>
    </row>
    <row r="417" spans="1:4">
      <c r="A417" s="29">
        <f t="shared" si="12"/>
        <v>450.83955662319795</v>
      </c>
      <c r="B417">
        <v>4508.3955662319795</v>
      </c>
      <c r="C417">
        <v>7834.0985000000001</v>
      </c>
      <c r="D417" s="23">
        <f t="shared" si="13"/>
        <v>78.340985000000003</v>
      </c>
    </row>
    <row r="418" spans="1:4">
      <c r="A418" s="29">
        <f t="shared" si="12"/>
        <v>451.92591700060319</v>
      </c>
      <c r="B418">
        <v>4519.259170006032</v>
      </c>
      <c r="C418">
        <v>7736.3022000000001</v>
      </c>
      <c r="D418" s="23">
        <f t="shared" si="13"/>
        <v>77.363022000000001</v>
      </c>
    </row>
    <row r="419" spans="1:4">
      <c r="A419" s="29">
        <f t="shared" si="12"/>
        <v>453.01227737800855</v>
      </c>
      <c r="B419">
        <v>4530.1227737800855</v>
      </c>
      <c r="C419">
        <v>7638.5059000000001</v>
      </c>
      <c r="D419" s="23">
        <f t="shared" si="13"/>
        <v>76.385058999999998</v>
      </c>
    </row>
    <row r="420" spans="1:4">
      <c r="A420" s="29">
        <f t="shared" si="12"/>
        <v>454.09863775541379</v>
      </c>
      <c r="B420">
        <v>4540.986377554138</v>
      </c>
      <c r="C420">
        <v>7540.7096000000001</v>
      </c>
      <c r="D420" s="23">
        <f t="shared" si="13"/>
        <v>75.407095999999996</v>
      </c>
    </row>
    <row r="421" spans="1:4">
      <c r="A421" s="29">
        <f t="shared" si="12"/>
        <v>455.18499813281915</v>
      </c>
      <c r="B421">
        <v>4551.8499813281915</v>
      </c>
      <c r="C421">
        <v>7442.9133000000002</v>
      </c>
      <c r="D421" s="23">
        <f t="shared" si="13"/>
        <v>74.429133000000007</v>
      </c>
    </row>
    <row r="422" spans="1:4">
      <c r="A422" s="29">
        <f t="shared" si="12"/>
        <v>456.27135851022439</v>
      </c>
      <c r="B422">
        <v>4562.713585102244</v>
      </c>
      <c r="C422">
        <v>7345.1170000000002</v>
      </c>
      <c r="D422" s="23">
        <f t="shared" si="13"/>
        <v>73.451170000000005</v>
      </c>
    </row>
    <row r="423" spans="1:4">
      <c r="A423" s="29">
        <f t="shared" si="12"/>
        <v>457.35771888762974</v>
      </c>
      <c r="B423">
        <v>4573.5771888762974</v>
      </c>
      <c r="C423">
        <v>7250.9763000000003</v>
      </c>
      <c r="D423" s="23">
        <f t="shared" si="13"/>
        <v>72.509763000000007</v>
      </c>
    </row>
    <row r="424" spans="1:4">
      <c r="A424" s="29">
        <f t="shared" si="12"/>
        <v>458.44407926503499</v>
      </c>
      <c r="B424">
        <v>4584.44079265035</v>
      </c>
      <c r="C424">
        <v>7156.8356000000003</v>
      </c>
      <c r="D424" s="23">
        <f t="shared" si="13"/>
        <v>71.568356000000009</v>
      </c>
    </row>
    <row r="425" spans="1:4">
      <c r="A425" s="29">
        <f t="shared" si="12"/>
        <v>459.53043964244023</v>
      </c>
      <c r="B425">
        <v>4595.3043964244025</v>
      </c>
      <c r="C425">
        <v>7062.6949000000004</v>
      </c>
      <c r="D425" s="23">
        <f t="shared" si="13"/>
        <v>70.62694900000001</v>
      </c>
    </row>
    <row r="426" spans="1:4">
      <c r="A426" s="29">
        <f t="shared" si="12"/>
        <v>460.61680001984558</v>
      </c>
      <c r="B426">
        <v>4606.168000198456</v>
      </c>
      <c r="C426">
        <v>6968.5542000000005</v>
      </c>
      <c r="D426" s="23">
        <f t="shared" si="13"/>
        <v>69.685541999999998</v>
      </c>
    </row>
    <row r="427" spans="1:4">
      <c r="A427" s="29">
        <f t="shared" si="12"/>
        <v>461.70316039725083</v>
      </c>
      <c r="B427">
        <v>4617.0316039725085</v>
      </c>
      <c r="C427">
        <v>6874.4135000000006</v>
      </c>
      <c r="D427" s="23">
        <f t="shared" si="13"/>
        <v>68.744135</v>
      </c>
    </row>
    <row r="428" spans="1:4">
      <c r="A428" s="29">
        <f t="shared" si="12"/>
        <v>462.78952077465618</v>
      </c>
      <c r="B428">
        <v>4627.8952077465619</v>
      </c>
      <c r="C428">
        <v>6780.2728000000006</v>
      </c>
      <c r="D428" s="23">
        <f t="shared" si="13"/>
        <v>67.802728000000002</v>
      </c>
    </row>
    <row r="429" spans="1:4">
      <c r="A429" s="29">
        <f t="shared" si="12"/>
        <v>463.87588115206142</v>
      </c>
      <c r="B429">
        <v>4638.7588115206145</v>
      </c>
      <c r="C429">
        <v>6686.1321000000007</v>
      </c>
      <c r="D429" s="23">
        <f t="shared" si="13"/>
        <v>66.861321000000004</v>
      </c>
    </row>
    <row r="430" spans="1:4">
      <c r="A430" s="29">
        <f t="shared" si="12"/>
        <v>464.96224152946678</v>
      </c>
      <c r="B430">
        <v>4649.6224152946679</v>
      </c>
      <c r="C430">
        <v>6591.9914000000008</v>
      </c>
      <c r="D430" s="23">
        <f t="shared" si="13"/>
        <v>65.919914000000006</v>
      </c>
    </row>
    <row r="431" spans="1:4">
      <c r="A431" s="29">
        <f t="shared" si="12"/>
        <v>466.04860190687202</v>
      </c>
      <c r="B431">
        <v>4660.4860190687205</v>
      </c>
      <c r="C431">
        <v>6497.8507000000009</v>
      </c>
      <c r="D431" s="23">
        <f t="shared" si="13"/>
        <v>64.978507000000008</v>
      </c>
    </row>
    <row r="432" spans="1:4">
      <c r="A432" s="29">
        <f t="shared" si="12"/>
        <v>467.13496228427738</v>
      </c>
      <c r="B432">
        <v>4671.3496228427739</v>
      </c>
      <c r="C432">
        <v>6403.71</v>
      </c>
      <c r="D432" s="23">
        <f t="shared" si="13"/>
        <v>64.037099999999995</v>
      </c>
    </row>
    <row r="433" spans="1:4">
      <c r="A433" s="29">
        <f t="shared" si="12"/>
        <v>468.22132266168262</v>
      </c>
      <c r="B433">
        <v>4682.2132266168264</v>
      </c>
      <c r="C433">
        <v>6315.7089999999998</v>
      </c>
      <c r="D433" s="23">
        <f t="shared" si="13"/>
        <v>63.157089999999997</v>
      </c>
    </row>
    <row r="434" spans="1:4">
      <c r="A434" s="29">
        <f t="shared" si="12"/>
        <v>469.30768303908798</v>
      </c>
      <c r="B434">
        <v>4693.0768303908799</v>
      </c>
      <c r="C434">
        <v>6227.7079999999996</v>
      </c>
      <c r="D434" s="23">
        <f t="shared" si="13"/>
        <v>62.277079999999998</v>
      </c>
    </row>
    <row r="435" spans="1:4">
      <c r="A435" s="29">
        <f t="shared" si="12"/>
        <v>470.39404341649322</v>
      </c>
      <c r="B435">
        <v>4703.9404341649324</v>
      </c>
      <c r="C435">
        <v>6139.7069999999994</v>
      </c>
      <c r="D435" s="23">
        <f t="shared" si="13"/>
        <v>61.397069999999992</v>
      </c>
    </row>
    <row r="436" spans="1:4">
      <c r="A436" s="29">
        <f t="shared" si="12"/>
        <v>471.48040379389857</v>
      </c>
      <c r="B436">
        <v>4714.8040379389859</v>
      </c>
      <c r="C436">
        <v>6051.7059999999992</v>
      </c>
      <c r="D436" s="23">
        <f t="shared" si="13"/>
        <v>60.517059999999994</v>
      </c>
    </row>
    <row r="437" spans="1:4">
      <c r="A437" s="29">
        <f t="shared" si="12"/>
        <v>472.56676417130382</v>
      </c>
      <c r="B437">
        <v>4725.6676417130384</v>
      </c>
      <c r="C437">
        <v>5963.704999999999</v>
      </c>
      <c r="D437" s="23">
        <f t="shared" si="13"/>
        <v>59.637049999999988</v>
      </c>
    </row>
    <row r="438" spans="1:4">
      <c r="A438" s="29">
        <f t="shared" si="12"/>
        <v>473.65312454870917</v>
      </c>
      <c r="B438">
        <v>4736.5312454870918</v>
      </c>
      <c r="C438">
        <v>5875.7039999999988</v>
      </c>
      <c r="D438" s="23">
        <f t="shared" si="13"/>
        <v>58.757039999999989</v>
      </c>
    </row>
    <row r="439" spans="1:4">
      <c r="A439" s="29">
        <f t="shared" si="12"/>
        <v>474.73948492611441</v>
      </c>
      <c r="B439">
        <v>4747.3948492611444</v>
      </c>
      <c r="C439">
        <v>5787.7029999999986</v>
      </c>
      <c r="D439" s="23">
        <f t="shared" si="13"/>
        <v>57.877029999999984</v>
      </c>
    </row>
    <row r="440" spans="1:4">
      <c r="A440" s="29">
        <f t="shared" si="12"/>
        <v>475.82584530351977</v>
      </c>
      <c r="B440">
        <v>4758.2584530351978</v>
      </c>
      <c r="C440">
        <v>5699.7019999999984</v>
      </c>
      <c r="D440" s="23">
        <f t="shared" si="13"/>
        <v>56.997019999999985</v>
      </c>
    </row>
    <row r="441" spans="1:4">
      <c r="A441" s="29">
        <f t="shared" si="12"/>
        <v>476.91220568092501</v>
      </c>
      <c r="B441">
        <v>4769.1220568092504</v>
      </c>
      <c r="C441">
        <v>5611.7009999999982</v>
      </c>
      <c r="D441" s="23">
        <f t="shared" si="13"/>
        <v>56.117009999999979</v>
      </c>
    </row>
    <row r="442" spans="1:4">
      <c r="A442" s="29">
        <f t="shared" si="12"/>
        <v>477.99856605833031</v>
      </c>
      <c r="B442">
        <v>4779.9856605833029</v>
      </c>
      <c r="C442">
        <v>5523.7</v>
      </c>
      <c r="D442" s="23">
        <f t="shared" si="13"/>
        <v>55.236999999999995</v>
      </c>
    </row>
    <row r="443" spans="1:4">
      <c r="A443" s="29">
        <f t="shared" si="12"/>
        <v>479.08492643573561</v>
      </c>
      <c r="B443">
        <v>4790.8492643573563</v>
      </c>
      <c r="C443">
        <v>5443.076</v>
      </c>
      <c r="D443" s="23">
        <f t="shared" si="13"/>
        <v>54.430759999999999</v>
      </c>
    </row>
    <row r="444" spans="1:4">
      <c r="A444" s="29">
        <f t="shared" si="12"/>
        <v>480.17128681314091</v>
      </c>
      <c r="B444">
        <v>4801.7128681314089</v>
      </c>
      <c r="C444">
        <v>5362.4520000000002</v>
      </c>
      <c r="D444" s="23">
        <f t="shared" si="13"/>
        <v>53.624520000000004</v>
      </c>
    </row>
    <row r="445" spans="1:4">
      <c r="A445" s="29">
        <f t="shared" si="12"/>
        <v>481.25764719054621</v>
      </c>
      <c r="B445">
        <v>4812.5764719054623</v>
      </c>
      <c r="C445">
        <v>5281.8280000000004</v>
      </c>
      <c r="D445" s="23">
        <f t="shared" si="13"/>
        <v>52.818280000000001</v>
      </c>
    </row>
    <row r="446" spans="1:4">
      <c r="A446" s="29">
        <f t="shared" si="12"/>
        <v>482.34400756795151</v>
      </c>
      <c r="B446">
        <v>4823.4400756795148</v>
      </c>
      <c r="C446">
        <v>5201.2040000000006</v>
      </c>
      <c r="D446" s="23">
        <f t="shared" si="13"/>
        <v>52.012040000000006</v>
      </c>
    </row>
    <row r="447" spans="1:4">
      <c r="A447" s="29">
        <f t="shared" si="12"/>
        <v>483.43036794535681</v>
      </c>
      <c r="B447">
        <v>4834.3036794535683</v>
      </c>
      <c r="C447">
        <v>5120.5800000000008</v>
      </c>
      <c r="D447" s="23">
        <f t="shared" si="13"/>
        <v>51.205800000000011</v>
      </c>
    </row>
    <row r="448" spans="1:4">
      <c r="A448" s="29">
        <f t="shared" si="12"/>
        <v>484.51672832276211</v>
      </c>
      <c r="B448">
        <v>4845.1672832276208</v>
      </c>
      <c r="C448">
        <v>5039.956000000001</v>
      </c>
      <c r="D448" s="23">
        <f t="shared" si="13"/>
        <v>50.399560000000008</v>
      </c>
    </row>
    <row r="449" spans="1:4">
      <c r="A449" s="29">
        <f t="shared" si="12"/>
        <v>485.6030887001674</v>
      </c>
      <c r="B449">
        <v>4856.0308870016743</v>
      </c>
      <c r="C449">
        <v>4959.3320000000012</v>
      </c>
      <c r="D449" s="23">
        <f t="shared" si="13"/>
        <v>49.593320000000013</v>
      </c>
    </row>
    <row r="450" spans="1:4">
      <c r="A450" s="29">
        <f t="shared" si="12"/>
        <v>486.6894490775727</v>
      </c>
      <c r="B450">
        <v>4866.8944907757268</v>
      </c>
      <c r="C450">
        <v>4878.7080000000014</v>
      </c>
      <c r="D450" s="23">
        <f t="shared" si="13"/>
        <v>48.787080000000017</v>
      </c>
    </row>
    <row r="451" spans="1:4">
      <c r="A451" s="29">
        <f t="shared" ref="A451:A514" si="14">$B451/10</f>
        <v>487.775809454978</v>
      </c>
      <c r="B451">
        <v>4877.7580945497803</v>
      </c>
      <c r="C451">
        <v>4798.0840000000017</v>
      </c>
      <c r="D451" s="23">
        <f t="shared" ref="D451:D514" si="15">$C451/100</f>
        <v>47.980840000000015</v>
      </c>
    </row>
    <row r="452" spans="1:4">
      <c r="A452" s="29">
        <f t="shared" si="14"/>
        <v>488.8621698323833</v>
      </c>
      <c r="B452">
        <v>4888.6216983238328</v>
      </c>
      <c r="C452">
        <v>4717.46</v>
      </c>
      <c r="D452" s="23">
        <f t="shared" si="15"/>
        <v>47.174599999999998</v>
      </c>
    </row>
    <row r="453" spans="1:4">
      <c r="A453" s="29">
        <f t="shared" si="14"/>
        <v>489.9485302097886</v>
      </c>
      <c r="B453">
        <v>4899.4853020978862</v>
      </c>
      <c r="C453">
        <v>4644.1409999999996</v>
      </c>
      <c r="D453" s="23">
        <f t="shared" si="15"/>
        <v>46.441409999999998</v>
      </c>
    </row>
    <row r="454" spans="1:4">
      <c r="A454" s="29">
        <f t="shared" si="14"/>
        <v>491.0348905871939</v>
      </c>
      <c r="B454">
        <v>4910.3489058719388</v>
      </c>
      <c r="C454">
        <v>4570.8219999999992</v>
      </c>
      <c r="D454" s="23">
        <f t="shared" si="15"/>
        <v>45.70821999999999</v>
      </c>
    </row>
    <row r="455" spans="1:4">
      <c r="A455" s="29">
        <f t="shared" si="14"/>
        <v>492.1212509645992</v>
      </c>
      <c r="B455">
        <v>4921.2125096459922</v>
      </c>
      <c r="C455">
        <v>4497.5029999999988</v>
      </c>
      <c r="D455" s="23">
        <f t="shared" si="15"/>
        <v>44.97502999999999</v>
      </c>
    </row>
    <row r="456" spans="1:4">
      <c r="A456" s="29">
        <f t="shared" si="14"/>
        <v>493.2076113420045</v>
      </c>
      <c r="B456">
        <v>4932.0761134200447</v>
      </c>
      <c r="C456">
        <v>4424.1839999999984</v>
      </c>
      <c r="D456" s="23">
        <f t="shared" si="15"/>
        <v>44.241839999999982</v>
      </c>
    </row>
    <row r="457" spans="1:4">
      <c r="A457" s="29">
        <f t="shared" si="14"/>
        <v>494.29397171940974</v>
      </c>
      <c r="B457">
        <v>4942.9397171940973</v>
      </c>
      <c r="C457">
        <v>4350.864999999998</v>
      </c>
      <c r="D457" s="23">
        <f t="shared" si="15"/>
        <v>43.508649999999982</v>
      </c>
    </row>
    <row r="458" spans="1:4">
      <c r="A458" s="29">
        <f t="shared" si="14"/>
        <v>495.3803320968151</v>
      </c>
      <c r="B458">
        <v>4953.8033209681507</v>
      </c>
      <c r="C458">
        <v>4277.5459999999975</v>
      </c>
      <c r="D458" s="23">
        <f t="shared" si="15"/>
        <v>42.775459999999974</v>
      </c>
    </row>
    <row r="459" spans="1:4">
      <c r="A459" s="29">
        <f t="shared" si="14"/>
        <v>496.46669247422034</v>
      </c>
      <c r="B459">
        <v>4964.6669247422033</v>
      </c>
      <c r="C459">
        <v>4204.2269999999971</v>
      </c>
      <c r="D459" s="23">
        <f t="shared" si="15"/>
        <v>42.042269999999974</v>
      </c>
    </row>
    <row r="460" spans="1:4">
      <c r="A460" s="29">
        <f t="shared" si="14"/>
        <v>497.55305285162569</v>
      </c>
      <c r="B460">
        <v>4975.5305285162567</v>
      </c>
      <c r="C460">
        <v>4130.9079999999967</v>
      </c>
      <c r="D460" s="23">
        <f t="shared" si="15"/>
        <v>41.309079999999966</v>
      </c>
    </row>
    <row r="461" spans="1:4">
      <c r="A461" s="29">
        <f t="shared" si="14"/>
        <v>498.63941322903094</v>
      </c>
      <c r="B461">
        <v>4986.3941322903092</v>
      </c>
      <c r="C461">
        <v>4057.5889999999968</v>
      </c>
      <c r="D461" s="23">
        <f t="shared" si="15"/>
        <v>40.575889999999966</v>
      </c>
    </row>
    <row r="462" spans="1:4">
      <c r="A462" s="29">
        <f t="shared" si="14"/>
        <v>499.72577360643629</v>
      </c>
      <c r="B462">
        <v>4997.2577360643627</v>
      </c>
      <c r="C462">
        <v>3984.27</v>
      </c>
      <c r="D462" s="23">
        <f t="shared" si="15"/>
        <v>39.842700000000001</v>
      </c>
    </row>
    <row r="463" spans="1:4">
      <c r="A463" s="29">
        <f t="shared" si="14"/>
        <v>500.81213398384153</v>
      </c>
      <c r="B463">
        <v>5008.1213398384152</v>
      </c>
      <c r="C463">
        <v>3917.9670000000001</v>
      </c>
      <c r="D463" s="23">
        <f t="shared" si="15"/>
        <v>39.179670000000002</v>
      </c>
    </row>
    <row r="464" spans="1:4">
      <c r="A464" s="29">
        <f t="shared" si="14"/>
        <v>501.89849436124689</v>
      </c>
      <c r="B464">
        <v>5018.9849436124687</v>
      </c>
      <c r="C464">
        <v>3851.6640000000002</v>
      </c>
      <c r="D464" s="23">
        <f t="shared" si="15"/>
        <v>38.516640000000002</v>
      </c>
    </row>
    <row r="465" spans="1:4">
      <c r="A465" s="29">
        <f t="shared" si="14"/>
        <v>502.98485473865213</v>
      </c>
      <c r="B465">
        <v>5029.8485473865212</v>
      </c>
      <c r="C465">
        <v>3785.3610000000003</v>
      </c>
      <c r="D465" s="23">
        <f t="shared" si="15"/>
        <v>37.853610000000003</v>
      </c>
    </row>
    <row r="466" spans="1:4">
      <c r="A466" s="29">
        <f t="shared" si="14"/>
        <v>504.07121511605749</v>
      </c>
      <c r="B466">
        <v>5040.7121511605746</v>
      </c>
      <c r="C466">
        <v>3719.0580000000004</v>
      </c>
      <c r="D466" s="23">
        <f t="shared" si="15"/>
        <v>37.190580000000004</v>
      </c>
    </row>
    <row r="467" spans="1:4">
      <c r="A467" s="29">
        <f t="shared" si="14"/>
        <v>505.15757549346273</v>
      </c>
      <c r="B467">
        <v>5051.5757549346272</v>
      </c>
      <c r="C467">
        <v>3652.7550000000006</v>
      </c>
      <c r="D467" s="23">
        <f t="shared" si="15"/>
        <v>36.527550000000005</v>
      </c>
    </row>
    <row r="468" spans="1:4">
      <c r="A468" s="29">
        <f t="shared" si="14"/>
        <v>506.24393587086809</v>
      </c>
      <c r="B468">
        <v>5062.4393587086806</v>
      </c>
      <c r="C468">
        <v>3586.4520000000007</v>
      </c>
      <c r="D468" s="23">
        <f t="shared" si="15"/>
        <v>35.864520000000006</v>
      </c>
    </row>
    <row r="469" spans="1:4">
      <c r="A469" s="29">
        <f t="shared" si="14"/>
        <v>507.33029624827333</v>
      </c>
      <c r="B469">
        <v>5073.3029624827332</v>
      </c>
      <c r="C469">
        <v>3520.1490000000008</v>
      </c>
      <c r="D469" s="23">
        <f t="shared" si="15"/>
        <v>35.201490000000007</v>
      </c>
    </row>
    <row r="470" spans="1:4">
      <c r="A470" s="29">
        <f t="shared" si="14"/>
        <v>508.41665662567868</v>
      </c>
      <c r="B470">
        <v>5084.1665662567866</v>
      </c>
      <c r="C470">
        <v>3453.8460000000009</v>
      </c>
      <c r="D470" s="23">
        <f t="shared" si="15"/>
        <v>34.538460000000008</v>
      </c>
    </row>
    <row r="471" spans="1:4">
      <c r="A471" s="29">
        <f t="shared" si="14"/>
        <v>509.50301700308393</v>
      </c>
      <c r="B471">
        <v>5095.0301700308391</v>
      </c>
      <c r="C471">
        <v>3387.543000000001</v>
      </c>
      <c r="D471" s="23">
        <f t="shared" si="15"/>
        <v>33.875430000000009</v>
      </c>
    </row>
    <row r="472" spans="1:4">
      <c r="A472" s="29">
        <f t="shared" si="14"/>
        <v>510.58937738048928</v>
      </c>
      <c r="B472">
        <v>5105.8937738048926</v>
      </c>
      <c r="C472">
        <v>3321.24</v>
      </c>
      <c r="D472" s="23">
        <f t="shared" si="15"/>
        <v>33.212399999999995</v>
      </c>
    </row>
    <row r="473" spans="1:4">
      <c r="A473" s="29">
        <f t="shared" si="14"/>
        <v>511.67573775789452</v>
      </c>
      <c r="B473">
        <v>5116.7573775789451</v>
      </c>
      <c r="C473">
        <v>3261.8759999999997</v>
      </c>
      <c r="D473" s="23">
        <f t="shared" si="15"/>
        <v>32.618759999999995</v>
      </c>
    </row>
    <row r="474" spans="1:4">
      <c r="A474" s="29">
        <f t="shared" si="14"/>
        <v>512.76209813529977</v>
      </c>
      <c r="B474">
        <v>5127.6209813529977</v>
      </c>
      <c r="C474">
        <v>3202.5119999999997</v>
      </c>
      <c r="D474" s="23">
        <f t="shared" si="15"/>
        <v>32.025119999999994</v>
      </c>
    </row>
    <row r="475" spans="1:4">
      <c r="A475" s="29">
        <f t="shared" si="14"/>
        <v>513.84845851270507</v>
      </c>
      <c r="B475">
        <v>5138.4845851270511</v>
      </c>
      <c r="C475">
        <v>3143.1479999999997</v>
      </c>
      <c r="D475" s="23">
        <f t="shared" si="15"/>
        <v>31.431479999999997</v>
      </c>
    </row>
    <row r="476" spans="1:4">
      <c r="A476" s="29">
        <f t="shared" si="14"/>
        <v>514.93481889011036</v>
      </c>
      <c r="B476">
        <v>5149.3481889011036</v>
      </c>
      <c r="C476">
        <v>3083.7839999999997</v>
      </c>
      <c r="D476" s="23">
        <f t="shared" si="15"/>
        <v>30.837839999999996</v>
      </c>
    </row>
    <row r="477" spans="1:4">
      <c r="A477" s="29">
        <f t="shared" si="14"/>
        <v>516.02117926751566</v>
      </c>
      <c r="B477">
        <v>5160.2117926751571</v>
      </c>
      <c r="C477">
        <v>3024.4199999999996</v>
      </c>
      <c r="D477" s="23">
        <f t="shared" si="15"/>
        <v>30.244199999999996</v>
      </c>
    </row>
    <row r="478" spans="1:4">
      <c r="A478" s="29">
        <f t="shared" si="14"/>
        <v>517.10753964492096</v>
      </c>
      <c r="B478">
        <v>5171.0753964492096</v>
      </c>
      <c r="C478">
        <v>2965.0559999999996</v>
      </c>
      <c r="D478" s="23">
        <f t="shared" si="15"/>
        <v>29.650559999999995</v>
      </c>
    </row>
    <row r="479" spans="1:4">
      <c r="A479" s="29">
        <f t="shared" si="14"/>
        <v>518.19390002232626</v>
      </c>
      <c r="B479">
        <v>5181.9390002232631</v>
      </c>
      <c r="C479">
        <v>2905.6919999999996</v>
      </c>
      <c r="D479" s="23">
        <f t="shared" si="15"/>
        <v>29.056919999999995</v>
      </c>
    </row>
    <row r="480" spans="1:4">
      <c r="A480" s="29">
        <f t="shared" si="14"/>
        <v>519.28026039973156</v>
      </c>
      <c r="B480">
        <v>5192.8026039973156</v>
      </c>
      <c r="C480">
        <v>2846.3279999999995</v>
      </c>
      <c r="D480" s="23">
        <f t="shared" si="15"/>
        <v>28.463279999999994</v>
      </c>
    </row>
    <row r="481" spans="1:4">
      <c r="A481" s="29">
        <f t="shared" si="14"/>
        <v>520.36662077713686</v>
      </c>
      <c r="B481">
        <v>5203.666207771369</v>
      </c>
      <c r="C481">
        <v>2786.9639999999995</v>
      </c>
      <c r="D481" s="23">
        <f t="shared" si="15"/>
        <v>27.869639999999993</v>
      </c>
    </row>
    <row r="482" spans="1:4">
      <c r="A482" s="29">
        <f t="shared" si="14"/>
        <v>521.45298115454216</v>
      </c>
      <c r="B482">
        <v>5214.5298115454216</v>
      </c>
      <c r="C482">
        <v>2727.6</v>
      </c>
      <c r="D482" s="23">
        <f t="shared" si="15"/>
        <v>27.276</v>
      </c>
    </row>
    <row r="483" spans="1:4">
      <c r="A483" s="29">
        <f t="shared" si="14"/>
        <v>522.53934153194746</v>
      </c>
      <c r="B483">
        <v>5225.393415319475</v>
      </c>
      <c r="C483">
        <v>2674.8939999999998</v>
      </c>
      <c r="D483" s="23">
        <f t="shared" si="15"/>
        <v>26.748939999999997</v>
      </c>
    </row>
    <row r="484" spans="1:4">
      <c r="A484" s="29">
        <f t="shared" si="14"/>
        <v>523.62570190935276</v>
      </c>
      <c r="B484">
        <v>5236.2570190935276</v>
      </c>
      <c r="C484">
        <v>2622.1879999999996</v>
      </c>
      <c r="D484" s="23">
        <f t="shared" si="15"/>
        <v>26.221879999999995</v>
      </c>
    </row>
    <row r="485" spans="1:4">
      <c r="A485" s="29">
        <f t="shared" si="14"/>
        <v>524.71206228675806</v>
      </c>
      <c r="B485">
        <v>5247.120622867581</v>
      </c>
      <c r="C485">
        <v>2569.4819999999995</v>
      </c>
      <c r="D485" s="23">
        <f t="shared" si="15"/>
        <v>25.694819999999996</v>
      </c>
    </row>
    <row r="486" spans="1:4">
      <c r="A486" s="29">
        <f t="shared" si="14"/>
        <v>525.79842266416335</v>
      </c>
      <c r="B486">
        <v>5257.9842266416335</v>
      </c>
      <c r="C486">
        <v>2516.7759999999994</v>
      </c>
      <c r="D486" s="23">
        <f t="shared" si="15"/>
        <v>25.167759999999994</v>
      </c>
    </row>
    <row r="487" spans="1:4">
      <c r="A487" s="29">
        <f t="shared" si="14"/>
        <v>526.88478304156865</v>
      </c>
      <c r="B487">
        <v>5268.847830415687</v>
      </c>
      <c r="C487">
        <v>2464.0699999999993</v>
      </c>
      <c r="D487" s="23">
        <f t="shared" si="15"/>
        <v>24.640699999999992</v>
      </c>
    </row>
    <row r="488" spans="1:4">
      <c r="A488" s="29">
        <f t="shared" si="14"/>
        <v>527.97114341897395</v>
      </c>
      <c r="B488">
        <v>5279.7114341897395</v>
      </c>
      <c r="C488">
        <v>2411.3639999999991</v>
      </c>
      <c r="D488" s="23">
        <f t="shared" si="15"/>
        <v>24.11363999999999</v>
      </c>
    </row>
    <row r="489" spans="1:4">
      <c r="A489" s="29">
        <f t="shared" si="14"/>
        <v>529.05750379637925</v>
      </c>
      <c r="B489">
        <v>5290.575037963793</v>
      </c>
      <c r="C489">
        <v>2358.657999999999</v>
      </c>
      <c r="D489" s="23">
        <f t="shared" si="15"/>
        <v>23.586579999999991</v>
      </c>
    </row>
    <row r="490" spans="1:4">
      <c r="A490" s="29">
        <f t="shared" si="14"/>
        <v>530.14386417378455</v>
      </c>
      <c r="B490">
        <v>5301.4386417378455</v>
      </c>
      <c r="C490">
        <v>2305.9519999999989</v>
      </c>
      <c r="D490" s="23">
        <f t="shared" si="15"/>
        <v>23.059519999999988</v>
      </c>
    </row>
    <row r="491" spans="1:4">
      <c r="A491" s="29">
        <f t="shared" si="14"/>
        <v>531.23022455118985</v>
      </c>
      <c r="B491">
        <v>5312.302245511898</v>
      </c>
      <c r="C491">
        <v>2253.2459999999987</v>
      </c>
      <c r="D491" s="23">
        <f t="shared" si="15"/>
        <v>22.532459999999986</v>
      </c>
    </row>
    <row r="492" spans="1:4">
      <c r="A492" s="29">
        <f t="shared" si="14"/>
        <v>532.31658492859515</v>
      </c>
      <c r="B492">
        <v>5323.1658492859515</v>
      </c>
      <c r="C492">
        <v>2200.54</v>
      </c>
      <c r="D492" s="23">
        <f t="shared" si="15"/>
        <v>22.005399999999998</v>
      </c>
    </row>
    <row r="493" spans="1:4">
      <c r="A493" s="29">
        <f t="shared" si="14"/>
        <v>533.40294530600045</v>
      </c>
      <c r="B493">
        <v>5334.029453060004</v>
      </c>
      <c r="C493">
        <v>2154.3559999999998</v>
      </c>
      <c r="D493" s="23">
        <f t="shared" si="15"/>
        <v>21.543559999999999</v>
      </c>
    </row>
    <row r="494" spans="1:4">
      <c r="A494" s="29">
        <f t="shared" si="14"/>
        <v>534.48930568340575</v>
      </c>
      <c r="B494">
        <v>5344.8930568340575</v>
      </c>
      <c r="C494">
        <v>2108.1719999999996</v>
      </c>
      <c r="D494" s="23">
        <f t="shared" si="15"/>
        <v>21.081719999999997</v>
      </c>
    </row>
    <row r="495" spans="1:4">
      <c r="A495" s="29">
        <f t="shared" si="14"/>
        <v>535.57566606081105</v>
      </c>
      <c r="B495">
        <v>5355.75666060811</v>
      </c>
      <c r="C495">
        <v>2061.9879999999994</v>
      </c>
      <c r="D495" s="23">
        <f t="shared" si="15"/>
        <v>20.619879999999995</v>
      </c>
    </row>
    <row r="496" spans="1:4">
      <c r="A496" s="29">
        <f t="shared" si="14"/>
        <v>536.66202643821634</v>
      </c>
      <c r="B496">
        <v>5366.6202643821634</v>
      </c>
      <c r="C496">
        <v>2015.8039999999994</v>
      </c>
      <c r="D496" s="23">
        <f t="shared" si="15"/>
        <v>20.158039999999993</v>
      </c>
    </row>
    <row r="497" spans="1:4">
      <c r="A497" s="29">
        <f t="shared" si="14"/>
        <v>537.74838681562164</v>
      </c>
      <c r="B497">
        <v>5377.483868156216</v>
      </c>
      <c r="C497">
        <v>1969.6199999999994</v>
      </c>
      <c r="D497" s="23">
        <f t="shared" si="15"/>
        <v>19.696199999999994</v>
      </c>
    </row>
    <row r="498" spans="1:4">
      <c r="A498" s="29">
        <f t="shared" si="14"/>
        <v>538.83474719302694</v>
      </c>
      <c r="B498">
        <v>5388.3474719302694</v>
      </c>
      <c r="C498">
        <v>1923.4359999999995</v>
      </c>
      <c r="D498" s="23">
        <f t="shared" si="15"/>
        <v>19.234359999999995</v>
      </c>
    </row>
    <row r="499" spans="1:4">
      <c r="A499" s="29">
        <f t="shared" si="14"/>
        <v>539.92110757043224</v>
      </c>
      <c r="B499">
        <v>5399.211075704322</v>
      </c>
      <c r="C499">
        <v>1877.2519999999995</v>
      </c>
      <c r="D499" s="23">
        <f t="shared" si="15"/>
        <v>18.772519999999997</v>
      </c>
    </row>
    <row r="500" spans="1:4">
      <c r="A500" s="29">
        <f t="shared" si="14"/>
        <v>541.00746794783754</v>
      </c>
      <c r="B500">
        <v>5410.0746794783754</v>
      </c>
      <c r="C500">
        <v>1831.0679999999995</v>
      </c>
      <c r="D500" s="23">
        <f t="shared" si="15"/>
        <v>18.310679999999994</v>
      </c>
    </row>
    <row r="501" spans="1:4">
      <c r="A501" s="29">
        <f t="shared" si="14"/>
        <v>542.09382832524284</v>
      </c>
      <c r="B501">
        <v>5420.9382832524279</v>
      </c>
      <c r="C501">
        <v>1784.8839999999996</v>
      </c>
      <c r="D501" s="23">
        <f t="shared" si="15"/>
        <v>17.848839999999996</v>
      </c>
    </row>
    <row r="502" spans="1:4">
      <c r="A502" s="29">
        <f t="shared" si="14"/>
        <v>543.18018870264814</v>
      </c>
      <c r="B502">
        <v>5431.8018870264814</v>
      </c>
      <c r="C502">
        <v>1738.7</v>
      </c>
      <c r="D502" s="23">
        <f t="shared" si="15"/>
        <v>17.387</v>
      </c>
    </row>
    <row r="503" spans="1:4">
      <c r="A503" s="29">
        <f t="shared" si="14"/>
        <v>544.26654908005344</v>
      </c>
      <c r="B503">
        <v>5442.6654908005339</v>
      </c>
      <c r="C503">
        <v>1698.758</v>
      </c>
      <c r="D503" s="23">
        <f t="shared" si="15"/>
        <v>16.987580000000001</v>
      </c>
    </row>
    <row r="504" spans="1:4">
      <c r="A504" s="29">
        <f t="shared" si="14"/>
        <v>545.35290945745874</v>
      </c>
      <c r="B504">
        <v>5453.5290945745874</v>
      </c>
      <c r="C504">
        <v>1658.816</v>
      </c>
      <c r="D504" s="23">
        <f t="shared" si="15"/>
        <v>16.588160000000002</v>
      </c>
    </row>
    <row r="505" spans="1:4">
      <c r="A505" s="29">
        <f t="shared" si="14"/>
        <v>546.43926983486404</v>
      </c>
      <c r="B505">
        <v>5464.3926983486399</v>
      </c>
      <c r="C505">
        <v>1618.874</v>
      </c>
      <c r="D505" s="23">
        <f t="shared" si="15"/>
        <v>16.188739999999999</v>
      </c>
    </row>
    <row r="506" spans="1:4">
      <c r="A506" s="29">
        <f t="shared" si="14"/>
        <v>547.52563021226922</v>
      </c>
      <c r="B506">
        <v>5475.2563021226924</v>
      </c>
      <c r="C506">
        <v>1578.932</v>
      </c>
      <c r="D506" s="23">
        <f t="shared" si="15"/>
        <v>15.78932</v>
      </c>
    </row>
    <row r="507" spans="1:4">
      <c r="A507" s="29">
        <f t="shared" si="14"/>
        <v>548.61199058967463</v>
      </c>
      <c r="B507">
        <v>5486.1199058967459</v>
      </c>
      <c r="C507">
        <v>1538.99</v>
      </c>
      <c r="D507" s="23">
        <f t="shared" si="15"/>
        <v>15.389900000000001</v>
      </c>
    </row>
    <row r="508" spans="1:4">
      <c r="A508" s="29">
        <f t="shared" si="14"/>
        <v>549.69835096707982</v>
      </c>
      <c r="B508">
        <v>5496.9835096707984</v>
      </c>
      <c r="C508">
        <v>1499.048</v>
      </c>
      <c r="D508" s="23">
        <f t="shared" si="15"/>
        <v>14.99048</v>
      </c>
    </row>
    <row r="509" spans="1:4">
      <c r="A509" s="29">
        <f t="shared" si="14"/>
        <v>550.78471134448523</v>
      </c>
      <c r="B509">
        <v>5507.8471134448519</v>
      </c>
      <c r="C509">
        <v>1459.106</v>
      </c>
      <c r="D509" s="23">
        <f t="shared" si="15"/>
        <v>14.591060000000001</v>
      </c>
    </row>
    <row r="510" spans="1:4">
      <c r="A510" s="29">
        <f t="shared" si="14"/>
        <v>551.87107172189042</v>
      </c>
      <c r="B510">
        <v>5518.7107172189044</v>
      </c>
      <c r="C510">
        <v>1419.164</v>
      </c>
      <c r="D510" s="23">
        <f t="shared" si="15"/>
        <v>14.19164</v>
      </c>
    </row>
    <row r="511" spans="1:4">
      <c r="A511" s="29">
        <f t="shared" si="14"/>
        <v>552.95743209929583</v>
      </c>
      <c r="B511">
        <v>5529.5743209929578</v>
      </c>
      <c r="C511">
        <v>1379.222</v>
      </c>
      <c r="D511" s="23">
        <f t="shared" si="15"/>
        <v>13.79222</v>
      </c>
    </row>
    <row r="512" spans="1:4">
      <c r="A512" s="29">
        <f t="shared" si="14"/>
        <v>554.04379247670101</v>
      </c>
      <c r="B512">
        <v>5540.4379247670104</v>
      </c>
      <c r="C512">
        <v>1339.28</v>
      </c>
      <c r="D512" s="23">
        <f t="shared" si="15"/>
        <v>13.392799999999999</v>
      </c>
    </row>
    <row r="513" spans="1:4">
      <c r="A513" s="29">
        <f t="shared" si="14"/>
        <v>555.13015285410643</v>
      </c>
      <c r="B513">
        <v>5551.3015285410638</v>
      </c>
      <c r="C513">
        <v>1305.325</v>
      </c>
      <c r="D513" s="23">
        <f t="shared" si="15"/>
        <v>13.05325</v>
      </c>
    </row>
    <row r="514" spans="1:4">
      <c r="A514" s="29">
        <f t="shared" si="14"/>
        <v>556.21651323151161</v>
      </c>
      <c r="B514">
        <v>5562.1651323151164</v>
      </c>
      <c r="C514">
        <v>1271.3700000000001</v>
      </c>
      <c r="D514" s="23">
        <f t="shared" si="15"/>
        <v>12.713700000000001</v>
      </c>
    </row>
    <row r="515" spans="1:4">
      <c r="A515" s="29">
        <f t="shared" ref="A515:A578" si="16">$B515/10</f>
        <v>557.30287360891703</v>
      </c>
      <c r="B515">
        <v>5573.0287360891698</v>
      </c>
      <c r="C515">
        <v>1237.4150000000002</v>
      </c>
      <c r="D515" s="23">
        <f t="shared" ref="D515:D578" si="17">$C515/100</f>
        <v>12.374150000000002</v>
      </c>
    </row>
    <row r="516" spans="1:4">
      <c r="A516" s="29">
        <f t="shared" si="16"/>
        <v>558.38923398632221</v>
      </c>
      <c r="B516">
        <v>5583.8923398632223</v>
      </c>
      <c r="C516">
        <v>1203.4600000000003</v>
      </c>
      <c r="D516" s="23">
        <f t="shared" si="17"/>
        <v>12.034600000000003</v>
      </c>
    </row>
    <row r="517" spans="1:4">
      <c r="A517" s="29">
        <f t="shared" si="16"/>
        <v>559.47559436372762</v>
      </c>
      <c r="B517">
        <v>5594.7559436372758</v>
      </c>
      <c r="C517">
        <v>1169.5050000000003</v>
      </c>
      <c r="D517" s="23">
        <f t="shared" si="17"/>
        <v>11.695050000000004</v>
      </c>
    </row>
    <row r="518" spans="1:4">
      <c r="A518" s="29">
        <f t="shared" si="16"/>
        <v>560.56195474113281</v>
      </c>
      <c r="B518">
        <v>5605.6195474113283</v>
      </c>
      <c r="C518">
        <v>1135.5500000000004</v>
      </c>
      <c r="D518" s="23">
        <f t="shared" si="17"/>
        <v>11.355500000000005</v>
      </c>
    </row>
    <row r="519" spans="1:4">
      <c r="A519" s="29">
        <f t="shared" si="16"/>
        <v>561.64831511853822</v>
      </c>
      <c r="B519">
        <v>5616.4831511853818</v>
      </c>
      <c r="C519">
        <v>1101.5950000000005</v>
      </c>
      <c r="D519" s="23">
        <f t="shared" si="17"/>
        <v>11.015950000000005</v>
      </c>
    </row>
    <row r="520" spans="1:4">
      <c r="A520" s="29">
        <f t="shared" si="16"/>
        <v>562.73467549594341</v>
      </c>
      <c r="B520">
        <v>5627.3467549594343</v>
      </c>
      <c r="C520">
        <v>1067.6400000000006</v>
      </c>
      <c r="D520" s="23">
        <f t="shared" si="17"/>
        <v>10.676400000000006</v>
      </c>
    </row>
    <row r="521" spans="1:4">
      <c r="A521" s="29">
        <f t="shared" si="16"/>
        <v>563.82103587334882</v>
      </c>
      <c r="B521">
        <v>5638.2103587334877</v>
      </c>
      <c r="C521">
        <v>1033.6850000000006</v>
      </c>
      <c r="D521" s="23">
        <f t="shared" si="17"/>
        <v>10.336850000000005</v>
      </c>
    </row>
    <row r="522" spans="1:4">
      <c r="A522" s="29">
        <f t="shared" si="16"/>
        <v>564.907396250754</v>
      </c>
      <c r="B522">
        <v>5649.0739625075403</v>
      </c>
      <c r="C522">
        <v>999.73</v>
      </c>
      <c r="D522" s="23">
        <f t="shared" si="17"/>
        <v>9.997300000000001</v>
      </c>
    </row>
    <row r="523" spans="1:4">
      <c r="A523" s="29">
        <f t="shared" si="16"/>
        <v>565.9937566281593</v>
      </c>
      <c r="B523">
        <v>5659.9375662815928</v>
      </c>
      <c r="C523">
        <v>971.46400000000006</v>
      </c>
      <c r="D523" s="23">
        <f t="shared" si="17"/>
        <v>9.7146400000000011</v>
      </c>
    </row>
    <row r="524" spans="1:4">
      <c r="A524" s="29">
        <f t="shared" si="16"/>
        <v>567.0801170055646</v>
      </c>
      <c r="B524">
        <v>5670.8011700556463</v>
      </c>
      <c r="C524">
        <v>943.19800000000009</v>
      </c>
      <c r="D524" s="23">
        <f t="shared" si="17"/>
        <v>9.4319800000000011</v>
      </c>
    </row>
    <row r="525" spans="1:4">
      <c r="A525" s="29">
        <f t="shared" si="16"/>
        <v>568.1664773829699</v>
      </c>
      <c r="B525">
        <v>5681.6647738296988</v>
      </c>
      <c r="C525">
        <v>914.93200000000013</v>
      </c>
      <c r="D525" s="23">
        <f t="shared" si="17"/>
        <v>9.1493200000000012</v>
      </c>
    </row>
    <row r="526" spans="1:4">
      <c r="A526" s="29">
        <f t="shared" si="16"/>
        <v>569.2528377603752</v>
      </c>
      <c r="B526">
        <v>5692.5283776037522</v>
      </c>
      <c r="C526">
        <v>886.66600000000017</v>
      </c>
      <c r="D526" s="23">
        <f t="shared" si="17"/>
        <v>8.8666600000000013</v>
      </c>
    </row>
    <row r="527" spans="1:4">
      <c r="A527" s="29">
        <f t="shared" si="16"/>
        <v>570.3391981377805</v>
      </c>
      <c r="B527">
        <v>5703.3919813778048</v>
      </c>
      <c r="C527">
        <v>858.4000000000002</v>
      </c>
      <c r="D527" s="23">
        <f t="shared" si="17"/>
        <v>8.5840000000000014</v>
      </c>
    </row>
    <row r="528" spans="1:4">
      <c r="A528" s="29">
        <f t="shared" si="16"/>
        <v>571.4255585151858</v>
      </c>
      <c r="B528">
        <v>5714.2555851518582</v>
      </c>
      <c r="C528">
        <v>830.13400000000024</v>
      </c>
      <c r="D528" s="23">
        <f t="shared" si="17"/>
        <v>8.3013400000000033</v>
      </c>
    </row>
    <row r="529" spans="1:4">
      <c r="A529" s="29">
        <f t="shared" si="16"/>
        <v>572.5119188925911</v>
      </c>
      <c r="B529">
        <v>5725.1191889259107</v>
      </c>
      <c r="C529">
        <v>801.86800000000028</v>
      </c>
      <c r="D529" s="23">
        <f t="shared" si="17"/>
        <v>8.0186800000000034</v>
      </c>
    </row>
    <row r="530" spans="1:4">
      <c r="A530" s="29">
        <f t="shared" si="16"/>
        <v>573.5982792699964</v>
      </c>
      <c r="B530">
        <v>5735.9827926999642</v>
      </c>
      <c r="C530">
        <v>773.60200000000032</v>
      </c>
      <c r="D530" s="23">
        <f t="shared" si="17"/>
        <v>7.7360200000000034</v>
      </c>
    </row>
    <row r="531" spans="1:4">
      <c r="A531" s="29">
        <f t="shared" si="16"/>
        <v>574.6846396474017</v>
      </c>
      <c r="B531">
        <v>5746.8463964740167</v>
      </c>
      <c r="C531">
        <v>745.33600000000035</v>
      </c>
      <c r="D531" s="23">
        <f t="shared" si="17"/>
        <v>7.4533600000000035</v>
      </c>
    </row>
    <row r="532" spans="1:4">
      <c r="A532" s="29">
        <f t="shared" si="16"/>
        <v>575.77100002480699</v>
      </c>
      <c r="B532">
        <v>5757.7100002480702</v>
      </c>
      <c r="C532">
        <v>717.07</v>
      </c>
      <c r="D532" s="23">
        <f t="shared" si="17"/>
        <v>7.1707000000000001</v>
      </c>
    </row>
    <row r="533" spans="1:4">
      <c r="A533" s="29">
        <f t="shared" si="16"/>
        <v>576.85736040221229</v>
      </c>
      <c r="B533">
        <v>5768.5736040221227</v>
      </c>
      <c r="C533">
        <v>694.1690000000001</v>
      </c>
      <c r="D533" s="23">
        <f t="shared" si="17"/>
        <v>6.9416900000000012</v>
      </c>
    </row>
    <row r="534" spans="1:4">
      <c r="A534" s="29">
        <f t="shared" si="16"/>
        <v>577.94372077961759</v>
      </c>
      <c r="B534">
        <v>5779.4372077961762</v>
      </c>
      <c r="C534">
        <v>671.26800000000014</v>
      </c>
      <c r="D534" s="23">
        <f t="shared" si="17"/>
        <v>6.7126800000000015</v>
      </c>
    </row>
    <row r="535" spans="1:4">
      <c r="A535" s="29">
        <f t="shared" si="16"/>
        <v>579.03008115702289</v>
      </c>
      <c r="B535">
        <v>5790.3008115702287</v>
      </c>
      <c r="C535">
        <v>648.36700000000019</v>
      </c>
      <c r="D535" s="23">
        <f t="shared" si="17"/>
        <v>6.4836700000000018</v>
      </c>
    </row>
    <row r="536" spans="1:4">
      <c r="A536" s="29">
        <f t="shared" si="16"/>
        <v>580.11644153442819</v>
      </c>
      <c r="B536">
        <v>5801.1644153442821</v>
      </c>
      <c r="C536">
        <v>625.46600000000024</v>
      </c>
      <c r="D536" s="23">
        <f t="shared" si="17"/>
        <v>6.2546600000000021</v>
      </c>
    </row>
    <row r="537" spans="1:4">
      <c r="A537" s="29">
        <f t="shared" si="16"/>
        <v>581.20280191183349</v>
      </c>
      <c r="B537">
        <v>5812.0280191183347</v>
      </c>
      <c r="C537">
        <v>602.56500000000028</v>
      </c>
      <c r="D537" s="23">
        <f t="shared" si="17"/>
        <v>6.0256500000000024</v>
      </c>
    </row>
    <row r="538" spans="1:4">
      <c r="A538" s="29">
        <f t="shared" si="16"/>
        <v>582.28916228923867</v>
      </c>
      <c r="B538">
        <v>5822.8916228923872</v>
      </c>
      <c r="C538">
        <v>579.66400000000033</v>
      </c>
      <c r="D538" s="23">
        <f t="shared" si="17"/>
        <v>5.7966400000000036</v>
      </c>
    </row>
    <row r="539" spans="1:4">
      <c r="A539" s="29">
        <f t="shared" si="16"/>
        <v>583.37552266664409</v>
      </c>
      <c r="B539">
        <v>5833.7552266664406</v>
      </c>
      <c r="C539">
        <v>556.76300000000037</v>
      </c>
      <c r="D539" s="23">
        <f t="shared" si="17"/>
        <v>5.5676300000000039</v>
      </c>
    </row>
    <row r="540" spans="1:4">
      <c r="A540" s="29">
        <f t="shared" si="16"/>
        <v>584.46188304404927</v>
      </c>
      <c r="B540">
        <v>5844.6188304404932</v>
      </c>
      <c r="C540">
        <v>533.86200000000042</v>
      </c>
      <c r="D540" s="23">
        <f t="shared" si="17"/>
        <v>5.3386200000000041</v>
      </c>
    </row>
    <row r="541" spans="1:4">
      <c r="A541" s="29">
        <f t="shared" si="16"/>
        <v>585.54824342145469</v>
      </c>
      <c r="B541">
        <v>5855.4824342145466</v>
      </c>
      <c r="C541">
        <v>510.96100000000041</v>
      </c>
      <c r="D541" s="23">
        <f t="shared" si="17"/>
        <v>5.1096100000000044</v>
      </c>
    </row>
    <row r="542" spans="1:4">
      <c r="A542" s="29">
        <f t="shared" si="16"/>
        <v>586.63460379885987</v>
      </c>
      <c r="B542">
        <v>5866.3460379885992</v>
      </c>
      <c r="C542">
        <v>488.06</v>
      </c>
      <c r="D542" s="23">
        <f t="shared" si="17"/>
        <v>4.8806000000000003</v>
      </c>
    </row>
    <row r="543" spans="1:4">
      <c r="A543" s="29">
        <f t="shared" si="16"/>
        <v>587.72096417626528</v>
      </c>
      <c r="B543">
        <v>5877.2096417626526</v>
      </c>
      <c r="C543">
        <v>470.17500000000001</v>
      </c>
      <c r="D543" s="23">
        <f t="shared" si="17"/>
        <v>4.7017500000000005</v>
      </c>
    </row>
    <row r="544" spans="1:4">
      <c r="A544" s="29">
        <f t="shared" si="16"/>
        <v>588.80732455367047</v>
      </c>
      <c r="B544">
        <v>5888.0732455367051</v>
      </c>
      <c r="C544">
        <v>452.29</v>
      </c>
      <c r="D544" s="23">
        <f t="shared" si="17"/>
        <v>4.5228999999999999</v>
      </c>
    </row>
    <row r="545" spans="1:4">
      <c r="A545" s="29">
        <f t="shared" si="16"/>
        <v>589.89368493107588</v>
      </c>
      <c r="B545">
        <v>5898.9368493107586</v>
      </c>
      <c r="C545">
        <v>434.40500000000003</v>
      </c>
      <c r="D545" s="23">
        <f t="shared" si="17"/>
        <v>4.3440500000000002</v>
      </c>
    </row>
    <row r="546" spans="1:4">
      <c r="A546" s="29">
        <f t="shared" si="16"/>
        <v>590.98004530848107</v>
      </c>
      <c r="B546">
        <v>5909.8004530848111</v>
      </c>
      <c r="C546">
        <v>416.52000000000004</v>
      </c>
      <c r="D546" s="23">
        <f t="shared" si="17"/>
        <v>4.1652000000000005</v>
      </c>
    </row>
    <row r="547" spans="1:4">
      <c r="A547" s="29">
        <f t="shared" si="16"/>
        <v>592.06640568588648</v>
      </c>
      <c r="B547">
        <v>5920.6640568588646</v>
      </c>
      <c r="C547">
        <v>398.63500000000005</v>
      </c>
      <c r="D547" s="23">
        <f t="shared" si="17"/>
        <v>3.9863500000000003</v>
      </c>
    </row>
    <row r="548" spans="1:4">
      <c r="A548" s="29">
        <f t="shared" si="16"/>
        <v>593.15276606329166</v>
      </c>
      <c r="B548">
        <v>5931.5276606329171</v>
      </c>
      <c r="C548">
        <v>380.75000000000006</v>
      </c>
      <c r="D548" s="23">
        <f t="shared" si="17"/>
        <v>3.8075000000000006</v>
      </c>
    </row>
    <row r="549" spans="1:4">
      <c r="A549" s="29">
        <f t="shared" si="16"/>
        <v>594.23912644069708</v>
      </c>
      <c r="B549">
        <v>5942.3912644069705</v>
      </c>
      <c r="C549">
        <v>362.86500000000007</v>
      </c>
      <c r="D549" s="23">
        <f t="shared" si="17"/>
        <v>3.6286500000000008</v>
      </c>
    </row>
    <row r="550" spans="1:4">
      <c r="A550" s="29">
        <f t="shared" si="16"/>
        <v>595.32548681810226</v>
      </c>
      <c r="B550">
        <v>5953.2548681810231</v>
      </c>
      <c r="C550">
        <v>344.98000000000008</v>
      </c>
      <c r="D550" s="23">
        <f t="shared" si="17"/>
        <v>3.4498000000000006</v>
      </c>
    </row>
    <row r="551" spans="1:4">
      <c r="A551" s="29">
        <f t="shared" si="16"/>
        <v>596.41184719550768</v>
      </c>
      <c r="B551">
        <v>5964.1184719550765</v>
      </c>
      <c r="C551">
        <v>327.09500000000008</v>
      </c>
      <c r="D551" s="23">
        <f t="shared" si="17"/>
        <v>3.2709500000000009</v>
      </c>
    </row>
    <row r="552" spans="1:4">
      <c r="A552" s="29">
        <f t="shared" si="16"/>
        <v>597.49820757291286</v>
      </c>
      <c r="B552">
        <v>5974.9820757291291</v>
      </c>
      <c r="C552">
        <v>309.20999999999998</v>
      </c>
      <c r="D552" s="23">
        <f t="shared" si="17"/>
        <v>3.0920999999999998</v>
      </c>
    </row>
    <row r="553" spans="1:4">
      <c r="A553" s="29">
        <f t="shared" si="16"/>
        <v>598.58456795031827</v>
      </c>
      <c r="B553">
        <v>5985.8456795031825</v>
      </c>
      <c r="C553">
        <v>295.93899999999996</v>
      </c>
      <c r="D553" s="23">
        <f t="shared" si="17"/>
        <v>2.9593899999999995</v>
      </c>
    </row>
    <row r="554" spans="1:4">
      <c r="A554" s="29">
        <f t="shared" si="16"/>
        <v>599.67092832772346</v>
      </c>
      <c r="B554">
        <v>5996.709283277235</v>
      </c>
      <c r="C554">
        <v>282.66799999999995</v>
      </c>
      <c r="D554" s="23">
        <f t="shared" si="17"/>
        <v>2.8266799999999996</v>
      </c>
    </row>
    <row r="555" spans="1:4">
      <c r="A555" s="29">
        <f t="shared" si="16"/>
        <v>600.75728870512876</v>
      </c>
      <c r="B555">
        <v>6007.5728870512876</v>
      </c>
      <c r="C555">
        <v>269.39699999999993</v>
      </c>
      <c r="D555" s="23">
        <f t="shared" si="17"/>
        <v>2.6939699999999993</v>
      </c>
    </row>
    <row r="556" spans="1:4">
      <c r="A556" s="29">
        <f t="shared" si="16"/>
        <v>601.84364908253406</v>
      </c>
      <c r="B556">
        <v>6018.436490825341</v>
      </c>
      <c r="C556">
        <v>256.12599999999992</v>
      </c>
      <c r="D556" s="23">
        <f t="shared" si="17"/>
        <v>2.561259999999999</v>
      </c>
    </row>
    <row r="557" spans="1:4">
      <c r="A557" s="29">
        <f t="shared" si="16"/>
        <v>602.93000945993936</v>
      </c>
      <c r="B557">
        <v>6029.3000945993936</v>
      </c>
      <c r="C557">
        <v>242.85499999999993</v>
      </c>
      <c r="D557" s="23">
        <f t="shared" si="17"/>
        <v>2.4285499999999995</v>
      </c>
    </row>
    <row r="558" spans="1:4">
      <c r="A558" s="29">
        <f t="shared" si="16"/>
        <v>604.01636983734466</v>
      </c>
      <c r="B558">
        <v>6040.163698373447</v>
      </c>
      <c r="C558">
        <v>229.58399999999995</v>
      </c>
      <c r="D558" s="23">
        <f t="shared" si="17"/>
        <v>2.2958399999999997</v>
      </c>
    </row>
    <row r="559" spans="1:4">
      <c r="A559" s="29">
        <f t="shared" si="16"/>
        <v>605.10273021474995</v>
      </c>
      <c r="B559">
        <v>6051.0273021474995</v>
      </c>
      <c r="C559">
        <v>216.31299999999996</v>
      </c>
      <c r="D559" s="23">
        <f t="shared" si="17"/>
        <v>2.1631299999999998</v>
      </c>
    </row>
    <row r="560" spans="1:4">
      <c r="A560" s="29">
        <f t="shared" si="16"/>
        <v>606.18909059215525</v>
      </c>
      <c r="B560">
        <v>6061.890905921553</v>
      </c>
      <c r="C560">
        <v>203.04199999999997</v>
      </c>
      <c r="D560" s="23">
        <f t="shared" si="17"/>
        <v>2.0304199999999999</v>
      </c>
    </row>
    <row r="561" spans="1:4">
      <c r="A561" s="29">
        <f t="shared" si="16"/>
        <v>607.27545096956055</v>
      </c>
      <c r="B561">
        <v>6072.7545096956055</v>
      </c>
      <c r="C561">
        <v>189.77099999999999</v>
      </c>
      <c r="D561" s="23">
        <f t="shared" si="17"/>
        <v>1.8977099999999998</v>
      </c>
    </row>
    <row r="562" spans="1:4">
      <c r="A562" s="29">
        <f t="shared" si="16"/>
        <v>608.36181134696585</v>
      </c>
      <c r="B562">
        <v>6083.618113469659</v>
      </c>
      <c r="C562">
        <v>176.5</v>
      </c>
      <c r="D562" s="23">
        <f t="shared" si="17"/>
        <v>1.7649999999999999</v>
      </c>
    </row>
    <row r="563" spans="1:4">
      <c r="A563" s="29">
        <f t="shared" si="16"/>
        <v>609.44817172437115</v>
      </c>
      <c r="B563">
        <v>6094.4817172437115</v>
      </c>
      <c r="C563">
        <v>167.38800000000001</v>
      </c>
      <c r="D563" s="23">
        <f t="shared" si="17"/>
        <v>1.67388</v>
      </c>
    </row>
    <row r="564" spans="1:4">
      <c r="A564" s="29">
        <f t="shared" si="16"/>
        <v>610.53453210177645</v>
      </c>
      <c r="B564">
        <v>6105.3453210177649</v>
      </c>
      <c r="C564">
        <v>158.27600000000001</v>
      </c>
      <c r="D564" s="23">
        <f t="shared" si="17"/>
        <v>1.5827600000000002</v>
      </c>
    </row>
    <row r="565" spans="1:4">
      <c r="A565" s="29">
        <f t="shared" si="16"/>
        <v>611.62089247918175</v>
      </c>
      <c r="B565">
        <v>6116.2089247918175</v>
      </c>
      <c r="C565">
        <v>149.16400000000002</v>
      </c>
      <c r="D565" s="23">
        <f t="shared" si="17"/>
        <v>1.4916400000000001</v>
      </c>
    </row>
    <row r="566" spans="1:4">
      <c r="A566" s="29">
        <f t="shared" si="16"/>
        <v>612.70725285658705</v>
      </c>
      <c r="B566">
        <v>6127.0725285658709</v>
      </c>
      <c r="C566">
        <v>140.05200000000002</v>
      </c>
      <c r="D566" s="23">
        <f t="shared" si="17"/>
        <v>1.4005200000000002</v>
      </c>
    </row>
    <row r="567" spans="1:4">
      <c r="A567" s="29">
        <f t="shared" si="16"/>
        <v>613.79361323399235</v>
      </c>
      <c r="B567">
        <v>6137.9361323399235</v>
      </c>
      <c r="C567">
        <v>130.94000000000003</v>
      </c>
      <c r="D567" s="23">
        <f t="shared" si="17"/>
        <v>1.3094000000000003</v>
      </c>
    </row>
    <row r="568" spans="1:4">
      <c r="A568" s="29">
        <f t="shared" si="16"/>
        <v>614.87997361139765</v>
      </c>
      <c r="B568">
        <v>6148.7997361139769</v>
      </c>
      <c r="C568">
        <v>121.82800000000003</v>
      </c>
      <c r="D568" s="23">
        <f t="shared" si="17"/>
        <v>1.2182800000000003</v>
      </c>
    </row>
    <row r="569" spans="1:4">
      <c r="A569" s="29">
        <f t="shared" si="16"/>
        <v>615.96633398880294</v>
      </c>
      <c r="B569">
        <v>6159.6633398880294</v>
      </c>
      <c r="C569">
        <v>112.71600000000004</v>
      </c>
      <c r="D569" s="23">
        <f t="shared" si="17"/>
        <v>1.1271600000000004</v>
      </c>
    </row>
    <row r="570" spans="1:4">
      <c r="A570" s="29">
        <f t="shared" si="16"/>
        <v>617.05269436620824</v>
      </c>
      <c r="B570">
        <v>6170.5269436620829</v>
      </c>
      <c r="C570">
        <v>103.60400000000004</v>
      </c>
      <c r="D570" s="23">
        <f t="shared" si="17"/>
        <v>1.0360400000000005</v>
      </c>
    </row>
    <row r="571" spans="1:4">
      <c r="A571" s="29">
        <f t="shared" si="16"/>
        <v>618.13905474361354</v>
      </c>
      <c r="B571">
        <v>6181.3905474361354</v>
      </c>
      <c r="C571">
        <v>94.492000000000047</v>
      </c>
      <c r="D571" s="23">
        <f t="shared" si="17"/>
        <v>0.94492000000000043</v>
      </c>
    </row>
    <row r="572" spans="1:4">
      <c r="A572" s="29">
        <f t="shared" si="16"/>
        <v>619.22541512101884</v>
      </c>
      <c r="B572">
        <v>6192.254151210188</v>
      </c>
      <c r="C572">
        <v>85.38</v>
      </c>
      <c r="D572" s="23">
        <f t="shared" si="17"/>
        <v>0.8538</v>
      </c>
    </row>
    <row r="573" spans="1:4">
      <c r="A573" s="29">
        <f t="shared" si="16"/>
        <v>620.31177549842414</v>
      </c>
      <c r="B573">
        <v>6203.1177549842414</v>
      </c>
      <c r="C573">
        <v>79.884999999999991</v>
      </c>
      <c r="D573" s="23">
        <f t="shared" si="17"/>
        <v>0.79884999999999995</v>
      </c>
    </row>
    <row r="574" spans="1:4">
      <c r="A574" s="29">
        <f t="shared" si="16"/>
        <v>621.39813587582944</v>
      </c>
      <c r="B574">
        <v>6213.9813587582939</v>
      </c>
      <c r="C574">
        <v>74.389999999999986</v>
      </c>
      <c r="D574" s="23">
        <f t="shared" si="17"/>
        <v>0.74389999999999989</v>
      </c>
    </row>
    <row r="575" spans="1:4">
      <c r="A575" s="29">
        <f t="shared" si="16"/>
        <v>622.48449625323474</v>
      </c>
      <c r="B575">
        <v>6224.8449625323474</v>
      </c>
      <c r="C575">
        <v>68.894999999999982</v>
      </c>
      <c r="D575" s="23">
        <f t="shared" si="17"/>
        <v>0.68894999999999984</v>
      </c>
    </row>
    <row r="576" spans="1:4">
      <c r="A576" s="29">
        <f t="shared" si="16"/>
        <v>623.57085663064004</v>
      </c>
      <c r="B576">
        <v>6235.7085663063999</v>
      </c>
      <c r="C576">
        <v>63.399999999999984</v>
      </c>
      <c r="D576" s="23">
        <f t="shared" si="17"/>
        <v>0.6339999999999999</v>
      </c>
    </row>
    <row r="577" spans="1:4">
      <c r="A577" s="29">
        <f t="shared" si="16"/>
        <v>624.65721700804534</v>
      </c>
      <c r="B577">
        <v>6246.5721700804534</v>
      </c>
      <c r="C577">
        <v>57.904999999999987</v>
      </c>
      <c r="D577" s="23">
        <f t="shared" si="17"/>
        <v>0.57904999999999984</v>
      </c>
    </row>
    <row r="578" spans="1:4">
      <c r="A578" s="29">
        <f t="shared" si="16"/>
        <v>625.74357738545064</v>
      </c>
      <c r="B578">
        <v>6257.4357738545059</v>
      </c>
      <c r="C578">
        <v>52.409999999999989</v>
      </c>
      <c r="D578" s="23">
        <f t="shared" si="17"/>
        <v>0.5240999999999999</v>
      </c>
    </row>
    <row r="579" spans="1:4">
      <c r="A579" s="29">
        <f t="shared" ref="A579:A602" si="18">$B579/10</f>
        <v>626.82993776285593</v>
      </c>
      <c r="B579">
        <v>6268.2993776285593</v>
      </c>
      <c r="C579">
        <v>46.914999999999992</v>
      </c>
      <c r="D579" s="23">
        <f t="shared" ref="D579:D602" si="19">$C579/100</f>
        <v>0.4691499999999999</v>
      </c>
    </row>
    <row r="580" spans="1:4">
      <c r="A580" s="29">
        <f t="shared" si="18"/>
        <v>627.91629814026123</v>
      </c>
      <c r="B580">
        <v>6279.1629814026119</v>
      </c>
      <c r="C580">
        <v>41.419999999999995</v>
      </c>
      <c r="D580" s="23">
        <f t="shared" si="19"/>
        <v>0.41419999999999996</v>
      </c>
    </row>
    <row r="581" spans="1:4">
      <c r="A581" s="29">
        <f t="shared" si="18"/>
        <v>629.00265851766653</v>
      </c>
      <c r="B581">
        <v>6290.0265851766653</v>
      </c>
      <c r="C581">
        <v>35.924999999999997</v>
      </c>
      <c r="D581" s="23">
        <f t="shared" si="19"/>
        <v>0.35924999999999996</v>
      </c>
    </row>
    <row r="582" spans="1:4">
      <c r="A582" s="29">
        <f t="shared" si="18"/>
        <v>630.08901889507183</v>
      </c>
      <c r="B582">
        <v>6300.8901889507179</v>
      </c>
      <c r="C582">
        <v>30.43</v>
      </c>
      <c r="D582" s="23">
        <f t="shared" si="19"/>
        <v>0.30430000000000001</v>
      </c>
    </row>
    <row r="583" spans="1:4">
      <c r="A583" s="29">
        <f t="shared" si="18"/>
        <v>631.17537927247713</v>
      </c>
      <c r="B583">
        <v>6311.7537927247713</v>
      </c>
      <c r="C583">
        <v>27.891999999999999</v>
      </c>
      <c r="D583" s="23">
        <f t="shared" si="19"/>
        <v>0.27892</v>
      </c>
    </row>
    <row r="584" spans="1:4">
      <c r="A584" s="29">
        <f t="shared" si="18"/>
        <v>632.26173964988243</v>
      </c>
      <c r="B584">
        <v>6322.6173964988238</v>
      </c>
      <c r="C584">
        <v>25.353999999999999</v>
      </c>
      <c r="D584" s="23">
        <f t="shared" si="19"/>
        <v>0.25353999999999999</v>
      </c>
    </row>
    <row r="585" spans="1:4">
      <c r="A585" s="29">
        <f t="shared" si="18"/>
        <v>633.34810002728773</v>
      </c>
      <c r="B585">
        <v>6333.4810002728773</v>
      </c>
      <c r="C585">
        <v>22.815999999999999</v>
      </c>
      <c r="D585" s="23">
        <f t="shared" si="19"/>
        <v>0.22816</v>
      </c>
    </row>
    <row r="586" spans="1:4">
      <c r="A586" s="29">
        <f t="shared" si="18"/>
        <v>634.43446040469303</v>
      </c>
      <c r="B586">
        <v>6344.3446040469298</v>
      </c>
      <c r="C586">
        <v>20.277999999999999</v>
      </c>
      <c r="D586" s="23">
        <f t="shared" si="19"/>
        <v>0.20277999999999999</v>
      </c>
    </row>
    <row r="587" spans="1:4">
      <c r="A587" s="29">
        <f t="shared" si="18"/>
        <v>635.52082078209821</v>
      </c>
      <c r="B587">
        <v>6355.2082078209824</v>
      </c>
      <c r="C587">
        <v>17.739999999999998</v>
      </c>
      <c r="D587" s="23">
        <f t="shared" si="19"/>
        <v>0.17739999999999997</v>
      </c>
    </row>
    <row r="588" spans="1:4">
      <c r="A588" s="29">
        <f t="shared" si="18"/>
        <v>636.60718115950363</v>
      </c>
      <c r="B588">
        <v>6366.0718115950358</v>
      </c>
      <c r="C588">
        <v>15.201999999999998</v>
      </c>
      <c r="D588" s="23">
        <f t="shared" si="19"/>
        <v>0.15201999999999999</v>
      </c>
    </row>
    <row r="589" spans="1:4">
      <c r="A589" s="29">
        <f t="shared" si="18"/>
        <v>637.69354153690881</v>
      </c>
      <c r="B589">
        <v>6376.9354153690883</v>
      </c>
      <c r="C589">
        <v>12.663999999999998</v>
      </c>
      <c r="D589" s="23">
        <f t="shared" si="19"/>
        <v>0.12663999999999997</v>
      </c>
    </row>
    <row r="590" spans="1:4">
      <c r="A590" s="29">
        <f t="shared" si="18"/>
        <v>638.77990191431422</v>
      </c>
      <c r="B590">
        <v>6387.7990191431418</v>
      </c>
      <c r="C590">
        <v>10.125999999999998</v>
      </c>
      <c r="D590" s="23">
        <f t="shared" si="19"/>
        <v>0.10125999999999998</v>
      </c>
    </row>
    <row r="591" spans="1:4">
      <c r="A591" s="29">
        <f t="shared" si="18"/>
        <v>639.86626229171941</v>
      </c>
      <c r="B591">
        <v>6398.6626229171943</v>
      </c>
      <c r="C591">
        <v>7.5879999999999974</v>
      </c>
      <c r="D591" s="23">
        <f t="shared" si="19"/>
        <v>7.5879999999999975E-2</v>
      </c>
    </row>
    <row r="592" spans="1:4">
      <c r="A592" s="29">
        <f t="shared" si="18"/>
        <v>640.95262266912482</v>
      </c>
      <c r="B592">
        <v>6409.5262266912478</v>
      </c>
      <c r="C592">
        <v>5.05</v>
      </c>
      <c r="D592" s="23">
        <f t="shared" si="19"/>
        <v>5.0499999999999996E-2</v>
      </c>
    </row>
    <row r="593" spans="1:4">
      <c r="A593" s="29">
        <f t="shared" si="18"/>
        <v>642.03898304653001</v>
      </c>
      <c r="B593">
        <v>6420.3898304653003</v>
      </c>
      <c r="C593">
        <v>4.5449999999999999</v>
      </c>
      <c r="D593" s="23">
        <f t="shared" si="19"/>
        <v>4.5449999999999997E-2</v>
      </c>
    </row>
    <row r="594" spans="1:4">
      <c r="A594" s="29">
        <f t="shared" si="18"/>
        <v>643.12534342393542</v>
      </c>
      <c r="B594">
        <v>6431.2534342393537</v>
      </c>
      <c r="C594">
        <v>4.04</v>
      </c>
      <c r="D594" s="23">
        <f t="shared" si="19"/>
        <v>4.0399999999999998E-2</v>
      </c>
    </row>
    <row r="595" spans="1:4">
      <c r="A595" s="29">
        <f t="shared" si="18"/>
        <v>644.2117038013406</v>
      </c>
      <c r="B595">
        <v>6442.1170380134063</v>
      </c>
      <c r="C595">
        <v>3.5350000000000001</v>
      </c>
      <c r="D595" s="23">
        <f t="shared" si="19"/>
        <v>3.5349999999999999E-2</v>
      </c>
    </row>
    <row r="596" spans="1:4">
      <c r="A596" s="29">
        <f t="shared" si="18"/>
        <v>645.29806417874602</v>
      </c>
      <c r="B596">
        <v>6452.9806417874597</v>
      </c>
      <c r="C596">
        <v>3.0300000000000002</v>
      </c>
      <c r="D596" s="23">
        <f t="shared" si="19"/>
        <v>3.0300000000000004E-2</v>
      </c>
    </row>
    <row r="597" spans="1:4">
      <c r="A597" s="29">
        <f t="shared" si="18"/>
        <v>646.3844245561512</v>
      </c>
      <c r="B597">
        <v>6463.8442455615123</v>
      </c>
      <c r="C597">
        <v>2.5250000000000004</v>
      </c>
      <c r="D597" s="23">
        <f t="shared" si="19"/>
        <v>2.5250000000000005E-2</v>
      </c>
    </row>
    <row r="598" spans="1:4">
      <c r="A598" s="29">
        <f t="shared" si="18"/>
        <v>647.47078493355662</v>
      </c>
      <c r="B598">
        <v>6474.7078493355657</v>
      </c>
      <c r="C598">
        <v>2.0200000000000005</v>
      </c>
      <c r="D598" s="23">
        <f t="shared" si="19"/>
        <v>2.0200000000000006E-2</v>
      </c>
    </row>
    <row r="599" spans="1:4">
      <c r="A599" s="29">
        <f t="shared" si="18"/>
        <v>648.5571453109618</v>
      </c>
      <c r="B599">
        <v>6485.5714531096182</v>
      </c>
      <c r="C599">
        <v>1.5150000000000006</v>
      </c>
      <c r="D599" s="23">
        <f t="shared" si="19"/>
        <v>1.5150000000000005E-2</v>
      </c>
    </row>
    <row r="600" spans="1:4">
      <c r="A600" s="29">
        <f t="shared" si="18"/>
        <v>649.64350568836721</v>
      </c>
      <c r="B600">
        <v>6496.4350568836717</v>
      </c>
      <c r="C600">
        <v>1.0100000000000007</v>
      </c>
      <c r="D600" s="23">
        <f t="shared" si="19"/>
        <v>1.0100000000000007E-2</v>
      </c>
    </row>
    <row r="601" spans="1:4">
      <c r="A601" s="29">
        <f t="shared" si="18"/>
        <v>650.7298660657724</v>
      </c>
      <c r="B601">
        <v>6507.2986606577242</v>
      </c>
      <c r="C601">
        <v>0.50500000000000067</v>
      </c>
      <c r="D601" s="23">
        <f t="shared" si="19"/>
        <v>5.0500000000000067E-3</v>
      </c>
    </row>
    <row r="602" spans="1:4">
      <c r="A602" s="29">
        <f t="shared" si="18"/>
        <v>651.81622644317781</v>
      </c>
      <c r="B602">
        <v>6518.1622644317777</v>
      </c>
      <c r="C602">
        <v>0</v>
      </c>
      <c r="D602" s="23">
        <f t="shared" si="19"/>
        <v>0</v>
      </c>
    </row>
    <row r="603" spans="1:4">
      <c r="A603" s="29"/>
      <c r="D603" s="23"/>
    </row>
    <row r="604" spans="1:4">
      <c r="A604" s="29"/>
      <c r="D604" s="23"/>
    </row>
    <row r="605" spans="1:4">
      <c r="A605" s="29"/>
      <c r="D605" s="23"/>
    </row>
    <row r="606" spans="1:4">
      <c r="A606" s="29"/>
      <c r="D606" s="23"/>
    </row>
    <row r="607" spans="1:4">
      <c r="A607" s="29"/>
      <c r="D607" s="23"/>
    </row>
    <row r="608" spans="1:4">
      <c r="A608" s="29"/>
      <c r="D608" s="23"/>
    </row>
    <row r="609" spans="1:4">
      <c r="A609" s="29"/>
      <c r="D609" s="23"/>
    </row>
    <row r="610" spans="1:4">
      <c r="A610" s="29"/>
      <c r="D610" s="23"/>
    </row>
    <row r="611" spans="1:4">
      <c r="A611" s="29"/>
      <c r="D611" s="23"/>
    </row>
    <row r="612" spans="1:4">
      <c r="A612" s="29"/>
      <c r="D612" s="23"/>
    </row>
    <row r="613" spans="1:4">
      <c r="A613" s="29"/>
      <c r="D613" s="23"/>
    </row>
    <row r="614" spans="1:4">
      <c r="A614" s="29"/>
      <c r="D614" s="23"/>
    </row>
    <row r="615" spans="1:4">
      <c r="A615" s="29"/>
      <c r="D615" s="23"/>
    </row>
    <row r="616" spans="1:4">
      <c r="A616" s="29"/>
      <c r="D616" s="23"/>
    </row>
    <row r="617" spans="1:4">
      <c r="A617" s="29"/>
      <c r="D617" s="23"/>
    </row>
    <row r="618" spans="1:4">
      <c r="A618" s="29"/>
      <c r="D618" s="23"/>
    </row>
    <row r="619" spans="1:4">
      <c r="A619" s="29"/>
      <c r="D619" s="23"/>
    </row>
    <row r="620" spans="1:4">
      <c r="A620" s="29"/>
      <c r="D620" s="23"/>
    </row>
    <row r="621" spans="1:4">
      <c r="A621" s="29"/>
      <c r="D621" s="23"/>
    </row>
    <row r="622" spans="1:4">
      <c r="A622" s="29"/>
      <c r="D622" s="23"/>
    </row>
    <row r="623" spans="1:4">
      <c r="A623" s="29"/>
      <c r="D623" s="23"/>
    </row>
    <row r="624" spans="1:4">
      <c r="A624" s="29"/>
      <c r="D624" s="23"/>
    </row>
    <row r="625" spans="1:4">
      <c r="A625" s="29"/>
      <c r="D625" s="23"/>
    </row>
    <row r="626" spans="1:4">
      <c r="A626" s="29"/>
      <c r="D626" s="23"/>
    </row>
    <row r="627" spans="1:4">
      <c r="A627" s="29"/>
      <c r="D627" s="23"/>
    </row>
    <row r="628" spans="1:4">
      <c r="A628" s="29"/>
      <c r="D628" s="23"/>
    </row>
    <row r="629" spans="1:4">
      <c r="A629" s="29"/>
      <c r="D629" s="23"/>
    </row>
    <row r="630" spans="1:4">
      <c r="A630" s="29"/>
      <c r="D630" s="23"/>
    </row>
    <row r="631" spans="1:4">
      <c r="A631" s="29"/>
      <c r="D631" s="23"/>
    </row>
    <row r="632" spans="1:4">
      <c r="A632" s="29"/>
      <c r="D632" s="23"/>
    </row>
    <row r="633" spans="1:4">
      <c r="A633" s="29"/>
      <c r="D633" s="23"/>
    </row>
    <row r="634" spans="1:4">
      <c r="A634" s="29"/>
      <c r="D634" s="23"/>
    </row>
    <row r="635" spans="1:4">
      <c r="A635" s="29"/>
      <c r="D635" s="23"/>
    </row>
    <row r="636" spans="1:4">
      <c r="A636" s="29"/>
      <c r="D636" s="23"/>
    </row>
    <row r="637" spans="1:4">
      <c r="A637" s="29"/>
      <c r="D637" s="23"/>
    </row>
    <row r="638" spans="1:4">
      <c r="A638" s="29"/>
      <c r="D638" s="23"/>
    </row>
    <row r="639" spans="1:4">
      <c r="A639" s="29"/>
      <c r="D639" s="23"/>
    </row>
    <row r="640" spans="1:4">
      <c r="A640" s="29"/>
      <c r="D640" s="23"/>
    </row>
    <row r="641" spans="1:4">
      <c r="A641" s="29"/>
      <c r="D641" s="23"/>
    </row>
    <row r="642" spans="1:4">
      <c r="A642" s="29"/>
      <c r="D642" s="23"/>
    </row>
    <row r="643" spans="1:4">
      <c r="A643" s="29"/>
      <c r="D643" s="23"/>
    </row>
    <row r="644" spans="1:4">
      <c r="A644" s="29"/>
      <c r="D644" s="23"/>
    </row>
    <row r="645" spans="1:4">
      <c r="A645" s="29"/>
      <c r="D645" s="23"/>
    </row>
    <row r="646" spans="1:4">
      <c r="A646" s="29"/>
      <c r="D646" s="23"/>
    </row>
    <row r="647" spans="1:4">
      <c r="A647" s="29"/>
      <c r="D647" s="23"/>
    </row>
    <row r="648" spans="1:4">
      <c r="A648" s="29"/>
      <c r="D648" s="23"/>
    </row>
    <row r="649" spans="1:4">
      <c r="A649" s="29"/>
      <c r="D649" s="23"/>
    </row>
    <row r="650" spans="1:4">
      <c r="A650" s="29"/>
      <c r="D650" s="23"/>
    </row>
    <row r="651" spans="1:4">
      <c r="A651" s="29"/>
      <c r="D651" s="23"/>
    </row>
    <row r="652" spans="1:4">
      <c r="A652" s="29"/>
      <c r="D652" s="23"/>
    </row>
    <row r="653" spans="1:4">
      <c r="A653" s="29"/>
      <c r="D653" s="23"/>
    </row>
    <row r="654" spans="1:4">
      <c r="A654" s="29"/>
      <c r="D654" s="23"/>
    </row>
    <row r="655" spans="1:4">
      <c r="A655" s="29"/>
      <c r="D655" s="23"/>
    </row>
    <row r="656" spans="1:4">
      <c r="A656" s="29"/>
      <c r="D656" s="23"/>
    </row>
    <row r="657" spans="1:4">
      <c r="A657" s="29"/>
      <c r="D657" s="23"/>
    </row>
    <row r="658" spans="1:4">
      <c r="A658" s="29"/>
      <c r="D658" s="23"/>
    </row>
    <row r="659" spans="1:4">
      <c r="A659" s="29"/>
      <c r="D659" s="23"/>
    </row>
    <row r="660" spans="1:4">
      <c r="A660" s="29"/>
      <c r="D660" s="23"/>
    </row>
    <row r="661" spans="1:4">
      <c r="A661" s="29"/>
      <c r="D661" s="23"/>
    </row>
    <row r="662" spans="1:4">
      <c r="A662" s="29"/>
      <c r="D662" s="23"/>
    </row>
    <row r="663" spans="1:4">
      <c r="A663" s="29"/>
      <c r="D663" s="23"/>
    </row>
    <row r="664" spans="1:4">
      <c r="A664" s="29"/>
      <c r="D664" s="23"/>
    </row>
    <row r="665" spans="1:4">
      <c r="A665" s="29"/>
      <c r="D665" s="23"/>
    </row>
    <row r="666" spans="1:4">
      <c r="A666" s="29"/>
      <c r="D666" s="23"/>
    </row>
    <row r="667" spans="1:4">
      <c r="A667" s="29"/>
      <c r="D667" s="23"/>
    </row>
    <row r="668" spans="1:4">
      <c r="A668" s="29"/>
      <c r="D668" s="23"/>
    </row>
    <row r="669" spans="1:4">
      <c r="A669" s="29"/>
      <c r="D669" s="23"/>
    </row>
    <row r="670" spans="1:4">
      <c r="A670" s="29"/>
      <c r="D670" s="23"/>
    </row>
    <row r="671" spans="1:4">
      <c r="A671" s="29"/>
      <c r="D671" s="23"/>
    </row>
    <row r="672" spans="1:4">
      <c r="A672" s="29"/>
      <c r="D672" s="23"/>
    </row>
    <row r="673" spans="1:4">
      <c r="A673" s="29"/>
      <c r="D673" s="23"/>
    </row>
    <row r="674" spans="1:4">
      <c r="A674" s="29"/>
      <c r="D674" s="23"/>
    </row>
    <row r="675" spans="1:4">
      <c r="A675" s="29"/>
      <c r="D675" s="23"/>
    </row>
    <row r="676" spans="1:4">
      <c r="A676" s="29"/>
      <c r="D676" s="23"/>
    </row>
    <row r="677" spans="1:4">
      <c r="A677" s="29"/>
      <c r="D677" s="23"/>
    </row>
    <row r="678" spans="1:4">
      <c r="A678" s="29"/>
      <c r="D678" s="23"/>
    </row>
    <row r="679" spans="1:4">
      <c r="A679" s="29"/>
      <c r="D679" s="23"/>
    </row>
    <row r="680" spans="1:4">
      <c r="A680" s="29"/>
      <c r="D68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C366-A629-47DB-8ED0-ACD5164A9854}">
  <sheetPr>
    <tabColor rgb="FFFF0000"/>
  </sheetPr>
  <dimension ref="A1:O518"/>
  <sheetViews>
    <sheetView workbookViewId="0">
      <selection activeCell="A448" sqref="A448:XFD609"/>
    </sheetView>
  </sheetViews>
  <sheetFormatPr baseColWidth="10" defaultColWidth="11.3984375" defaultRowHeight="14.25"/>
  <sheetData>
    <row r="1" spans="1:4">
      <c r="A1" t="s">
        <v>0</v>
      </c>
      <c r="B1" s="27"/>
      <c r="D1" t="s">
        <v>3</v>
      </c>
    </row>
    <row r="2" spans="1:4">
      <c r="A2" s="29">
        <v>0</v>
      </c>
      <c r="B2">
        <v>0</v>
      </c>
      <c r="C2">
        <v>26500</v>
      </c>
      <c r="D2" s="23">
        <f>$C2/100</f>
        <v>265</v>
      </c>
    </row>
    <row r="3" spans="1:4">
      <c r="A3" s="29">
        <f t="shared" ref="A3:A66" si="0">$B3/10</f>
        <v>1</v>
      </c>
      <c r="B3">
        <v>10</v>
      </c>
      <c r="C3">
        <v>26494.298999999999</v>
      </c>
      <c r="D3" s="23">
        <f t="shared" ref="D3:D66" si="1">$C3/100</f>
        <v>264.94299000000001</v>
      </c>
    </row>
    <row r="4" spans="1:4">
      <c r="A4" s="29">
        <f t="shared" si="0"/>
        <v>2</v>
      </c>
      <c r="B4">
        <v>20</v>
      </c>
      <c r="C4">
        <v>26488.597999999998</v>
      </c>
      <c r="D4" s="23">
        <f t="shared" si="1"/>
        <v>264.88597999999996</v>
      </c>
    </row>
    <row r="5" spans="1:4">
      <c r="A5" s="29">
        <f t="shared" si="0"/>
        <v>3</v>
      </c>
      <c r="B5">
        <v>30</v>
      </c>
      <c r="C5">
        <v>26482.896999999997</v>
      </c>
      <c r="D5" s="23">
        <f t="shared" si="1"/>
        <v>264.82896999999997</v>
      </c>
    </row>
    <row r="6" spans="1:4">
      <c r="A6" s="29">
        <f t="shared" si="0"/>
        <v>4</v>
      </c>
      <c r="B6">
        <v>40</v>
      </c>
      <c r="C6">
        <v>26477.195999999996</v>
      </c>
      <c r="D6" s="23">
        <f t="shared" si="1"/>
        <v>264.77195999999998</v>
      </c>
    </row>
    <row r="7" spans="1:4">
      <c r="A7" s="29">
        <f t="shared" si="0"/>
        <v>5</v>
      </c>
      <c r="B7">
        <v>50</v>
      </c>
      <c r="C7">
        <v>26471.494999999995</v>
      </c>
      <c r="D7" s="23">
        <f t="shared" si="1"/>
        <v>264.71494999999993</v>
      </c>
    </row>
    <row r="8" spans="1:4">
      <c r="A8" s="29">
        <f t="shared" si="0"/>
        <v>6</v>
      </c>
      <c r="B8">
        <v>60</v>
      </c>
      <c r="C8">
        <v>26465.793999999994</v>
      </c>
      <c r="D8" s="23">
        <f t="shared" si="1"/>
        <v>264.65793999999994</v>
      </c>
    </row>
    <row r="9" spans="1:4">
      <c r="A9" s="29">
        <f t="shared" si="0"/>
        <v>7</v>
      </c>
      <c r="B9">
        <v>70</v>
      </c>
      <c r="C9">
        <v>26460.092999999993</v>
      </c>
      <c r="D9" s="23">
        <f t="shared" si="1"/>
        <v>264.60092999999995</v>
      </c>
    </row>
    <row r="10" spans="1:4">
      <c r="A10" s="29">
        <f t="shared" si="0"/>
        <v>8</v>
      </c>
      <c r="B10">
        <v>80</v>
      </c>
      <c r="C10">
        <v>26454.391999999993</v>
      </c>
      <c r="D10" s="23">
        <f t="shared" si="1"/>
        <v>264.5439199999999</v>
      </c>
    </row>
    <row r="11" spans="1:4">
      <c r="A11" s="29">
        <f t="shared" si="0"/>
        <v>9</v>
      </c>
      <c r="B11">
        <v>90</v>
      </c>
      <c r="C11">
        <v>26448.690999999992</v>
      </c>
      <c r="D11" s="23">
        <f t="shared" si="1"/>
        <v>264.48690999999991</v>
      </c>
    </row>
    <row r="12" spans="1:4">
      <c r="A12" s="29">
        <f t="shared" si="0"/>
        <v>10</v>
      </c>
      <c r="B12">
        <v>100</v>
      </c>
      <c r="C12">
        <v>26442.99</v>
      </c>
      <c r="D12" s="23">
        <f t="shared" si="1"/>
        <v>264.42990000000003</v>
      </c>
    </row>
    <row r="13" spans="1:4">
      <c r="A13" s="29">
        <f t="shared" si="0"/>
        <v>11</v>
      </c>
      <c r="B13">
        <v>110</v>
      </c>
      <c r="C13">
        <v>26440.162</v>
      </c>
      <c r="D13" s="23">
        <f t="shared" si="1"/>
        <v>264.40161999999998</v>
      </c>
    </row>
    <row r="14" spans="1:4">
      <c r="A14" s="29">
        <f t="shared" si="0"/>
        <v>12</v>
      </c>
      <c r="B14">
        <v>120</v>
      </c>
      <c r="C14">
        <v>26437.333999999999</v>
      </c>
      <c r="D14" s="23">
        <f t="shared" si="1"/>
        <v>264.37333999999998</v>
      </c>
    </row>
    <row r="15" spans="1:4">
      <c r="A15" s="29">
        <f t="shared" si="0"/>
        <v>13</v>
      </c>
      <c r="B15">
        <v>130</v>
      </c>
      <c r="C15">
        <v>26434.505999999998</v>
      </c>
      <c r="D15" s="23">
        <f t="shared" si="1"/>
        <v>264.34505999999999</v>
      </c>
    </row>
    <row r="16" spans="1:4">
      <c r="A16" s="29">
        <f t="shared" si="0"/>
        <v>14</v>
      </c>
      <c r="B16">
        <v>140</v>
      </c>
      <c r="C16">
        <v>26431.677999999996</v>
      </c>
      <c r="D16" s="23">
        <f t="shared" si="1"/>
        <v>264.31677999999994</v>
      </c>
    </row>
    <row r="17" spans="1:4">
      <c r="A17" s="29">
        <f t="shared" si="0"/>
        <v>15</v>
      </c>
      <c r="B17">
        <v>150</v>
      </c>
      <c r="C17">
        <v>26428.849999999995</v>
      </c>
      <c r="D17" s="23">
        <f t="shared" si="1"/>
        <v>264.28849999999994</v>
      </c>
    </row>
    <row r="18" spans="1:4">
      <c r="A18" s="29">
        <f t="shared" si="0"/>
        <v>16</v>
      </c>
      <c r="B18">
        <v>160</v>
      </c>
      <c r="C18">
        <v>26426.021999999994</v>
      </c>
      <c r="D18" s="23">
        <f t="shared" si="1"/>
        <v>264.26021999999995</v>
      </c>
    </row>
    <row r="19" spans="1:4">
      <c r="A19" s="29">
        <f t="shared" si="0"/>
        <v>17</v>
      </c>
      <c r="B19">
        <v>170</v>
      </c>
      <c r="C19">
        <v>26423.193999999992</v>
      </c>
      <c r="D19" s="23">
        <f t="shared" si="1"/>
        <v>264.2319399999999</v>
      </c>
    </row>
    <row r="20" spans="1:4">
      <c r="A20" s="29">
        <f t="shared" si="0"/>
        <v>18</v>
      </c>
      <c r="B20">
        <v>180</v>
      </c>
      <c r="C20">
        <v>26420.365999999991</v>
      </c>
      <c r="D20" s="23">
        <f t="shared" si="1"/>
        <v>264.2036599999999</v>
      </c>
    </row>
    <row r="21" spans="1:4">
      <c r="A21" s="29">
        <f t="shared" si="0"/>
        <v>19</v>
      </c>
      <c r="B21">
        <v>190</v>
      </c>
      <c r="C21">
        <v>26417.537999999993</v>
      </c>
      <c r="D21" s="23">
        <f t="shared" si="1"/>
        <v>264.1753799999999</v>
      </c>
    </row>
    <row r="22" spans="1:4">
      <c r="A22" s="29">
        <f t="shared" si="0"/>
        <v>20</v>
      </c>
      <c r="B22">
        <v>200</v>
      </c>
      <c r="C22">
        <v>26414.71</v>
      </c>
      <c r="D22" s="23">
        <f t="shared" si="1"/>
        <v>264.14709999999997</v>
      </c>
    </row>
    <row r="23" spans="1:4">
      <c r="A23" s="29">
        <f t="shared" si="0"/>
        <v>21</v>
      </c>
      <c r="B23">
        <v>210</v>
      </c>
      <c r="C23">
        <v>26411.881999999998</v>
      </c>
      <c r="D23" s="23">
        <f t="shared" si="1"/>
        <v>264.11881999999997</v>
      </c>
    </row>
    <row r="24" spans="1:4">
      <c r="A24" s="29">
        <f t="shared" si="0"/>
        <v>22</v>
      </c>
      <c r="B24">
        <v>220</v>
      </c>
      <c r="C24">
        <v>26409.053999999996</v>
      </c>
      <c r="D24" s="23">
        <f t="shared" si="1"/>
        <v>264.09053999999998</v>
      </c>
    </row>
    <row r="25" spans="1:4">
      <c r="A25" s="29">
        <f t="shared" si="0"/>
        <v>23</v>
      </c>
      <c r="B25">
        <v>230</v>
      </c>
      <c r="C25">
        <v>26406.225999999995</v>
      </c>
      <c r="D25" s="23">
        <f t="shared" si="1"/>
        <v>264.06225999999992</v>
      </c>
    </row>
    <row r="26" spans="1:4">
      <c r="A26" s="29">
        <f t="shared" si="0"/>
        <v>24</v>
      </c>
      <c r="B26">
        <v>240</v>
      </c>
      <c r="C26">
        <v>26403.397999999994</v>
      </c>
      <c r="D26" s="23">
        <f t="shared" si="1"/>
        <v>264.03397999999993</v>
      </c>
    </row>
    <row r="27" spans="1:4">
      <c r="A27" s="29">
        <f t="shared" si="0"/>
        <v>25</v>
      </c>
      <c r="B27">
        <v>250</v>
      </c>
      <c r="C27">
        <v>26400.569999999992</v>
      </c>
      <c r="D27" s="23">
        <f t="shared" si="1"/>
        <v>264.00569999999993</v>
      </c>
    </row>
    <row r="28" spans="1:4">
      <c r="A28" s="29">
        <f t="shared" si="0"/>
        <v>26</v>
      </c>
      <c r="B28">
        <v>260</v>
      </c>
      <c r="C28">
        <v>26397.741999999991</v>
      </c>
      <c r="D28" s="23">
        <f t="shared" si="1"/>
        <v>263.97741999999994</v>
      </c>
    </row>
    <row r="29" spans="1:4">
      <c r="A29" s="29">
        <f t="shared" si="0"/>
        <v>27</v>
      </c>
      <c r="B29">
        <v>270</v>
      </c>
      <c r="C29">
        <v>26394.91399999999</v>
      </c>
      <c r="D29" s="23">
        <f t="shared" si="1"/>
        <v>263.94913999999989</v>
      </c>
    </row>
    <row r="30" spans="1:4">
      <c r="A30" s="29">
        <f t="shared" si="0"/>
        <v>28</v>
      </c>
      <c r="B30">
        <v>280</v>
      </c>
      <c r="C30">
        <v>26392.085999999988</v>
      </c>
      <c r="D30" s="23">
        <f t="shared" si="1"/>
        <v>263.92085999999989</v>
      </c>
    </row>
    <row r="31" spans="1:4">
      <c r="A31" s="29">
        <f t="shared" si="0"/>
        <v>29</v>
      </c>
      <c r="B31">
        <v>290</v>
      </c>
      <c r="C31">
        <v>26389.257999999987</v>
      </c>
      <c r="D31" s="23">
        <f t="shared" si="1"/>
        <v>263.8925799999999</v>
      </c>
    </row>
    <row r="32" spans="1:4">
      <c r="A32" s="29">
        <f t="shared" si="0"/>
        <v>30</v>
      </c>
      <c r="B32">
        <v>300</v>
      </c>
      <c r="C32">
        <v>26386.43</v>
      </c>
      <c r="D32" s="23">
        <f t="shared" si="1"/>
        <v>263.86430000000001</v>
      </c>
    </row>
    <row r="33" spans="1:4">
      <c r="A33" s="29">
        <f t="shared" si="0"/>
        <v>31</v>
      </c>
      <c r="B33">
        <v>310</v>
      </c>
      <c r="C33">
        <v>26383.601999999999</v>
      </c>
      <c r="D33" s="23">
        <f t="shared" si="1"/>
        <v>263.83601999999996</v>
      </c>
    </row>
    <row r="34" spans="1:4">
      <c r="A34" s="29">
        <f t="shared" si="0"/>
        <v>32</v>
      </c>
      <c r="B34">
        <v>320</v>
      </c>
      <c r="C34">
        <v>26380.773999999998</v>
      </c>
      <c r="D34" s="23">
        <f t="shared" si="1"/>
        <v>263.80773999999997</v>
      </c>
    </row>
    <row r="35" spans="1:4">
      <c r="A35" s="29">
        <f t="shared" si="0"/>
        <v>33</v>
      </c>
      <c r="B35">
        <v>330</v>
      </c>
      <c r="C35">
        <v>26377.945999999996</v>
      </c>
      <c r="D35" s="23">
        <f t="shared" si="1"/>
        <v>263.77945999999997</v>
      </c>
    </row>
    <row r="36" spans="1:4">
      <c r="A36" s="29">
        <f t="shared" si="0"/>
        <v>34</v>
      </c>
      <c r="B36">
        <v>340</v>
      </c>
      <c r="C36">
        <v>26375.117999999995</v>
      </c>
      <c r="D36" s="23">
        <f t="shared" si="1"/>
        <v>263.75117999999998</v>
      </c>
    </row>
    <row r="37" spans="1:4">
      <c r="A37" s="29">
        <f t="shared" si="0"/>
        <v>35</v>
      </c>
      <c r="B37">
        <v>350</v>
      </c>
      <c r="C37">
        <v>26372.289999999994</v>
      </c>
      <c r="D37" s="23">
        <f t="shared" si="1"/>
        <v>263.72289999999992</v>
      </c>
    </row>
    <row r="38" spans="1:4">
      <c r="A38" s="29">
        <f t="shared" si="0"/>
        <v>36</v>
      </c>
      <c r="B38">
        <v>360</v>
      </c>
      <c r="C38">
        <v>26369.461999999992</v>
      </c>
      <c r="D38" s="23">
        <f t="shared" si="1"/>
        <v>263.69461999999993</v>
      </c>
    </row>
    <row r="39" spans="1:4">
      <c r="A39" s="29">
        <f t="shared" si="0"/>
        <v>37</v>
      </c>
      <c r="B39">
        <v>370</v>
      </c>
      <c r="C39">
        <v>26366.633999999991</v>
      </c>
      <c r="D39" s="23">
        <f t="shared" si="1"/>
        <v>263.66633999999993</v>
      </c>
    </row>
    <row r="40" spans="1:4">
      <c r="A40" s="29">
        <f t="shared" si="0"/>
        <v>38</v>
      </c>
      <c r="B40">
        <v>380</v>
      </c>
      <c r="C40">
        <v>26363.80599999999</v>
      </c>
      <c r="D40" s="23">
        <f t="shared" si="1"/>
        <v>263.63805999999988</v>
      </c>
    </row>
    <row r="41" spans="1:4">
      <c r="A41" s="29">
        <f t="shared" si="0"/>
        <v>39</v>
      </c>
      <c r="B41">
        <v>390</v>
      </c>
      <c r="C41">
        <v>26360.977999999988</v>
      </c>
      <c r="D41" s="23">
        <f t="shared" si="1"/>
        <v>263.60977999999989</v>
      </c>
    </row>
    <row r="42" spans="1:4">
      <c r="A42" s="29">
        <f t="shared" si="0"/>
        <v>40</v>
      </c>
      <c r="B42">
        <v>400</v>
      </c>
      <c r="C42">
        <v>26358.15</v>
      </c>
      <c r="D42" s="23">
        <f t="shared" si="1"/>
        <v>263.58150000000001</v>
      </c>
    </row>
    <row r="43" spans="1:4">
      <c r="A43" s="29">
        <f t="shared" si="0"/>
        <v>41</v>
      </c>
      <c r="B43">
        <v>410</v>
      </c>
      <c r="C43">
        <v>26355.323</v>
      </c>
      <c r="D43" s="23">
        <f t="shared" si="1"/>
        <v>263.55322999999999</v>
      </c>
    </row>
    <row r="44" spans="1:4">
      <c r="A44" s="29">
        <f t="shared" si="0"/>
        <v>42</v>
      </c>
      <c r="B44">
        <v>420</v>
      </c>
      <c r="C44">
        <v>26352.495999999999</v>
      </c>
      <c r="D44" s="23">
        <f t="shared" si="1"/>
        <v>263.52495999999996</v>
      </c>
    </row>
    <row r="45" spans="1:4">
      <c r="A45" s="29">
        <f t="shared" si="0"/>
        <v>43</v>
      </c>
      <c r="B45">
        <v>430</v>
      </c>
      <c r="C45">
        <v>26349.668999999998</v>
      </c>
      <c r="D45" s="23">
        <f t="shared" si="1"/>
        <v>263.49669</v>
      </c>
    </row>
    <row r="46" spans="1:4">
      <c r="A46" s="29">
        <f t="shared" si="0"/>
        <v>44</v>
      </c>
      <c r="B46">
        <v>440</v>
      </c>
      <c r="C46">
        <v>26346.841999999997</v>
      </c>
      <c r="D46" s="23">
        <f t="shared" si="1"/>
        <v>263.46841999999998</v>
      </c>
    </row>
    <row r="47" spans="1:4">
      <c r="A47" s="29">
        <f t="shared" si="0"/>
        <v>45</v>
      </c>
      <c r="B47">
        <v>450</v>
      </c>
      <c r="C47">
        <v>26344.014999999996</v>
      </c>
      <c r="D47" s="23">
        <f t="shared" si="1"/>
        <v>263.44014999999996</v>
      </c>
    </row>
    <row r="48" spans="1:4">
      <c r="A48" s="29">
        <f t="shared" si="0"/>
        <v>46</v>
      </c>
      <c r="B48">
        <v>460</v>
      </c>
      <c r="C48">
        <v>26341.187999999995</v>
      </c>
      <c r="D48" s="23">
        <f t="shared" si="1"/>
        <v>263.41187999999994</v>
      </c>
    </row>
    <row r="49" spans="1:4">
      <c r="A49" s="29">
        <f t="shared" si="0"/>
        <v>47</v>
      </c>
      <c r="B49">
        <v>470</v>
      </c>
      <c r="C49">
        <v>26338.360999999994</v>
      </c>
      <c r="D49" s="23">
        <f t="shared" si="1"/>
        <v>263.38360999999992</v>
      </c>
    </row>
    <row r="50" spans="1:4">
      <c r="A50" s="29">
        <f t="shared" si="0"/>
        <v>48</v>
      </c>
      <c r="B50">
        <v>480</v>
      </c>
      <c r="C50">
        <v>26335.533999999992</v>
      </c>
      <c r="D50" s="23">
        <f t="shared" si="1"/>
        <v>263.3553399999999</v>
      </c>
    </row>
    <row r="51" spans="1:4">
      <c r="A51" s="29">
        <f t="shared" si="0"/>
        <v>49</v>
      </c>
      <c r="B51">
        <v>490</v>
      </c>
      <c r="C51">
        <v>26332.706999999991</v>
      </c>
      <c r="D51" s="23">
        <f t="shared" si="1"/>
        <v>263.32706999999994</v>
      </c>
    </row>
    <row r="52" spans="1:4">
      <c r="A52" s="29">
        <f t="shared" si="0"/>
        <v>50</v>
      </c>
      <c r="B52">
        <v>500</v>
      </c>
      <c r="C52">
        <v>26329.88</v>
      </c>
      <c r="D52" s="23">
        <f t="shared" si="1"/>
        <v>263.29880000000003</v>
      </c>
    </row>
    <row r="53" spans="1:4">
      <c r="A53" s="29">
        <f t="shared" si="0"/>
        <v>51</v>
      </c>
      <c r="B53">
        <v>510</v>
      </c>
      <c r="C53">
        <v>26326.493000000002</v>
      </c>
      <c r="D53" s="23">
        <f t="shared" si="1"/>
        <v>263.26493000000005</v>
      </c>
    </row>
    <row r="54" spans="1:4">
      <c r="A54" s="29">
        <f t="shared" si="0"/>
        <v>52</v>
      </c>
      <c r="B54">
        <v>520</v>
      </c>
      <c r="C54">
        <v>26323.106000000003</v>
      </c>
      <c r="D54" s="23">
        <f t="shared" si="1"/>
        <v>263.23106000000001</v>
      </c>
    </row>
    <row r="55" spans="1:4">
      <c r="A55" s="29">
        <f t="shared" si="0"/>
        <v>53</v>
      </c>
      <c r="B55">
        <v>530</v>
      </c>
      <c r="C55">
        <v>26319.719000000005</v>
      </c>
      <c r="D55" s="23">
        <f t="shared" si="1"/>
        <v>263.19719000000003</v>
      </c>
    </row>
    <row r="56" spans="1:4">
      <c r="A56" s="29">
        <f t="shared" si="0"/>
        <v>54</v>
      </c>
      <c r="B56">
        <v>540</v>
      </c>
      <c r="C56">
        <v>26316.332000000006</v>
      </c>
      <c r="D56" s="23">
        <f t="shared" si="1"/>
        <v>263.16332000000006</v>
      </c>
    </row>
    <row r="57" spans="1:4">
      <c r="A57" s="29">
        <f t="shared" si="0"/>
        <v>55</v>
      </c>
      <c r="B57">
        <v>550</v>
      </c>
      <c r="C57">
        <v>26312.945000000007</v>
      </c>
      <c r="D57" s="23">
        <f t="shared" si="1"/>
        <v>263.12945000000008</v>
      </c>
    </row>
    <row r="58" spans="1:4">
      <c r="A58" s="29">
        <f t="shared" si="0"/>
        <v>56</v>
      </c>
      <c r="B58">
        <v>560</v>
      </c>
      <c r="C58">
        <v>26309.558000000008</v>
      </c>
      <c r="D58" s="23">
        <f t="shared" si="1"/>
        <v>263.0955800000001</v>
      </c>
    </row>
    <row r="59" spans="1:4">
      <c r="A59" s="29">
        <f t="shared" si="0"/>
        <v>57</v>
      </c>
      <c r="B59">
        <v>570</v>
      </c>
      <c r="C59">
        <v>26306.171000000009</v>
      </c>
      <c r="D59" s="23">
        <f t="shared" si="1"/>
        <v>263.06171000000012</v>
      </c>
    </row>
    <row r="60" spans="1:4">
      <c r="A60" s="29">
        <f t="shared" si="0"/>
        <v>58</v>
      </c>
      <c r="B60">
        <v>580</v>
      </c>
      <c r="C60">
        <v>26302.784000000011</v>
      </c>
      <c r="D60" s="23">
        <f t="shared" si="1"/>
        <v>263.02784000000008</v>
      </c>
    </row>
    <row r="61" spans="1:4">
      <c r="A61" s="29">
        <f t="shared" si="0"/>
        <v>59</v>
      </c>
      <c r="B61">
        <v>590</v>
      </c>
      <c r="C61">
        <v>26299.397000000012</v>
      </c>
      <c r="D61" s="23">
        <f t="shared" si="1"/>
        <v>262.9939700000001</v>
      </c>
    </row>
    <row r="62" spans="1:4">
      <c r="A62" s="29">
        <f t="shared" si="0"/>
        <v>60</v>
      </c>
      <c r="B62">
        <v>600</v>
      </c>
      <c r="C62">
        <v>26296.01</v>
      </c>
      <c r="D62" s="23">
        <f t="shared" si="1"/>
        <v>262.96010000000001</v>
      </c>
    </row>
    <row r="63" spans="1:4">
      <c r="A63" s="29">
        <f t="shared" si="0"/>
        <v>61</v>
      </c>
      <c r="B63">
        <v>610</v>
      </c>
      <c r="C63">
        <v>26282.110999999997</v>
      </c>
      <c r="D63" s="23">
        <f t="shared" si="1"/>
        <v>262.82110999999998</v>
      </c>
    </row>
    <row r="64" spans="1:4">
      <c r="A64" s="29">
        <f t="shared" si="0"/>
        <v>62</v>
      </c>
      <c r="B64">
        <v>620</v>
      </c>
      <c r="C64">
        <v>26268.211999999996</v>
      </c>
      <c r="D64" s="23">
        <f t="shared" si="1"/>
        <v>262.68211999999994</v>
      </c>
    </row>
    <row r="65" spans="1:4">
      <c r="A65" s="29">
        <f t="shared" si="0"/>
        <v>63</v>
      </c>
      <c r="B65">
        <v>630</v>
      </c>
      <c r="C65">
        <v>26254.312999999995</v>
      </c>
      <c r="D65" s="23">
        <f t="shared" si="1"/>
        <v>262.54312999999996</v>
      </c>
    </row>
    <row r="66" spans="1:4">
      <c r="A66" s="29">
        <f t="shared" si="0"/>
        <v>64</v>
      </c>
      <c r="B66">
        <v>640</v>
      </c>
      <c r="C66">
        <v>26240.413999999993</v>
      </c>
      <c r="D66" s="23">
        <f t="shared" si="1"/>
        <v>262.40413999999993</v>
      </c>
    </row>
    <row r="67" spans="1:4">
      <c r="A67" s="29">
        <f t="shared" ref="A67:A130" si="2">$B67/10</f>
        <v>65</v>
      </c>
      <c r="B67">
        <v>650</v>
      </c>
      <c r="C67">
        <v>26226.514999999992</v>
      </c>
      <c r="D67" s="23">
        <f t="shared" ref="D67:D130" si="3">$C67/100</f>
        <v>262.26514999999995</v>
      </c>
    </row>
    <row r="68" spans="1:4">
      <c r="A68" s="29">
        <f t="shared" si="2"/>
        <v>66</v>
      </c>
      <c r="B68">
        <v>660</v>
      </c>
      <c r="C68">
        <v>26212.615999999991</v>
      </c>
      <c r="D68" s="23">
        <f t="shared" si="3"/>
        <v>262.12615999999991</v>
      </c>
    </row>
    <row r="69" spans="1:4">
      <c r="A69" s="29">
        <f t="shared" si="2"/>
        <v>67</v>
      </c>
      <c r="B69">
        <v>670</v>
      </c>
      <c r="C69">
        <v>26198.71699999999</v>
      </c>
      <c r="D69" s="23">
        <f t="shared" si="3"/>
        <v>261.98716999999988</v>
      </c>
    </row>
    <row r="70" spans="1:4">
      <c r="A70" s="29">
        <f t="shared" si="2"/>
        <v>68</v>
      </c>
      <c r="B70">
        <v>680</v>
      </c>
      <c r="C70">
        <v>26184.817999999988</v>
      </c>
      <c r="D70" s="23">
        <f t="shared" si="3"/>
        <v>261.8481799999999</v>
      </c>
    </row>
    <row r="71" spans="1:4">
      <c r="A71" s="29">
        <f t="shared" si="2"/>
        <v>69</v>
      </c>
      <c r="B71">
        <v>690</v>
      </c>
      <c r="C71">
        <v>26170.918999999987</v>
      </c>
      <c r="D71" s="23">
        <f t="shared" si="3"/>
        <v>261.70918999999986</v>
      </c>
    </row>
    <row r="72" spans="1:4">
      <c r="A72" s="29">
        <f t="shared" si="2"/>
        <v>70</v>
      </c>
      <c r="B72">
        <v>700</v>
      </c>
      <c r="C72">
        <v>26157.02</v>
      </c>
      <c r="D72" s="23">
        <f t="shared" si="3"/>
        <v>261.5702</v>
      </c>
    </row>
    <row r="73" spans="1:4">
      <c r="A73" s="29">
        <f t="shared" si="2"/>
        <v>71</v>
      </c>
      <c r="B73">
        <v>710</v>
      </c>
      <c r="C73">
        <v>26120.541000000001</v>
      </c>
      <c r="D73" s="23">
        <f t="shared" si="3"/>
        <v>261.20541000000003</v>
      </c>
    </row>
    <row r="74" spans="1:4">
      <c r="A74" s="29">
        <f t="shared" si="2"/>
        <v>72</v>
      </c>
      <c r="B74">
        <v>720</v>
      </c>
      <c r="C74">
        <v>26084.062000000002</v>
      </c>
      <c r="D74" s="23">
        <f t="shared" si="3"/>
        <v>260.84062</v>
      </c>
    </row>
    <row r="75" spans="1:4">
      <c r="A75" s="29">
        <f t="shared" si="2"/>
        <v>73</v>
      </c>
      <c r="B75">
        <v>730</v>
      </c>
      <c r="C75">
        <v>26047.583000000002</v>
      </c>
      <c r="D75" s="23">
        <f t="shared" si="3"/>
        <v>260.47583000000003</v>
      </c>
    </row>
    <row r="76" spans="1:4">
      <c r="A76" s="29">
        <f t="shared" si="2"/>
        <v>74</v>
      </c>
      <c r="B76">
        <v>740</v>
      </c>
      <c r="C76">
        <v>26011.104000000003</v>
      </c>
      <c r="D76" s="23">
        <f t="shared" si="3"/>
        <v>260.11104</v>
      </c>
    </row>
    <row r="77" spans="1:4">
      <c r="A77" s="29">
        <f t="shared" si="2"/>
        <v>75</v>
      </c>
      <c r="B77">
        <v>750</v>
      </c>
      <c r="C77">
        <v>25974.625000000004</v>
      </c>
      <c r="D77" s="23">
        <f t="shared" si="3"/>
        <v>259.74625000000003</v>
      </c>
    </row>
    <row r="78" spans="1:4">
      <c r="A78" s="29">
        <f t="shared" si="2"/>
        <v>76</v>
      </c>
      <c r="B78">
        <v>760</v>
      </c>
      <c r="C78">
        <v>25938.146000000004</v>
      </c>
      <c r="D78" s="23">
        <f t="shared" si="3"/>
        <v>259.38146000000006</v>
      </c>
    </row>
    <row r="79" spans="1:4">
      <c r="A79" s="29">
        <f t="shared" si="2"/>
        <v>77</v>
      </c>
      <c r="B79">
        <v>770</v>
      </c>
      <c r="C79">
        <v>25901.667000000005</v>
      </c>
      <c r="D79" s="23">
        <f t="shared" si="3"/>
        <v>259.01667000000003</v>
      </c>
    </row>
    <row r="80" spans="1:4">
      <c r="A80" s="29">
        <f t="shared" si="2"/>
        <v>78</v>
      </c>
      <c r="B80">
        <v>780</v>
      </c>
      <c r="C80">
        <v>25865.188000000006</v>
      </c>
      <c r="D80" s="23">
        <f t="shared" si="3"/>
        <v>258.65188000000006</v>
      </c>
    </row>
    <row r="81" spans="1:4">
      <c r="A81" s="29">
        <f t="shared" si="2"/>
        <v>79</v>
      </c>
      <c r="B81">
        <v>790</v>
      </c>
      <c r="C81">
        <v>25828.709000000006</v>
      </c>
      <c r="D81" s="23">
        <f t="shared" si="3"/>
        <v>258.28709000000003</v>
      </c>
    </row>
    <row r="82" spans="1:4">
      <c r="A82" s="29">
        <f t="shared" si="2"/>
        <v>80</v>
      </c>
      <c r="B82">
        <v>800</v>
      </c>
      <c r="C82">
        <v>25792.23</v>
      </c>
      <c r="D82" s="23">
        <f t="shared" si="3"/>
        <v>257.92230000000001</v>
      </c>
    </row>
    <row r="83" spans="1:4">
      <c r="A83" s="29">
        <f t="shared" si="2"/>
        <v>81</v>
      </c>
      <c r="B83">
        <v>810</v>
      </c>
      <c r="C83">
        <v>25722.261999999999</v>
      </c>
      <c r="D83" s="23">
        <f t="shared" si="3"/>
        <v>257.22262000000001</v>
      </c>
    </row>
    <row r="84" spans="1:4">
      <c r="A84" s="29">
        <f t="shared" si="2"/>
        <v>82</v>
      </c>
      <c r="B84">
        <v>820</v>
      </c>
      <c r="C84">
        <v>25652.293999999998</v>
      </c>
      <c r="D84" s="23">
        <f t="shared" si="3"/>
        <v>256.52294000000001</v>
      </c>
    </row>
    <row r="85" spans="1:4">
      <c r="A85" s="29">
        <f t="shared" si="2"/>
        <v>83</v>
      </c>
      <c r="B85">
        <v>830</v>
      </c>
      <c r="C85">
        <v>25582.325999999997</v>
      </c>
      <c r="D85" s="23">
        <f t="shared" si="3"/>
        <v>255.82325999999998</v>
      </c>
    </row>
    <row r="86" spans="1:4">
      <c r="A86" s="29">
        <f t="shared" si="2"/>
        <v>84</v>
      </c>
      <c r="B86">
        <v>840</v>
      </c>
      <c r="C86">
        <v>25512.357999999997</v>
      </c>
      <c r="D86" s="23">
        <f t="shared" si="3"/>
        <v>255.12357999999998</v>
      </c>
    </row>
    <row r="87" spans="1:4">
      <c r="A87" s="29">
        <f t="shared" si="2"/>
        <v>85</v>
      </c>
      <c r="B87">
        <v>850</v>
      </c>
      <c r="C87">
        <v>25442.389999999996</v>
      </c>
      <c r="D87" s="23">
        <f t="shared" si="3"/>
        <v>254.42389999999995</v>
      </c>
    </row>
    <row r="88" spans="1:4">
      <c r="A88" s="29">
        <f t="shared" si="2"/>
        <v>86</v>
      </c>
      <c r="B88">
        <v>860</v>
      </c>
      <c r="C88">
        <v>25372.421999999995</v>
      </c>
      <c r="D88" s="23">
        <f t="shared" si="3"/>
        <v>253.72421999999995</v>
      </c>
    </row>
    <row r="89" spans="1:4">
      <c r="A89" s="29">
        <f t="shared" si="2"/>
        <v>87</v>
      </c>
      <c r="B89">
        <v>870</v>
      </c>
      <c r="C89">
        <v>25302.453999999994</v>
      </c>
      <c r="D89" s="23">
        <f t="shared" si="3"/>
        <v>253.02453999999994</v>
      </c>
    </row>
    <row r="90" spans="1:4">
      <c r="A90" s="29">
        <f t="shared" si="2"/>
        <v>88</v>
      </c>
      <c r="B90">
        <v>880</v>
      </c>
      <c r="C90">
        <v>25232.485999999994</v>
      </c>
      <c r="D90" s="23">
        <f t="shared" si="3"/>
        <v>252.32485999999994</v>
      </c>
    </row>
    <row r="91" spans="1:4">
      <c r="A91" s="29">
        <f t="shared" si="2"/>
        <v>89</v>
      </c>
      <c r="B91">
        <v>890</v>
      </c>
      <c r="C91">
        <v>25162.517999999993</v>
      </c>
      <c r="D91" s="23">
        <f t="shared" si="3"/>
        <v>251.62517999999992</v>
      </c>
    </row>
    <row r="92" spans="1:4">
      <c r="A92" s="29">
        <f t="shared" si="2"/>
        <v>90</v>
      </c>
      <c r="B92">
        <v>900</v>
      </c>
      <c r="C92">
        <v>25092.55</v>
      </c>
      <c r="D92" s="23">
        <f t="shared" si="3"/>
        <v>250.9255</v>
      </c>
    </row>
    <row r="93" spans="1:4">
      <c r="A93" s="29">
        <f t="shared" si="2"/>
        <v>91</v>
      </c>
      <c r="B93">
        <v>910</v>
      </c>
      <c r="C93">
        <v>24992.455999999998</v>
      </c>
      <c r="D93" s="23">
        <f t="shared" si="3"/>
        <v>249.92455999999999</v>
      </c>
    </row>
    <row r="94" spans="1:4">
      <c r="A94" s="29">
        <f t="shared" si="2"/>
        <v>92</v>
      </c>
      <c r="B94">
        <v>920</v>
      </c>
      <c r="C94">
        <v>24892.361999999997</v>
      </c>
      <c r="D94" s="23">
        <f t="shared" si="3"/>
        <v>248.92361999999997</v>
      </c>
    </row>
    <row r="95" spans="1:4">
      <c r="A95" s="29">
        <f t="shared" si="2"/>
        <v>93</v>
      </c>
      <c r="B95">
        <v>930</v>
      </c>
      <c r="C95">
        <v>24792.267999999996</v>
      </c>
      <c r="D95" s="23">
        <f t="shared" si="3"/>
        <v>247.92267999999996</v>
      </c>
    </row>
    <row r="96" spans="1:4">
      <c r="A96" s="29">
        <f t="shared" si="2"/>
        <v>94</v>
      </c>
      <c r="B96">
        <v>940</v>
      </c>
      <c r="C96">
        <v>24692.173999999995</v>
      </c>
      <c r="D96" s="23">
        <f t="shared" si="3"/>
        <v>246.92173999999994</v>
      </c>
    </row>
    <row r="97" spans="1:4">
      <c r="A97" s="29">
        <f t="shared" si="2"/>
        <v>95</v>
      </c>
      <c r="B97">
        <v>950</v>
      </c>
      <c r="C97">
        <v>24592.079999999994</v>
      </c>
      <c r="D97" s="23">
        <f t="shared" si="3"/>
        <v>245.92079999999996</v>
      </c>
    </row>
    <row r="98" spans="1:4">
      <c r="A98" s="29">
        <f t="shared" si="2"/>
        <v>96</v>
      </c>
      <c r="B98">
        <v>960</v>
      </c>
      <c r="C98">
        <v>24491.985999999994</v>
      </c>
      <c r="D98" s="23">
        <f t="shared" si="3"/>
        <v>244.91985999999994</v>
      </c>
    </row>
    <row r="99" spans="1:4">
      <c r="A99" s="29">
        <f t="shared" si="2"/>
        <v>97</v>
      </c>
      <c r="B99">
        <v>970</v>
      </c>
      <c r="C99">
        <v>24391.891999999993</v>
      </c>
      <c r="D99" s="23">
        <f t="shared" si="3"/>
        <v>243.91891999999993</v>
      </c>
    </row>
    <row r="100" spans="1:4">
      <c r="A100" s="29">
        <f t="shared" si="2"/>
        <v>98</v>
      </c>
      <c r="B100">
        <v>980</v>
      </c>
      <c r="C100">
        <v>24291.797999999992</v>
      </c>
      <c r="D100" s="23">
        <f t="shared" si="3"/>
        <v>242.91797999999991</v>
      </c>
    </row>
    <row r="101" spans="1:4">
      <c r="A101" s="29">
        <f t="shared" si="2"/>
        <v>99</v>
      </c>
      <c r="B101">
        <v>990</v>
      </c>
      <c r="C101">
        <v>24191.703999999991</v>
      </c>
      <c r="D101" s="23">
        <f t="shared" si="3"/>
        <v>241.9170399999999</v>
      </c>
    </row>
    <row r="102" spans="1:4">
      <c r="A102" s="29">
        <f t="shared" si="2"/>
        <v>100</v>
      </c>
      <c r="B102">
        <v>1000</v>
      </c>
      <c r="C102">
        <v>24091.61</v>
      </c>
      <c r="D102" s="23">
        <f t="shared" si="3"/>
        <v>240.9161</v>
      </c>
    </row>
    <row r="103" spans="1:4">
      <c r="A103" s="29">
        <f t="shared" si="2"/>
        <v>101</v>
      </c>
      <c r="B103">
        <v>1010</v>
      </c>
      <c r="C103">
        <v>23989.991973340002</v>
      </c>
      <c r="D103" s="23">
        <f t="shared" si="3"/>
        <v>239.89991973340003</v>
      </c>
    </row>
    <row r="104" spans="1:4">
      <c r="A104" s="29">
        <f t="shared" si="2"/>
        <v>102</v>
      </c>
      <c r="B104">
        <v>1020</v>
      </c>
      <c r="C104">
        <v>23888.373946680003</v>
      </c>
      <c r="D104" s="23">
        <f t="shared" si="3"/>
        <v>238.88373946680002</v>
      </c>
    </row>
    <row r="105" spans="1:4">
      <c r="A105" s="29">
        <f t="shared" si="2"/>
        <v>103</v>
      </c>
      <c r="B105">
        <v>1030</v>
      </c>
      <c r="C105">
        <v>23786.755920020005</v>
      </c>
      <c r="D105" s="23">
        <f t="shared" si="3"/>
        <v>237.86755920020005</v>
      </c>
    </row>
    <row r="106" spans="1:4">
      <c r="A106" s="29">
        <f t="shared" si="2"/>
        <v>104</v>
      </c>
      <c r="B106">
        <v>1040</v>
      </c>
      <c r="C106">
        <v>23685.137893360006</v>
      </c>
      <c r="D106" s="23">
        <f t="shared" si="3"/>
        <v>236.85137893360007</v>
      </c>
    </row>
    <row r="107" spans="1:4">
      <c r="A107" s="29">
        <f t="shared" si="2"/>
        <v>105</v>
      </c>
      <c r="B107">
        <v>1050</v>
      </c>
      <c r="C107">
        <v>23583.519866700008</v>
      </c>
      <c r="D107" s="23">
        <f t="shared" si="3"/>
        <v>235.83519866700007</v>
      </c>
    </row>
    <row r="108" spans="1:4">
      <c r="A108" s="29">
        <f t="shared" si="2"/>
        <v>106</v>
      </c>
      <c r="B108">
        <v>1060</v>
      </c>
      <c r="C108">
        <v>23481.901840040009</v>
      </c>
      <c r="D108" s="23">
        <f t="shared" si="3"/>
        <v>234.8190184004001</v>
      </c>
    </row>
    <row r="109" spans="1:4">
      <c r="A109" s="29">
        <f t="shared" si="2"/>
        <v>107</v>
      </c>
      <c r="B109">
        <v>1070</v>
      </c>
      <c r="C109">
        <v>23380.283813380011</v>
      </c>
      <c r="D109" s="23">
        <f t="shared" si="3"/>
        <v>233.80283813380009</v>
      </c>
    </row>
    <row r="110" spans="1:4">
      <c r="A110" s="29">
        <f t="shared" si="2"/>
        <v>108</v>
      </c>
      <c r="B110">
        <v>1080</v>
      </c>
      <c r="C110">
        <v>23278.665786720012</v>
      </c>
      <c r="D110" s="23">
        <f t="shared" si="3"/>
        <v>232.78665786720012</v>
      </c>
    </row>
    <row r="111" spans="1:4">
      <c r="A111" s="29">
        <f t="shared" si="2"/>
        <v>109</v>
      </c>
      <c r="B111">
        <v>1090</v>
      </c>
      <c r="C111">
        <v>23177.047760060013</v>
      </c>
      <c r="D111" s="23">
        <f t="shared" si="3"/>
        <v>231.77047760060015</v>
      </c>
    </row>
    <row r="112" spans="1:4">
      <c r="A112" s="29">
        <f t="shared" si="2"/>
        <v>110</v>
      </c>
      <c r="B112">
        <v>1100</v>
      </c>
      <c r="C112">
        <v>23075.429733400015</v>
      </c>
      <c r="D112" s="23">
        <f t="shared" si="3"/>
        <v>230.75429733400014</v>
      </c>
    </row>
    <row r="113" spans="1:4">
      <c r="A113" s="29">
        <f t="shared" si="2"/>
        <v>111</v>
      </c>
      <c r="B113">
        <v>1110</v>
      </c>
      <c r="C113">
        <v>22973.811706740016</v>
      </c>
      <c r="D113" s="23">
        <f t="shared" si="3"/>
        <v>229.73811706740017</v>
      </c>
    </row>
    <row r="114" spans="1:4">
      <c r="A114" s="29">
        <f t="shared" si="2"/>
        <v>112</v>
      </c>
      <c r="B114">
        <v>1120</v>
      </c>
      <c r="C114">
        <v>22872.193680080018</v>
      </c>
      <c r="D114" s="23">
        <f t="shared" si="3"/>
        <v>228.72193680080017</v>
      </c>
    </row>
    <row r="115" spans="1:4">
      <c r="A115" s="29">
        <f t="shared" si="2"/>
        <v>113</v>
      </c>
      <c r="B115">
        <v>1130</v>
      </c>
      <c r="C115">
        <v>22770.575653420019</v>
      </c>
      <c r="D115" s="23">
        <f t="shared" si="3"/>
        <v>227.70575653420019</v>
      </c>
    </row>
    <row r="116" spans="1:4">
      <c r="A116" s="29">
        <f t="shared" si="2"/>
        <v>114</v>
      </c>
      <c r="B116">
        <v>1140</v>
      </c>
      <c r="C116">
        <v>22668.957626760021</v>
      </c>
      <c r="D116" s="23">
        <f t="shared" si="3"/>
        <v>226.68957626760022</v>
      </c>
    </row>
    <row r="117" spans="1:4">
      <c r="A117" s="29">
        <f t="shared" si="2"/>
        <v>115</v>
      </c>
      <c r="B117">
        <v>1150</v>
      </c>
      <c r="C117">
        <v>22567.339600100022</v>
      </c>
      <c r="D117" s="23">
        <f t="shared" si="3"/>
        <v>225.67339600100021</v>
      </c>
    </row>
    <row r="118" spans="1:4">
      <c r="A118" s="29">
        <f t="shared" si="2"/>
        <v>116</v>
      </c>
      <c r="B118">
        <v>1160</v>
      </c>
      <c r="C118">
        <v>22465.721573440023</v>
      </c>
      <c r="D118" s="23">
        <f t="shared" si="3"/>
        <v>224.65721573440024</v>
      </c>
    </row>
    <row r="119" spans="1:4">
      <c r="A119" s="29">
        <f t="shared" si="2"/>
        <v>117</v>
      </c>
      <c r="B119">
        <v>1170</v>
      </c>
      <c r="C119">
        <v>22364.103546780025</v>
      </c>
      <c r="D119" s="23">
        <f t="shared" si="3"/>
        <v>223.64103546780024</v>
      </c>
    </row>
    <row r="120" spans="1:4">
      <c r="A120" s="29">
        <f t="shared" si="2"/>
        <v>118</v>
      </c>
      <c r="B120">
        <v>1180</v>
      </c>
      <c r="C120">
        <v>22262.485520120026</v>
      </c>
      <c r="D120" s="23">
        <f t="shared" si="3"/>
        <v>222.62485520120026</v>
      </c>
    </row>
    <row r="121" spans="1:4">
      <c r="A121" s="29">
        <f t="shared" si="2"/>
        <v>119</v>
      </c>
      <c r="B121">
        <v>1190</v>
      </c>
      <c r="C121">
        <v>22160.867493460028</v>
      </c>
      <c r="D121" s="23">
        <f t="shared" si="3"/>
        <v>221.60867493460029</v>
      </c>
    </row>
    <row r="122" spans="1:4">
      <c r="A122" s="29">
        <f t="shared" si="2"/>
        <v>120</v>
      </c>
      <c r="B122">
        <v>1200</v>
      </c>
      <c r="C122">
        <v>22059.249466800029</v>
      </c>
      <c r="D122" s="23">
        <f t="shared" si="3"/>
        <v>220.59249466800028</v>
      </c>
    </row>
    <row r="123" spans="1:4">
      <c r="A123" s="29">
        <f t="shared" si="2"/>
        <v>121</v>
      </c>
      <c r="B123">
        <v>1210</v>
      </c>
      <c r="C123">
        <v>21957.63144014003</v>
      </c>
      <c r="D123" s="23">
        <f t="shared" si="3"/>
        <v>219.57631440140031</v>
      </c>
    </row>
    <row r="124" spans="1:4">
      <c r="A124" s="29">
        <f t="shared" si="2"/>
        <v>122</v>
      </c>
      <c r="B124">
        <v>1220</v>
      </c>
      <c r="C124">
        <v>21856.013413480032</v>
      </c>
      <c r="D124" s="23">
        <f t="shared" si="3"/>
        <v>218.56013413480031</v>
      </c>
    </row>
    <row r="125" spans="1:4">
      <c r="A125" s="29">
        <f t="shared" si="2"/>
        <v>123</v>
      </c>
      <c r="B125">
        <v>1230</v>
      </c>
      <c r="C125">
        <v>21754.395386820033</v>
      </c>
      <c r="D125" s="23">
        <f t="shared" si="3"/>
        <v>217.54395386820033</v>
      </c>
    </row>
    <row r="126" spans="1:4">
      <c r="A126" s="29">
        <f t="shared" si="2"/>
        <v>124</v>
      </c>
      <c r="B126">
        <v>1240</v>
      </c>
      <c r="C126">
        <v>21652.777360160035</v>
      </c>
      <c r="D126" s="23">
        <f t="shared" si="3"/>
        <v>216.52777360160036</v>
      </c>
    </row>
    <row r="127" spans="1:4">
      <c r="A127" s="29">
        <f t="shared" si="2"/>
        <v>125</v>
      </c>
      <c r="B127">
        <v>1250</v>
      </c>
      <c r="C127">
        <v>21551.159333500036</v>
      </c>
      <c r="D127" s="23">
        <f t="shared" si="3"/>
        <v>215.51159333500036</v>
      </c>
    </row>
    <row r="128" spans="1:4">
      <c r="A128" s="29">
        <f t="shared" si="2"/>
        <v>126</v>
      </c>
      <c r="B128">
        <v>1260</v>
      </c>
      <c r="C128">
        <v>21449.541306840038</v>
      </c>
      <c r="D128" s="23">
        <f t="shared" si="3"/>
        <v>214.49541306840038</v>
      </c>
    </row>
    <row r="129" spans="1:4">
      <c r="A129" s="29">
        <f t="shared" si="2"/>
        <v>127</v>
      </c>
      <c r="B129">
        <v>1270</v>
      </c>
      <c r="C129">
        <v>21347.923280180039</v>
      </c>
      <c r="D129" s="23">
        <f t="shared" si="3"/>
        <v>213.47923280180038</v>
      </c>
    </row>
    <row r="130" spans="1:4">
      <c r="A130" s="29">
        <f t="shared" si="2"/>
        <v>128</v>
      </c>
      <c r="B130">
        <v>1280</v>
      </c>
      <c r="C130">
        <v>21246.30525352004</v>
      </c>
      <c r="D130" s="23">
        <f t="shared" si="3"/>
        <v>212.4630525352004</v>
      </c>
    </row>
    <row r="131" spans="1:4">
      <c r="A131" s="29">
        <f t="shared" ref="A131:A194" si="4">$B131/10</f>
        <v>129</v>
      </c>
      <c r="B131">
        <v>1290</v>
      </c>
      <c r="C131">
        <v>21144.687226860042</v>
      </c>
      <c r="D131" s="23">
        <f t="shared" ref="D131:D194" si="5">$C131/100</f>
        <v>211.44687226860043</v>
      </c>
    </row>
    <row r="132" spans="1:4">
      <c r="A132" s="29">
        <f t="shared" si="4"/>
        <v>130</v>
      </c>
      <c r="B132">
        <v>1300</v>
      </c>
      <c r="C132">
        <v>21043.069200200043</v>
      </c>
      <c r="D132" s="23">
        <f t="shared" si="5"/>
        <v>210.43069200200043</v>
      </c>
    </row>
    <row r="133" spans="1:4">
      <c r="A133" s="29">
        <f t="shared" si="4"/>
        <v>131</v>
      </c>
      <c r="B133">
        <v>1310</v>
      </c>
      <c r="C133">
        <v>20941.451173540045</v>
      </c>
      <c r="D133" s="23">
        <f t="shared" si="5"/>
        <v>209.41451173540045</v>
      </c>
    </row>
    <row r="134" spans="1:4">
      <c r="A134" s="29">
        <f t="shared" si="4"/>
        <v>132</v>
      </c>
      <c r="B134">
        <v>1320</v>
      </c>
      <c r="C134">
        <v>20839.833146880046</v>
      </c>
      <c r="D134" s="23">
        <f t="shared" si="5"/>
        <v>208.39833146880045</v>
      </c>
    </row>
    <row r="135" spans="1:4">
      <c r="A135" s="29">
        <f t="shared" si="4"/>
        <v>133</v>
      </c>
      <c r="B135">
        <v>1330</v>
      </c>
      <c r="C135">
        <v>20738.215120220048</v>
      </c>
      <c r="D135" s="23">
        <f t="shared" si="5"/>
        <v>207.38215120220048</v>
      </c>
    </row>
    <row r="136" spans="1:4">
      <c r="A136" s="29">
        <f t="shared" si="4"/>
        <v>134</v>
      </c>
      <c r="B136">
        <v>1340</v>
      </c>
      <c r="C136">
        <v>20636.597093560049</v>
      </c>
      <c r="D136" s="23">
        <f t="shared" si="5"/>
        <v>206.3659709356005</v>
      </c>
    </row>
    <row r="137" spans="1:4">
      <c r="A137" s="29">
        <f t="shared" si="4"/>
        <v>135</v>
      </c>
      <c r="B137">
        <v>1350</v>
      </c>
      <c r="C137">
        <v>20534.97906690005</v>
      </c>
      <c r="D137" s="23">
        <f t="shared" si="5"/>
        <v>205.3497906690005</v>
      </c>
    </row>
    <row r="138" spans="1:4">
      <c r="A138" s="29">
        <f t="shared" si="4"/>
        <v>136</v>
      </c>
      <c r="B138">
        <v>1360</v>
      </c>
      <c r="C138">
        <v>20433.361040240052</v>
      </c>
      <c r="D138" s="23">
        <f t="shared" si="5"/>
        <v>204.33361040240052</v>
      </c>
    </row>
    <row r="139" spans="1:4">
      <c r="A139" s="29">
        <f t="shared" si="4"/>
        <v>137</v>
      </c>
      <c r="B139">
        <v>1370</v>
      </c>
      <c r="C139">
        <v>20331.743013580053</v>
      </c>
      <c r="D139" s="23">
        <f t="shared" si="5"/>
        <v>203.31743013580052</v>
      </c>
    </row>
    <row r="140" spans="1:4">
      <c r="A140" s="29">
        <f t="shared" si="4"/>
        <v>138</v>
      </c>
      <c r="B140">
        <v>1380</v>
      </c>
      <c r="C140">
        <v>20230.124986920055</v>
      </c>
      <c r="D140" s="23">
        <f t="shared" si="5"/>
        <v>202.30124986920055</v>
      </c>
    </row>
    <row r="141" spans="1:4">
      <c r="A141" s="29">
        <f t="shared" si="4"/>
        <v>139</v>
      </c>
      <c r="B141">
        <v>1390</v>
      </c>
      <c r="C141">
        <v>20128.506960260056</v>
      </c>
      <c r="D141" s="23">
        <f t="shared" si="5"/>
        <v>201.28506960260057</v>
      </c>
    </row>
    <row r="142" spans="1:4">
      <c r="A142" s="29">
        <f t="shared" si="4"/>
        <v>140</v>
      </c>
      <c r="B142">
        <v>1400</v>
      </c>
      <c r="C142">
        <v>20026.888933600057</v>
      </c>
      <c r="D142" s="23">
        <f t="shared" si="5"/>
        <v>200.26888933600057</v>
      </c>
    </row>
    <row r="143" spans="1:4">
      <c r="A143" s="29">
        <f t="shared" si="4"/>
        <v>141</v>
      </c>
      <c r="B143">
        <v>1410</v>
      </c>
      <c r="C143">
        <v>19925.270906940059</v>
      </c>
      <c r="D143" s="23">
        <f t="shared" si="5"/>
        <v>199.25270906940059</v>
      </c>
    </row>
    <row r="144" spans="1:4">
      <c r="A144" s="29">
        <f t="shared" si="4"/>
        <v>142</v>
      </c>
      <c r="B144">
        <v>1420</v>
      </c>
      <c r="C144">
        <v>19823.65288028006</v>
      </c>
      <c r="D144" s="23">
        <f t="shared" si="5"/>
        <v>198.23652880280059</v>
      </c>
    </row>
    <row r="145" spans="1:4">
      <c r="A145" s="29">
        <f t="shared" si="4"/>
        <v>143</v>
      </c>
      <c r="B145">
        <v>1430</v>
      </c>
      <c r="C145">
        <v>19722.034853620062</v>
      </c>
      <c r="D145" s="23">
        <f t="shared" si="5"/>
        <v>197.22034853620062</v>
      </c>
    </row>
    <row r="146" spans="1:4">
      <c r="A146" s="29">
        <f t="shared" si="4"/>
        <v>144</v>
      </c>
      <c r="B146">
        <v>1440</v>
      </c>
      <c r="C146">
        <v>19620.416826960063</v>
      </c>
      <c r="D146" s="23">
        <f t="shared" si="5"/>
        <v>196.20416826960064</v>
      </c>
    </row>
    <row r="147" spans="1:4">
      <c r="A147" s="29">
        <f t="shared" si="4"/>
        <v>145</v>
      </c>
      <c r="B147">
        <v>1450</v>
      </c>
      <c r="C147">
        <v>19518.798800300065</v>
      </c>
      <c r="D147" s="23">
        <f t="shared" si="5"/>
        <v>195.18798800300064</v>
      </c>
    </row>
    <row r="148" spans="1:4">
      <c r="A148" s="29">
        <f t="shared" si="4"/>
        <v>146</v>
      </c>
      <c r="B148">
        <v>1460</v>
      </c>
      <c r="C148">
        <v>19417.180773640066</v>
      </c>
      <c r="D148" s="23">
        <f t="shared" si="5"/>
        <v>194.17180773640067</v>
      </c>
    </row>
    <row r="149" spans="1:4">
      <c r="A149" s="29">
        <f t="shared" si="4"/>
        <v>147</v>
      </c>
      <c r="B149">
        <v>1470</v>
      </c>
      <c r="C149">
        <v>19315.562746980067</v>
      </c>
      <c r="D149" s="23">
        <f t="shared" si="5"/>
        <v>193.15562746980066</v>
      </c>
    </row>
    <row r="150" spans="1:4">
      <c r="A150" s="29">
        <f t="shared" si="4"/>
        <v>148</v>
      </c>
      <c r="B150">
        <v>1480</v>
      </c>
      <c r="C150">
        <v>19213.944720320069</v>
      </c>
      <c r="D150" s="23">
        <f t="shared" si="5"/>
        <v>192.13944720320069</v>
      </c>
    </row>
    <row r="151" spans="1:4">
      <c r="A151" s="29">
        <f t="shared" si="4"/>
        <v>149</v>
      </c>
      <c r="B151">
        <v>1490</v>
      </c>
      <c r="C151">
        <v>19112.32669366007</v>
      </c>
      <c r="D151" s="23">
        <f t="shared" si="5"/>
        <v>191.12326693660071</v>
      </c>
    </row>
    <row r="152" spans="1:4">
      <c r="A152" s="29">
        <f t="shared" si="4"/>
        <v>150</v>
      </c>
      <c r="B152">
        <v>1500</v>
      </c>
      <c r="C152">
        <v>19010.708667000072</v>
      </c>
      <c r="D152" s="23">
        <f t="shared" si="5"/>
        <v>190.10708667000071</v>
      </c>
    </row>
    <row r="153" spans="1:4">
      <c r="A153" s="29">
        <f t="shared" si="4"/>
        <v>151</v>
      </c>
      <c r="B153">
        <v>1510</v>
      </c>
      <c r="C153">
        <v>18909.090640340073</v>
      </c>
      <c r="D153" s="23">
        <f t="shared" si="5"/>
        <v>189.09090640340074</v>
      </c>
    </row>
    <row r="154" spans="1:4">
      <c r="A154" s="29">
        <f t="shared" si="4"/>
        <v>152</v>
      </c>
      <c r="B154">
        <v>1520</v>
      </c>
      <c r="C154">
        <v>18807.472613680075</v>
      </c>
      <c r="D154" s="23">
        <f t="shared" si="5"/>
        <v>188.07472613680073</v>
      </c>
    </row>
    <row r="155" spans="1:4">
      <c r="A155" s="29">
        <f t="shared" si="4"/>
        <v>153</v>
      </c>
      <c r="B155">
        <v>1530</v>
      </c>
      <c r="C155">
        <v>18705.854587020076</v>
      </c>
      <c r="D155" s="23">
        <f t="shared" si="5"/>
        <v>187.05854587020076</v>
      </c>
    </row>
    <row r="156" spans="1:4">
      <c r="A156" s="29">
        <f t="shared" si="4"/>
        <v>154</v>
      </c>
      <c r="B156">
        <v>1540</v>
      </c>
      <c r="C156">
        <v>18604.236560360077</v>
      </c>
      <c r="D156" s="23">
        <f t="shared" si="5"/>
        <v>186.04236560360079</v>
      </c>
    </row>
    <row r="157" spans="1:4">
      <c r="A157" s="29">
        <f t="shared" si="4"/>
        <v>155</v>
      </c>
      <c r="B157">
        <v>1550</v>
      </c>
      <c r="C157">
        <v>18502.618533700079</v>
      </c>
      <c r="D157" s="23">
        <f t="shared" si="5"/>
        <v>185.02618533700078</v>
      </c>
    </row>
    <row r="158" spans="1:4">
      <c r="A158" s="29">
        <f t="shared" si="4"/>
        <v>156</v>
      </c>
      <c r="B158">
        <v>1560</v>
      </c>
      <c r="C158">
        <v>18401.00050704008</v>
      </c>
      <c r="D158" s="23">
        <f t="shared" si="5"/>
        <v>184.01000507040081</v>
      </c>
    </row>
    <row r="159" spans="1:4">
      <c r="A159" s="29">
        <f t="shared" si="4"/>
        <v>157</v>
      </c>
      <c r="B159">
        <v>1570</v>
      </c>
      <c r="C159">
        <v>18299.382480380082</v>
      </c>
      <c r="D159" s="23">
        <f t="shared" si="5"/>
        <v>182.99382480380081</v>
      </c>
    </row>
    <row r="160" spans="1:4">
      <c r="A160" s="29">
        <f t="shared" si="4"/>
        <v>158</v>
      </c>
      <c r="B160">
        <v>1580</v>
      </c>
      <c r="C160">
        <v>18197.764453720083</v>
      </c>
      <c r="D160" s="23">
        <f t="shared" si="5"/>
        <v>181.97764453720083</v>
      </c>
    </row>
    <row r="161" spans="1:4">
      <c r="A161" s="29">
        <f t="shared" si="4"/>
        <v>159</v>
      </c>
      <c r="B161">
        <v>1590</v>
      </c>
      <c r="C161">
        <v>18096.146427060085</v>
      </c>
      <c r="D161" s="23">
        <f t="shared" si="5"/>
        <v>180.96146427060086</v>
      </c>
    </row>
    <row r="162" spans="1:4">
      <c r="A162" s="29">
        <f t="shared" si="4"/>
        <v>160</v>
      </c>
      <c r="B162">
        <v>1600</v>
      </c>
      <c r="C162">
        <v>17994.528400400086</v>
      </c>
      <c r="D162" s="23">
        <f t="shared" si="5"/>
        <v>179.94528400400085</v>
      </c>
    </row>
    <row r="163" spans="1:4">
      <c r="A163" s="29">
        <f t="shared" si="4"/>
        <v>161</v>
      </c>
      <c r="B163">
        <v>1610</v>
      </c>
      <c r="C163">
        <v>17892.910373740087</v>
      </c>
      <c r="D163" s="23">
        <f t="shared" si="5"/>
        <v>178.92910373740088</v>
      </c>
    </row>
    <row r="164" spans="1:4">
      <c r="A164" s="29">
        <f t="shared" si="4"/>
        <v>162</v>
      </c>
      <c r="B164">
        <v>1620</v>
      </c>
      <c r="C164">
        <v>17791.292347080089</v>
      </c>
      <c r="D164" s="23">
        <f t="shared" si="5"/>
        <v>177.91292347080088</v>
      </c>
    </row>
    <row r="165" spans="1:4">
      <c r="A165" s="29">
        <f t="shared" si="4"/>
        <v>163</v>
      </c>
      <c r="B165">
        <v>1630</v>
      </c>
      <c r="C165">
        <v>17689.67432042009</v>
      </c>
      <c r="D165" s="23">
        <f t="shared" si="5"/>
        <v>176.8967432042009</v>
      </c>
    </row>
    <row r="166" spans="1:4">
      <c r="A166" s="29">
        <f t="shared" si="4"/>
        <v>164</v>
      </c>
      <c r="B166">
        <v>1640</v>
      </c>
      <c r="C166">
        <v>17588.056293760092</v>
      </c>
      <c r="D166" s="23">
        <f t="shared" si="5"/>
        <v>175.88056293760093</v>
      </c>
    </row>
    <row r="167" spans="1:4">
      <c r="A167" s="29">
        <f t="shared" si="4"/>
        <v>165</v>
      </c>
      <c r="B167">
        <v>1650</v>
      </c>
      <c r="C167">
        <v>17486.438267100093</v>
      </c>
      <c r="D167" s="23">
        <f t="shared" si="5"/>
        <v>174.86438267100093</v>
      </c>
    </row>
    <row r="168" spans="1:4">
      <c r="A168" s="29">
        <f t="shared" si="4"/>
        <v>166</v>
      </c>
      <c r="B168">
        <v>1660</v>
      </c>
      <c r="C168">
        <v>17384.820240440094</v>
      </c>
      <c r="D168" s="23">
        <f t="shared" si="5"/>
        <v>173.84820240440095</v>
      </c>
    </row>
    <row r="169" spans="1:4">
      <c r="A169" s="29">
        <f t="shared" si="4"/>
        <v>167</v>
      </c>
      <c r="B169">
        <v>1670</v>
      </c>
      <c r="C169">
        <v>17283.202213780096</v>
      </c>
      <c r="D169" s="23">
        <f t="shared" si="5"/>
        <v>172.83202213780095</v>
      </c>
    </row>
    <row r="170" spans="1:4">
      <c r="A170" s="29">
        <f t="shared" si="4"/>
        <v>168</v>
      </c>
      <c r="B170">
        <v>1680</v>
      </c>
      <c r="C170">
        <v>17181.584187120097</v>
      </c>
      <c r="D170" s="23">
        <f t="shared" si="5"/>
        <v>171.81584187120097</v>
      </c>
    </row>
    <row r="171" spans="1:4">
      <c r="A171" s="29">
        <f t="shared" si="4"/>
        <v>169</v>
      </c>
      <c r="B171">
        <v>1690</v>
      </c>
      <c r="C171">
        <v>17079.966160460099</v>
      </c>
      <c r="D171" s="23">
        <f t="shared" si="5"/>
        <v>170.799661604601</v>
      </c>
    </row>
    <row r="172" spans="1:4">
      <c r="A172" s="29">
        <f t="shared" si="4"/>
        <v>170</v>
      </c>
      <c r="B172">
        <v>1700</v>
      </c>
      <c r="C172">
        <v>16978.3481338001</v>
      </c>
      <c r="D172" s="23">
        <f t="shared" si="5"/>
        <v>169.783481338001</v>
      </c>
    </row>
    <row r="173" spans="1:4">
      <c r="A173" s="29">
        <f t="shared" si="4"/>
        <v>171</v>
      </c>
      <c r="B173">
        <v>1710</v>
      </c>
      <c r="C173">
        <v>16876.730107140102</v>
      </c>
      <c r="D173" s="23">
        <f t="shared" si="5"/>
        <v>168.76730107140102</v>
      </c>
    </row>
    <row r="174" spans="1:4">
      <c r="A174" s="29">
        <f t="shared" si="4"/>
        <v>172</v>
      </c>
      <c r="B174">
        <v>1720</v>
      </c>
      <c r="C174">
        <v>16775.112080480103</v>
      </c>
      <c r="D174" s="23">
        <f t="shared" si="5"/>
        <v>167.75112080480102</v>
      </c>
    </row>
    <row r="175" spans="1:4">
      <c r="A175" s="29">
        <f t="shared" si="4"/>
        <v>173</v>
      </c>
      <c r="B175">
        <v>1730</v>
      </c>
      <c r="C175">
        <v>16673.494053820104</v>
      </c>
      <c r="D175" s="23">
        <f t="shared" si="5"/>
        <v>166.73494053820104</v>
      </c>
    </row>
    <row r="176" spans="1:4">
      <c r="A176" s="29">
        <f t="shared" si="4"/>
        <v>174</v>
      </c>
      <c r="B176">
        <v>1740</v>
      </c>
      <c r="C176">
        <v>16571.876027160106</v>
      </c>
      <c r="D176" s="23">
        <f t="shared" si="5"/>
        <v>165.71876027160107</v>
      </c>
    </row>
    <row r="177" spans="1:4">
      <c r="A177" s="29">
        <f t="shared" si="4"/>
        <v>175</v>
      </c>
      <c r="B177">
        <v>1750</v>
      </c>
      <c r="C177">
        <v>16470.258000500107</v>
      </c>
      <c r="D177" s="23">
        <f t="shared" si="5"/>
        <v>164.70258000500107</v>
      </c>
    </row>
    <row r="178" spans="1:4">
      <c r="A178" s="29">
        <f t="shared" si="4"/>
        <v>176</v>
      </c>
      <c r="B178">
        <v>1760</v>
      </c>
      <c r="C178">
        <v>16368.639973840107</v>
      </c>
      <c r="D178" s="23">
        <f t="shared" si="5"/>
        <v>163.68639973840106</v>
      </c>
    </row>
    <row r="179" spans="1:4">
      <c r="A179" s="29">
        <f t="shared" si="4"/>
        <v>177</v>
      </c>
      <c r="B179">
        <v>1770</v>
      </c>
      <c r="C179">
        <v>16267.021947180107</v>
      </c>
      <c r="D179" s="23">
        <f t="shared" si="5"/>
        <v>162.67021947180106</v>
      </c>
    </row>
    <row r="180" spans="1:4">
      <c r="A180" s="29">
        <f t="shared" si="4"/>
        <v>178</v>
      </c>
      <c r="B180">
        <v>1780</v>
      </c>
      <c r="C180">
        <v>16165.403920520106</v>
      </c>
      <c r="D180" s="23">
        <f t="shared" si="5"/>
        <v>161.65403920520106</v>
      </c>
    </row>
    <row r="181" spans="1:4">
      <c r="A181" s="29">
        <f t="shared" si="4"/>
        <v>179</v>
      </c>
      <c r="B181">
        <v>1790</v>
      </c>
      <c r="C181">
        <v>16063.785893860106</v>
      </c>
      <c r="D181" s="23">
        <f t="shared" si="5"/>
        <v>160.63785893860106</v>
      </c>
    </row>
    <row r="182" spans="1:4">
      <c r="A182" s="29">
        <f t="shared" si="4"/>
        <v>180</v>
      </c>
      <c r="B182">
        <v>1800</v>
      </c>
      <c r="C182">
        <v>15962.167867200105</v>
      </c>
      <c r="D182" s="23">
        <f t="shared" si="5"/>
        <v>159.62167867200105</v>
      </c>
    </row>
    <row r="183" spans="1:4">
      <c r="A183" s="29">
        <f t="shared" si="4"/>
        <v>181</v>
      </c>
      <c r="B183">
        <v>1810</v>
      </c>
      <c r="C183">
        <v>15860.549840540105</v>
      </c>
      <c r="D183" s="23">
        <f t="shared" si="5"/>
        <v>158.60549840540105</v>
      </c>
    </row>
    <row r="184" spans="1:4">
      <c r="A184" s="29">
        <f t="shared" si="4"/>
        <v>182</v>
      </c>
      <c r="B184">
        <v>1820</v>
      </c>
      <c r="C184">
        <v>15758.931813880105</v>
      </c>
      <c r="D184" s="23">
        <f t="shared" si="5"/>
        <v>157.58931813880105</v>
      </c>
    </row>
    <row r="185" spans="1:4">
      <c r="A185" s="29">
        <f t="shared" si="4"/>
        <v>183</v>
      </c>
      <c r="B185">
        <v>1830</v>
      </c>
      <c r="C185">
        <v>15657.313787220104</v>
      </c>
      <c r="D185" s="23">
        <f t="shared" si="5"/>
        <v>156.57313787220104</v>
      </c>
    </row>
    <row r="186" spans="1:4">
      <c r="A186" s="29">
        <f t="shared" si="4"/>
        <v>184</v>
      </c>
      <c r="B186">
        <v>1840</v>
      </c>
      <c r="C186">
        <v>15555.695760560104</v>
      </c>
      <c r="D186" s="23">
        <f t="shared" si="5"/>
        <v>155.55695760560104</v>
      </c>
    </row>
    <row r="187" spans="1:4">
      <c r="A187" s="29">
        <f t="shared" si="4"/>
        <v>185</v>
      </c>
      <c r="B187">
        <v>1850</v>
      </c>
      <c r="C187">
        <v>15454.077733900103</v>
      </c>
      <c r="D187" s="23">
        <f t="shared" si="5"/>
        <v>154.54077733900104</v>
      </c>
    </row>
    <row r="188" spans="1:4">
      <c r="A188" s="29">
        <f t="shared" si="4"/>
        <v>186</v>
      </c>
      <c r="B188">
        <v>1860</v>
      </c>
      <c r="C188">
        <v>15352.459707240103</v>
      </c>
      <c r="D188" s="23">
        <f t="shared" si="5"/>
        <v>153.52459707240104</v>
      </c>
    </row>
    <row r="189" spans="1:4">
      <c r="A189" s="29">
        <f t="shared" si="4"/>
        <v>187</v>
      </c>
      <c r="B189">
        <v>1870</v>
      </c>
      <c r="C189">
        <v>15250.841680580103</v>
      </c>
      <c r="D189" s="23">
        <f t="shared" si="5"/>
        <v>152.50841680580103</v>
      </c>
    </row>
    <row r="190" spans="1:4">
      <c r="A190" s="29">
        <f t="shared" si="4"/>
        <v>188</v>
      </c>
      <c r="B190">
        <v>1880</v>
      </c>
      <c r="C190">
        <v>15149.223653920102</v>
      </c>
      <c r="D190" s="23">
        <f t="shared" si="5"/>
        <v>151.49223653920103</v>
      </c>
    </row>
    <row r="191" spans="1:4">
      <c r="A191" s="29">
        <f t="shared" si="4"/>
        <v>189</v>
      </c>
      <c r="B191">
        <v>1890</v>
      </c>
      <c r="C191">
        <v>15047.605627260102</v>
      </c>
      <c r="D191" s="23">
        <f t="shared" si="5"/>
        <v>150.47605627260103</v>
      </c>
    </row>
    <row r="192" spans="1:4">
      <c r="A192" s="29">
        <f t="shared" si="4"/>
        <v>190</v>
      </c>
      <c r="B192">
        <v>1900</v>
      </c>
      <c r="C192">
        <v>14945.987600600101</v>
      </c>
      <c r="D192" s="23">
        <f t="shared" si="5"/>
        <v>149.45987600600102</v>
      </c>
    </row>
    <row r="193" spans="1:4">
      <c r="A193" s="29">
        <f t="shared" si="4"/>
        <v>191</v>
      </c>
      <c r="B193">
        <v>1910</v>
      </c>
      <c r="C193">
        <v>14844.369573940101</v>
      </c>
      <c r="D193" s="23">
        <f t="shared" si="5"/>
        <v>148.44369573940102</v>
      </c>
    </row>
    <row r="194" spans="1:4">
      <c r="A194" s="29">
        <f t="shared" si="4"/>
        <v>192</v>
      </c>
      <c r="B194">
        <v>1920</v>
      </c>
      <c r="C194">
        <v>14742.751547280101</v>
      </c>
      <c r="D194" s="23">
        <f t="shared" si="5"/>
        <v>147.42751547280102</v>
      </c>
    </row>
    <row r="195" spans="1:4">
      <c r="A195" s="29">
        <f t="shared" ref="A195:A258" si="6">$B195/10</f>
        <v>193</v>
      </c>
      <c r="B195">
        <v>1930</v>
      </c>
      <c r="C195">
        <v>14641.1335206201</v>
      </c>
      <c r="D195" s="23">
        <f t="shared" ref="D195:D258" si="7">$C195/100</f>
        <v>146.41133520620099</v>
      </c>
    </row>
    <row r="196" spans="1:4">
      <c r="A196" s="29">
        <f t="shared" si="6"/>
        <v>194</v>
      </c>
      <c r="B196">
        <v>1940</v>
      </c>
      <c r="C196">
        <v>14539.5154939601</v>
      </c>
      <c r="D196" s="23">
        <f t="shared" si="7"/>
        <v>145.39515493960099</v>
      </c>
    </row>
    <row r="197" spans="1:4">
      <c r="A197" s="29">
        <f t="shared" si="6"/>
        <v>195</v>
      </c>
      <c r="B197">
        <v>1950</v>
      </c>
      <c r="C197">
        <v>14437.897467300099</v>
      </c>
      <c r="D197" s="23">
        <f t="shared" si="7"/>
        <v>144.37897467300098</v>
      </c>
    </row>
    <row r="198" spans="1:4">
      <c r="A198" s="29">
        <f t="shared" si="6"/>
        <v>196</v>
      </c>
      <c r="B198">
        <v>1960</v>
      </c>
      <c r="C198">
        <v>14336.279440640099</v>
      </c>
      <c r="D198" s="23">
        <f t="shared" si="7"/>
        <v>143.36279440640098</v>
      </c>
    </row>
    <row r="199" spans="1:4">
      <c r="A199" s="29">
        <f t="shared" si="6"/>
        <v>197</v>
      </c>
      <c r="B199">
        <v>1970</v>
      </c>
      <c r="C199">
        <v>14234.661413980099</v>
      </c>
      <c r="D199" s="23">
        <f t="shared" si="7"/>
        <v>142.34661413980098</v>
      </c>
    </row>
    <row r="200" spans="1:4">
      <c r="A200" s="29">
        <f t="shared" si="6"/>
        <v>198</v>
      </c>
      <c r="B200">
        <v>1980</v>
      </c>
      <c r="C200">
        <v>14133.043387320098</v>
      </c>
      <c r="D200" s="23">
        <f t="shared" si="7"/>
        <v>141.33043387320097</v>
      </c>
    </row>
    <row r="201" spans="1:4">
      <c r="A201" s="29">
        <f t="shared" si="6"/>
        <v>199</v>
      </c>
      <c r="B201">
        <v>1990</v>
      </c>
      <c r="C201">
        <v>14031.425360660098</v>
      </c>
      <c r="D201" s="23">
        <f t="shared" si="7"/>
        <v>140.31425360660097</v>
      </c>
    </row>
    <row r="202" spans="1:4">
      <c r="A202" s="29">
        <f t="shared" si="6"/>
        <v>200</v>
      </c>
      <c r="B202">
        <v>2000</v>
      </c>
      <c r="C202">
        <v>13929.807334000097</v>
      </c>
      <c r="D202" s="23">
        <f t="shared" si="7"/>
        <v>139.29807334000097</v>
      </c>
    </row>
    <row r="203" spans="1:4">
      <c r="A203" s="29">
        <f t="shared" si="6"/>
        <v>201</v>
      </c>
      <c r="B203">
        <v>2010</v>
      </c>
      <c r="C203">
        <v>13828.189307340097</v>
      </c>
      <c r="D203" s="23">
        <f t="shared" si="7"/>
        <v>138.28189307340097</v>
      </c>
    </row>
    <row r="204" spans="1:4">
      <c r="A204" s="29">
        <f t="shared" si="6"/>
        <v>202</v>
      </c>
      <c r="B204">
        <v>2020</v>
      </c>
      <c r="C204">
        <v>13726.571280680097</v>
      </c>
      <c r="D204" s="23">
        <f t="shared" si="7"/>
        <v>137.26571280680096</v>
      </c>
    </row>
    <row r="205" spans="1:4">
      <c r="A205" s="29">
        <f t="shared" si="6"/>
        <v>203</v>
      </c>
      <c r="B205">
        <v>2030</v>
      </c>
      <c r="C205">
        <v>13624.953254020096</v>
      </c>
      <c r="D205" s="23">
        <f t="shared" si="7"/>
        <v>136.24953254020096</v>
      </c>
    </row>
    <row r="206" spans="1:4">
      <c r="A206" s="29">
        <f t="shared" si="6"/>
        <v>204</v>
      </c>
      <c r="B206">
        <v>2040</v>
      </c>
      <c r="C206">
        <v>13523.335227360096</v>
      </c>
      <c r="D206" s="23">
        <f t="shared" si="7"/>
        <v>135.23335227360096</v>
      </c>
    </row>
    <row r="207" spans="1:4">
      <c r="A207" s="29">
        <f t="shared" si="6"/>
        <v>205</v>
      </c>
      <c r="B207">
        <v>2050</v>
      </c>
      <c r="C207">
        <v>13421.717200700095</v>
      </c>
      <c r="D207" s="23">
        <f t="shared" si="7"/>
        <v>134.21717200700095</v>
      </c>
    </row>
    <row r="208" spans="1:4">
      <c r="A208" s="29">
        <f t="shared" si="6"/>
        <v>206</v>
      </c>
      <c r="B208">
        <v>2060</v>
      </c>
      <c r="C208">
        <v>13320.099174040095</v>
      </c>
      <c r="D208" s="23">
        <f t="shared" si="7"/>
        <v>133.20099174040095</v>
      </c>
    </row>
    <row r="209" spans="1:4">
      <c r="A209" s="29">
        <f t="shared" si="6"/>
        <v>207</v>
      </c>
      <c r="B209">
        <v>2070</v>
      </c>
      <c r="C209">
        <v>13218.481147380095</v>
      </c>
      <c r="D209" s="23">
        <f t="shared" si="7"/>
        <v>132.18481147380095</v>
      </c>
    </row>
    <row r="210" spans="1:4">
      <c r="A210" s="29">
        <f t="shared" si="6"/>
        <v>208</v>
      </c>
      <c r="B210">
        <v>2080</v>
      </c>
      <c r="C210">
        <v>13116.863120720094</v>
      </c>
      <c r="D210" s="23">
        <f t="shared" si="7"/>
        <v>131.16863120720095</v>
      </c>
    </row>
    <row r="211" spans="1:4">
      <c r="A211" s="29">
        <f t="shared" si="6"/>
        <v>209</v>
      </c>
      <c r="B211">
        <v>2090</v>
      </c>
      <c r="C211">
        <v>13015.245094060094</v>
      </c>
      <c r="D211" s="23">
        <f t="shared" si="7"/>
        <v>130.15245094060094</v>
      </c>
    </row>
    <row r="212" spans="1:4">
      <c r="A212" s="29">
        <f t="shared" si="6"/>
        <v>210</v>
      </c>
      <c r="B212">
        <v>2100</v>
      </c>
      <c r="C212">
        <v>12913.627067400093</v>
      </c>
      <c r="D212" s="23">
        <f t="shared" si="7"/>
        <v>129.13627067400094</v>
      </c>
    </row>
    <row r="213" spans="1:4">
      <c r="A213" s="29">
        <f t="shared" si="6"/>
        <v>211</v>
      </c>
      <c r="B213">
        <v>2110</v>
      </c>
      <c r="C213">
        <v>12812.009040740093</v>
      </c>
      <c r="D213" s="23">
        <f t="shared" si="7"/>
        <v>128.12009040740094</v>
      </c>
    </row>
    <row r="214" spans="1:4">
      <c r="A214" s="29">
        <f t="shared" si="6"/>
        <v>212</v>
      </c>
      <c r="B214">
        <v>2120</v>
      </c>
      <c r="C214">
        <v>12710.391014080093</v>
      </c>
      <c r="D214" s="23">
        <f t="shared" si="7"/>
        <v>127.10391014080092</v>
      </c>
    </row>
    <row r="215" spans="1:4">
      <c r="A215" s="29">
        <f t="shared" si="6"/>
        <v>213</v>
      </c>
      <c r="B215">
        <v>2130</v>
      </c>
      <c r="C215">
        <v>12608.772987420092</v>
      </c>
      <c r="D215" s="23">
        <f t="shared" si="7"/>
        <v>126.08772987420092</v>
      </c>
    </row>
    <row r="216" spans="1:4">
      <c r="A216" s="29">
        <f t="shared" si="6"/>
        <v>214</v>
      </c>
      <c r="B216">
        <v>2140</v>
      </c>
      <c r="C216">
        <v>12507.154960760092</v>
      </c>
      <c r="D216" s="23">
        <f t="shared" si="7"/>
        <v>125.07154960760091</v>
      </c>
    </row>
    <row r="217" spans="1:4">
      <c r="A217" s="29">
        <f t="shared" si="6"/>
        <v>215</v>
      </c>
      <c r="B217">
        <v>2150</v>
      </c>
      <c r="C217">
        <v>12405.536934100091</v>
      </c>
      <c r="D217" s="23">
        <f t="shared" si="7"/>
        <v>124.05536934100091</v>
      </c>
    </row>
    <row r="218" spans="1:4">
      <c r="A218" s="29">
        <f t="shared" si="6"/>
        <v>216</v>
      </c>
      <c r="B218">
        <v>2160</v>
      </c>
      <c r="C218">
        <v>12303.918907440091</v>
      </c>
      <c r="D218" s="23">
        <f t="shared" si="7"/>
        <v>123.03918907440091</v>
      </c>
    </row>
    <row r="219" spans="1:4">
      <c r="A219" s="29">
        <f t="shared" si="6"/>
        <v>217</v>
      </c>
      <c r="B219">
        <v>2170</v>
      </c>
      <c r="C219">
        <v>12202.300880780091</v>
      </c>
      <c r="D219" s="23">
        <f t="shared" si="7"/>
        <v>122.02300880780091</v>
      </c>
    </row>
    <row r="220" spans="1:4">
      <c r="A220" s="29">
        <f t="shared" si="6"/>
        <v>218</v>
      </c>
      <c r="B220">
        <v>2180</v>
      </c>
      <c r="C220">
        <v>12100.68285412009</v>
      </c>
      <c r="D220" s="23">
        <f t="shared" si="7"/>
        <v>121.0068285412009</v>
      </c>
    </row>
    <row r="221" spans="1:4">
      <c r="A221" s="29">
        <f t="shared" si="6"/>
        <v>219</v>
      </c>
      <c r="B221">
        <v>2190</v>
      </c>
      <c r="C221">
        <v>11999.06482746009</v>
      </c>
      <c r="D221" s="23">
        <f t="shared" si="7"/>
        <v>119.9906482746009</v>
      </c>
    </row>
    <row r="222" spans="1:4">
      <c r="A222" s="29">
        <f t="shared" si="6"/>
        <v>220</v>
      </c>
      <c r="B222">
        <v>2200</v>
      </c>
      <c r="C222">
        <v>11897.446800800089</v>
      </c>
      <c r="D222" s="23">
        <f t="shared" si="7"/>
        <v>118.9744680080009</v>
      </c>
    </row>
    <row r="223" spans="1:4">
      <c r="A223" s="29">
        <f t="shared" si="6"/>
        <v>221</v>
      </c>
      <c r="B223">
        <v>2210</v>
      </c>
      <c r="C223">
        <v>11795.828774140089</v>
      </c>
      <c r="D223" s="23">
        <f t="shared" si="7"/>
        <v>117.95828774140089</v>
      </c>
    </row>
    <row r="224" spans="1:4">
      <c r="A224" s="29">
        <f t="shared" si="6"/>
        <v>222</v>
      </c>
      <c r="B224">
        <v>2220</v>
      </c>
      <c r="C224">
        <v>11694.210747480089</v>
      </c>
      <c r="D224" s="23">
        <f t="shared" si="7"/>
        <v>116.94210747480089</v>
      </c>
    </row>
    <row r="225" spans="1:4">
      <c r="A225" s="29">
        <f t="shared" si="6"/>
        <v>223</v>
      </c>
      <c r="B225">
        <v>2230</v>
      </c>
      <c r="C225">
        <v>11592.592720820088</v>
      </c>
      <c r="D225" s="23">
        <f t="shared" si="7"/>
        <v>115.92592720820089</v>
      </c>
    </row>
    <row r="226" spans="1:4">
      <c r="A226" s="29">
        <f t="shared" si="6"/>
        <v>224</v>
      </c>
      <c r="B226">
        <v>2240</v>
      </c>
      <c r="C226">
        <v>11490.974694160088</v>
      </c>
      <c r="D226" s="23">
        <f t="shared" si="7"/>
        <v>114.90974694160087</v>
      </c>
    </row>
    <row r="227" spans="1:4">
      <c r="A227" s="29">
        <f t="shared" si="6"/>
        <v>225</v>
      </c>
      <c r="B227">
        <v>2250</v>
      </c>
      <c r="C227">
        <v>11389.356667500087</v>
      </c>
      <c r="D227" s="23">
        <f t="shared" si="7"/>
        <v>113.89356667500087</v>
      </c>
    </row>
    <row r="228" spans="1:4">
      <c r="A228" s="29">
        <f t="shared" si="6"/>
        <v>226</v>
      </c>
      <c r="B228">
        <v>2260</v>
      </c>
      <c r="C228">
        <v>11287.738640840087</v>
      </c>
      <c r="D228" s="23">
        <f t="shared" si="7"/>
        <v>112.87738640840087</v>
      </c>
    </row>
    <row r="229" spans="1:4">
      <c r="A229" s="29">
        <f t="shared" si="6"/>
        <v>227</v>
      </c>
      <c r="B229">
        <v>2270</v>
      </c>
      <c r="C229">
        <v>11186.120614180087</v>
      </c>
      <c r="D229" s="23">
        <f t="shared" si="7"/>
        <v>111.86120614180086</v>
      </c>
    </row>
    <row r="230" spans="1:4">
      <c r="A230" s="29">
        <f t="shared" si="6"/>
        <v>228</v>
      </c>
      <c r="B230">
        <v>2280</v>
      </c>
      <c r="C230">
        <v>11084.502587520086</v>
      </c>
      <c r="D230" s="23">
        <f t="shared" si="7"/>
        <v>110.84502587520086</v>
      </c>
    </row>
    <row r="231" spans="1:4">
      <c r="A231" s="29">
        <f t="shared" si="6"/>
        <v>229</v>
      </c>
      <c r="B231">
        <v>2290</v>
      </c>
      <c r="C231">
        <v>10982.884560860086</v>
      </c>
      <c r="D231" s="23">
        <f t="shared" si="7"/>
        <v>109.82884560860086</v>
      </c>
    </row>
    <row r="232" spans="1:4">
      <c r="A232" s="29">
        <f t="shared" si="6"/>
        <v>230</v>
      </c>
      <c r="B232">
        <v>2300</v>
      </c>
      <c r="C232">
        <v>10881.266534200086</v>
      </c>
      <c r="D232" s="23">
        <f t="shared" si="7"/>
        <v>108.81266534200086</v>
      </c>
    </row>
    <row r="233" spans="1:4">
      <c r="A233" s="29">
        <f t="shared" si="6"/>
        <v>231</v>
      </c>
      <c r="B233">
        <v>2310</v>
      </c>
      <c r="C233">
        <v>10779.648880780078</v>
      </c>
      <c r="D233" s="23">
        <f t="shared" si="7"/>
        <v>107.79648880780078</v>
      </c>
    </row>
    <row r="234" spans="1:4">
      <c r="A234" s="29">
        <f t="shared" si="6"/>
        <v>232</v>
      </c>
      <c r="B234">
        <v>2320</v>
      </c>
      <c r="C234">
        <v>10678.031227360068</v>
      </c>
      <c r="D234" s="23">
        <f t="shared" si="7"/>
        <v>106.78031227360069</v>
      </c>
    </row>
    <row r="235" spans="1:4">
      <c r="A235" s="29">
        <f t="shared" si="6"/>
        <v>233</v>
      </c>
      <c r="B235">
        <v>2330</v>
      </c>
      <c r="C235">
        <v>10576.413573940059</v>
      </c>
      <c r="D235" s="23">
        <f t="shared" si="7"/>
        <v>105.76413573940059</v>
      </c>
    </row>
    <row r="236" spans="1:4">
      <c r="A236" s="29">
        <f t="shared" si="6"/>
        <v>234</v>
      </c>
      <c r="B236">
        <v>2340</v>
      </c>
      <c r="C236">
        <v>10474.79592052005</v>
      </c>
      <c r="D236" s="23">
        <f t="shared" si="7"/>
        <v>104.7479592052005</v>
      </c>
    </row>
    <row r="237" spans="1:4">
      <c r="A237" s="29">
        <f t="shared" si="6"/>
        <v>235</v>
      </c>
      <c r="B237">
        <v>2350</v>
      </c>
      <c r="C237">
        <v>10373.17826710004</v>
      </c>
      <c r="D237" s="23">
        <f t="shared" si="7"/>
        <v>103.7317826710004</v>
      </c>
    </row>
    <row r="238" spans="1:4">
      <c r="A238" s="29">
        <f t="shared" si="6"/>
        <v>236</v>
      </c>
      <c r="B238">
        <v>2360</v>
      </c>
      <c r="C238">
        <v>10271.560613680031</v>
      </c>
      <c r="D238" s="23">
        <f t="shared" si="7"/>
        <v>102.7156061368003</v>
      </c>
    </row>
    <row r="239" spans="1:4">
      <c r="A239" s="29">
        <f t="shared" si="6"/>
        <v>237</v>
      </c>
      <c r="B239">
        <v>2370</v>
      </c>
      <c r="C239">
        <v>10169.942960260021</v>
      </c>
      <c r="D239" s="23">
        <f t="shared" si="7"/>
        <v>101.69942960260022</v>
      </c>
    </row>
    <row r="240" spans="1:4">
      <c r="A240" s="29">
        <f t="shared" si="6"/>
        <v>238</v>
      </c>
      <c r="B240">
        <v>2380</v>
      </c>
      <c r="C240">
        <v>10068.325306840012</v>
      </c>
      <c r="D240" s="23">
        <f t="shared" si="7"/>
        <v>100.68325306840012</v>
      </c>
    </row>
    <row r="241" spans="1:4">
      <c r="A241" s="29">
        <f t="shared" si="6"/>
        <v>239</v>
      </c>
      <c r="B241">
        <v>2390</v>
      </c>
      <c r="C241">
        <v>9966.7076534200023</v>
      </c>
      <c r="D241" s="23">
        <f t="shared" si="7"/>
        <v>99.667076534200021</v>
      </c>
    </row>
    <row r="242" spans="1:4">
      <c r="A242" s="29">
        <f t="shared" si="6"/>
        <v>240</v>
      </c>
      <c r="B242">
        <v>2400</v>
      </c>
      <c r="C242">
        <v>9865.09</v>
      </c>
      <c r="D242" s="23">
        <f t="shared" si="7"/>
        <v>98.650900000000007</v>
      </c>
    </row>
    <row r="243" spans="1:4">
      <c r="A243" s="29">
        <f t="shared" si="6"/>
        <v>241</v>
      </c>
      <c r="B243">
        <v>2410</v>
      </c>
      <c r="C243">
        <v>9764.1029999999992</v>
      </c>
      <c r="D243" s="23">
        <f t="shared" si="7"/>
        <v>97.641029999999986</v>
      </c>
    </row>
    <row r="244" spans="1:4">
      <c r="A244" s="29">
        <f t="shared" si="6"/>
        <v>242</v>
      </c>
      <c r="B244">
        <v>2420</v>
      </c>
      <c r="C244">
        <v>9663.1159999999982</v>
      </c>
      <c r="D244" s="23">
        <f t="shared" si="7"/>
        <v>96.63115999999998</v>
      </c>
    </row>
    <row r="245" spans="1:4">
      <c r="A245" s="29">
        <f t="shared" si="6"/>
        <v>243</v>
      </c>
      <c r="B245">
        <v>2430</v>
      </c>
      <c r="C245">
        <v>9562.1289999999972</v>
      </c>
      <c r="D245" s="23">
        <f t="shared" si="7"/>
        <v>95.621289999999973</v>
      </c>
    </row>
    <row r="246" spans="1:4">
      <c r="A246" s="29">
        <f t="shared" si="6"/>
        <v>244</v>
      </c>
      <c r="B246">
        <v>2440</v>
      </c>
      <c r="C246">
        <v>9461.1419999999962</v>
      </c>
      <c r="D246" s="23">
        <f t="shared" si="7"/>
        <v>94.611419999999967</v>
      </c>
    </row>
    <row r="247" spans="1:4">
      <c r="A247" s="29">
        <f t="shared" si="6"/>
        <v>245</v>
      </c>
      <c r="B247">
        <v>2450</v>
      </c>
      <c r="C247">
        <v>9360.1549999999952</v>
      </c>
      <c r="D247" s="23">
        <f t="shared" si="7"/>
        <v>93.601549999999946</v>
      </c>
    </row>
    <row r="248" spans="1:4">
      <c r="A248" s="29">
        <f t="shared" si="6"/>
        <v>246</v>
      </c>
      <c r="B248">
        <v>2460</v>
      </c>
      <c r="C248">
        <v>9259.1679999999942</v>
      </c>
      <c r="D248" s="23">
        <f t="shared" si="7"/>
        <v>92.59167999999994</v>
      </c>
    </row>
    <row r="249" spans="1:4">
      <c r="A249" s="29">
        <f t="shared" si="6"/>
        <v>247</v>
      </c>
      <c r="B249">
        <v>2470</v>
      </c>
      <c r="C249">
        <v>9158.1809999999932</v>
      </c>
      <c r="D249" s="23">
        <f t="shared" si="7"/>
        <v>91.581809999999933</v>
      </c>
    </row>
    <row r="250" spans="1:4">
      <c r="A250" s="29">
        <f t="shared" si="6"/>
        <v>248</v>
      </c>
      <c r="B250">
        <v>2480</v>
      </c>
      <c r="C250">
        <v>9057.1939999999922</v>
      </c>
      <c r="D250" s="23">
        <f t="shared" si="7"/>
        <v>90.571939999999927</v>
      </c>
    </row>
    <row r="251" spans="1:4">
      <c r="A251" s="29">
        <f t="shared" si="6"/>
        <v>249</v>
      </c>
      <c r="B251">
        <v>2490</v>
      </c>
      <c r="C251">
        <v>8956.2069999999912</v>
      </c>
      <c r="D251" s="23">
        <f t="shared" si="7"/>
        <v>89.562069999999906</v>
      </c>
    </row>
    <row r="252" spans="1:4">
      <c r="A252" s="29">
        <f t="shared" si="6"/>
        <v>250</v>
      </c>
      <c r="B252">
        <v>2500</v>
      </c>
      <c r="C252">
        <v>8855.2199999999993</v>
      </c>
      <c r="D252" s="23">
        <f t="shared" si="7"/>
        <v>88.552199999999999</v>
      </c>
    </row>
    <row r="253" spans="1:4">
      <c r="A253" s="29">
        <f t="shared" si="6"/>
        <v>251</v>
      </c>
      <c r="B253">
        <v>2510</v>
      </c>
      <c r="C253">
        <v>8756.0159999999996</v>
      </c>
      <c r="D253" s="23">
        <f t="shared" si="7"/>
        <v>87.560159999999996</v>
      </c>
    </row>
    <row r="254" spans="1:4">
      <c r="A254" s="29">
        <f t="shared" si="6"/>
        <v>252</v>
      </c>
      <c r="B254">
        <v>2520</v>
      </c>
      <c r="C254">
        <v>8656.8119999999999</v>
      </c>
      <c r="D254" s="23">
        <f t="shared" si="7"/>
        <v>86.568119999999993</v>
      </c>
    </row>
    <row r="255" spans="1:4">
      <c r="A255" s="29">
        <f t="shared" si="6"/>
        <v>253</v>
      </c>
      <c r="B255">
        <v>2530</v>
      </c>
      <c r="C255">
        <v>8557.6080000000002</v>
      </c>
      <c r="D255" s="23">
        <f t="shared" si="7"/>
        <v>85.576080000000005</v>
      </c>
    </row>
    <row r="256" spans="1:4">
      <c r="A256" s="29">
        <f t="shared" si="6"/>
        <v>254</v>
      </c>
      <c r="B256">
        <v>2540</v>
      </c>
      <c r="C256">
        <v>8458.4040000000005</v>
      </c>
      <c r="D256" s="23">
        <f t="shared" si="7"/>
        <v>84.584040000000002</v>
      </c>
    </row>
    <row r="257" spans="1:4">
      <c r="A257" s="29">
        <f t="shared" si="6"/>
        <v>255</v>
      </c>
      <c r="B257">
        <v>2550</v>
      </c>
      <c r="C257">
        <v>8359.2000000000007</v>
      </c>
      <c r="D257" s="23">
        <f t="shared" si="7"/>
        <v>83.592000000000013</v>
      </c>
    </row>
    <row r="258" spans="1:4">
      <c r="A258" s="29">
        <f t="shared" si="6"/>
        <v>256</v>
      </c>
      <c r="B258">
        <v>2560</v>
      </c>
      <c r="C258">
        <v>8259.996000000001</v>
      </c>
      <c r="D258" s="23">
        <f t="shared" si="7"/>
        <v>82.59996000000001</v>
      </c>
    </row>
    <row r="259" spans="1:4">
      <c r="A259" s="29">
        <f t="shared" ref="A259:A322" si="8">$B259/10</f>
        <v>257</v>
      </c>
      <c r="B259">
        <v>2570</v>
      </c>
      <c r="C259">
        <v>8160.7920000000013</v>
      </c>
      <c r="D259" s="23">
        <f t="shared" ref="D259:D322" si="9">$C259/100</f>
        <v>81.607920000000007</v>
      </c>
    </row>
    <row r="260" spans="1:4">
      <c r="A260" s="29">
        <f t="shared" si="8"/>
        <v>258</v>
      </c>
      <c r="B260">
        <v>2580</v>
      </c>
      <c r="C260">
        <v>8061.5880000000016</v>
      </c>
      <c r="D260" s="23">
        <f t="shared" si="9"/>
        <v>80.615880000000018</v>
      </c>
    </row>
    <row r="261" spans="1:4">
      <c r="A261" s="29">
        <f t="shared" si="8"/>
        <v>259</v>
      </c>
      <c r="B261">
        <v>2590</v>
      </c>
      <c r="C261">
        <v>7962.3840000000018</v>
      </c>
      <c r="D261" s="23">
        <f t="shared" si="9"/>
        <v>79.623840000000015</v>
      </c>
    </row>
    <row r="262" spans="1:4">
      <c r="A262" s="29">
        <f t="shared" si="8"/>
        <v>260</v>
      </c>
      <c r="B262">
        <v>2600</v>
      </c>
      <c r="C262">
        <v>7863.18</v>
      </c>
      <c r="D262" s="23">
        <f t="shared" si="9"/>
        <v>78.631799999999998</v>
      </c>
    </row>
    <row r="263" spans="1:4">
      <c r="A263" s="29">
        <f t="shared" si="8"/>
        <v>261</v>
      </c>
      <c r="B263">
        <v>2610</v>
      </c>
      <c r="C263">
        <v>7766.8810000000003</v>
      </c>
      <c r="D263" s="23">
        <f t="shared" si="9"/>
        <v>77.668810000000008</v>
      </c>
    </row>
    <row r="264" spans="1:4">
      <c r="A264" s="29">
        <f t="shared" si="8"/>
        <v>262</v>
      </c>
      <c r="B264">
        <v>2620</v>
      </c>
      <c r="C264">
        <v>7670.5820000000003</v>
      </c>
      <c r="D264" s="23">
        <f t="shared" si="9"/>
        <v>76.705820000000003</v>
      </c>
    </row>
    <row r="265" spans="1:4">
      <c r="A265" s="29">
        <f t="shared" si="8"/>
        <v>263</v>
      </c>
      <c r="B265">
        <v>2630</v>
      </c>
      <c r="C265">
        <v>7574.2830000000004</v>
      </c>
      <c r="D265" s="23">
        <f t="shared" si="9"/>
        <v>75.742829999999998</v>
      </c>
    </row>
    <row r="266" spans="1:4">
      <c r="A266" s="29">
        <f t="shared" si="8"/>
        <v>264</v>
      </c>
      <c r="B266">
        <v>2640</v>
      </c>
      <c r="C266">
        <v>7477.9840000000004</v>
      </c>
      <c r="D266" s="23">
        <f t="shared" si="9"/>
        <v>74.779840000000007</v>
      </c>
    </row>
    <row r="267" spans="1:4">
      <c r="A267" s="29">
        <f t="shared" si="8"/>
        <v>265</v>
      </c>
      <c r="B267">
        <v>2650</v>
      </c>
      <c r="C267">
        <v>7381.6850000000004</v>
      </c>
      <c r="D267" s="23">
        <f t="shared" si="9"/>
        <v>73.816850000000002</v>
      </c>
    </row>
    <row r="268" spans="1:4">
      <c r="A268" s="29">
        <f t="shared" si="8"/>
        <v>266</v>
      </c>
      <c r="B268">
        <v>2660</v>
      </c>
      <c r="C268">
        <v>7285.3860000000004</v>
      </c>
      <c r="D268" s="23">
        <f t="shared" si="9"/>
        <v>72.853859999999997</v>
      </c>
    </row>
    <row r="269" spans="1:4">
      <c r="A269" s="29">
        <f t="shared" si="8"/>
        <v>267</v>
      </c>
      <c r="B269">
        <v>2670</v>
      </c>
      <c r="C269">
        <v>7189.0870000000004</v>
      </c>
      <c r="D269" s="23">
        <f t="shared" si="9"/>
        <v>71.890870000000007</v>
      </c>
    </row>
    <row r="270" spans="1:4">
      <c r="A270" s="29">
        <f t="shared" si="8"/>
        <v>268</v>
      </c>
      <c r="B270">
        <v>2680</v>
      </c>
      <c r="C270">
        <v>7092.7880000000005</v>
      </c>
      <c r="D270" s="23">
        <f t="shared" si="9"/>
        <v>70.927880000000002</v>
      </c>
    </row>
    <row r="271" spans="1:4">
      <c r="A271" s="29">
        <f t="shared" si="8"/>
        <v>269</v>
      </c>
      <c r="B271">
        <v>2690</v>
      </c>
      <c r="C271">
        <v>6996.4890000000005</v>
      </c>
      <c r="D271" s="23">
        <f t="shared" si="9"/>
        <v>69.964890000000011</v>
      </c>
    </row>
    <row r="272" spans="1:4">
      <c r="A272" s="29">
        <f t="shared" si="8"/>
        <v>270</v>
      </c>
      <c r="B272">
        <v>2700</v>
      </c>
      <c r="C272">
        <v>6900.19</v>
      </c>
      <c r="D272" s="23">
        <f t="shared" si="9"/>
        <v>69.001899999999992</v>
      </c>
    </row>
    <row r="273" spans="1:15">
      <c r="A273" s="29">
        <f t="shared" si="8"/>
        <v>271</v>
      </c>
      <c r="B273">
        <v>2710</v>
      </c>
      <c r="C273">
        <v>6808.5239999999994</v>
      </c>
      <c r="D273" s="23">
        <f t="shared" si="9"/>
        <v>68.085239999999999</v>
      </c>
    </row>
    <row r="274" spans="1:15">
      <c r="A274" s="29">
        <f t="shared" si="8"/>
        <v>272</v>
      </c>
      <c r="B274">
        <v>2720</v>
      </c>
      <c r="C274">
        <v>6716.8579999999993</v>
      </c>
      <c r="D274" s="23">
        <f t="shared" si="9"/>
        <v>67.168579999999992</v>
      </c>
    </row>
    <row r="275" spans="1:15">
      <c r="A275" s="29">
        <f t="shared" si="8"/>
        <v>273</v>
      </c>
      <c r="B275">
        <v>2730</v>
      </c>
      <c r="C275">
        <v>6625.1919999999991</v>
      </c>
      <c r="D275" s="23">
        <f t="shared" si="9"/>
        <v>66.251919999999984</v>
      </c>
    </row>
    <row r="276" spans="1:15">
      <c r="A276" s="29">
        <f t="shared" si="8"/>
        <v>274</v>
      </c>
      <c r="B276">
        <v>2740</v>
      </c>
      <c r="C276">
        <v>6533.5259999999989</v>
      </c>
      <c r="D276" s="23">
        <f t="shared" si="9"/>
        <v>65.335259999999991</v>
      </c>
    </row>
    <row r="277" spans="1:15">
      <c r="A277" s="29">
        <f t="shared" si="8"/>
        <v>275</v>
      </c>
      <c r="B277">
        <v>2750</v>
      </c>
      <c r="C277">
        <v>6441.8599999999988</v>
      </c>
      <c r="D277" s="23">
        <f t="shared" si="9"/>
        <v>64.418599999999984</v>
      </c>
    </row>
    <row r="278" spans="1:15">
      <c r="A278" s="29">
        <f t="shared" si="8"/>
        <v>276</v>
      </c>
      <c r="B278">
        <v>2760</v>
      </c>
      <c r="C278">
        <v>6350.1939999999986</v>
      </c>
      <c r="D278" s="23">
        <f t="shared" si="9"/>
        <v>63.501939999999983</v>
      </c>
    </row>
    <row r="279" spans="1:15">
      <c r="A279" s="29">
        <f t="shared" si="8"/>
        <v>277</v>
      </c>
      <c r="B279">
        <v>2770</v>
      </c>
      <c r="C279">
        <v>6258.5279999999984</v>
      </c>
      <c r="D279" s="23">
        <f t="shared" si="9"/>
        <v>62.585279999999983</v>
      </c>
    </row>
    <row r="280" spans="1:15">
      <c r="A280" s="29">
        <f t="shared" si="8"/>
        <v>278</v>
      </c>
      <c r="B280">
        <v>2780</v>
      </c>
      <c r="C280">
        <v>6166.8619999999983</v>
      </c>
      <c r="D280" s="23">
        <f t="shared" si="9"/>
        <v>61.668619999999983</v>
      </c>
    </row>
    <row r="281" spans="1:15">
      <c r="A281" s="29">
        <f t="shared" si="8"/>
        <v>279</v>
      </c>
      <c r="B281">
        <v>2790</v>
      </c>
      <c r="C281">
        <v>6075.1959999999981</v>
      </c>
      <c r="D281" s="23">
        <f t="shared" si="9"/>
        <v>60.751959999999983</v>
      </c>
      <c r="H281">
        <v>2790</v>
      </c>
      <c r="I281">
        <v>6075.1959999999981</v>
      </c>
      <c r="J281">
        <v>2790</v>
      </c>
      <c r="K281">
        <v>3270</v>
      </c>
      <c r="L281">
        <v>2642.2500000000014</v>
      </c>
      <c r="M281">
        <v>3270</v>
      </c>
      <c r="N281">
        <v>3750</v>
      </c>
      <c r="O281">
        <v>732.32499999999982</v>
      </c>
    </row>
    <row r="282" spans="1:15">
      <c r="A282" s="29">
        <f t="shared" si="8"/>
        <v>280</v>
      </c>
      <c r="B282">
        <v>2800</v>
      </c>
      <c r="C282">
        <v>5983.53</v>
      </c>
      <c r="D282" s="23">
        <f t="shared" si="9"/>
        <v>59.835299999999997</v>
      </c>
      <c r="H282">
        <v>2800</v>
      </c>
      <c r="I282">
        <v>5983.53</v>
      </c>
      <c r="J282">
        <v>2800</v>
      </c>
      <c r="K282">
        <v>3280</v>
      </c>
      <c r="L282">
        <v>2586.0100000000016</v>
      </c>
      <c r="M282">
        <v>3280</v>
      </c>
      <c r="N282">
        <v>3760</v>
      </c>
      <c r="O282">
        <v>706.60599999999977</v>
      </c>
    </row>
    <row r="283" spans="1:15">
      <c r="A283" s="29">
        <f t="shared" si="8"/>
        <v>281</v>
      </c>
      <c r="B283">
        <v>2810</v>
      </c>
      <c r="C283">
        <v>5898.9969999999994</v>
      </c>
      <c r="D283" s="23">
        <f t="shared" si="9"/>
        <v>58.989969999999992</v>
      </c>
      <c r="H283">
        <v>2810</v>
      </c>
      <c r="I283">
        <v>5898.9969999999994</v>
      </c>
      <c r="J283">
        <v>2810</v>
      </c>
      <c r="K283">
        <v>3290</v>
      </c>
      <c r="L283">
        <v>2529.7700000000018</v>
      </c>
      <c r="M283">
        <v>3290</v>
      </c>
      <c r="N283">
        <v>3770</v>
      </c>
      <c r="O283">
        <v>680.88699999999972</v>
      </c>
    </row>
    <row r="284" spans="1:15">
      <c r="A284" s="29">
        <f t="shared" si="8"/>
        <v>282</v>
      </c>
      <c r="B284">
        <v>2820</v>
      </c>
      <c r="C284">
        <v>5814.463999999999</v>
      </c>
      <c r="D284" s="23">
        <f t="shared" si="9"/>
        <v>58.144639999999988</v>
      </c>
      <c r="H284">
        <v>2820</v>
      </c>
      <c r="I284">
        <v>5814.463999999999</v>
      </c>
      <c r="J284">
        <v>2820</v>
      </c>
      <c r="K284">
        <v>3300</v>
      </c>
      <c r="L284">
        <v>2473.5300000000002</v>
      </c>
      <c r="M284">
        <v>3300</v>
      </c>
      <c r="N284">
        <v>3780</v>
      </c>
      <c r="O284">
        <v>655.16799999999967</v>
      </c>
    </row>
    <row r="285" spans="1:15">
      <c r="A285" s="29">
        <f t="shared" si="8"/>
        <v>283</v>
      </c>
      <c r="B285">
        <v>2830</v>
      </c>
      <c r="C285">
        <v>5729.9309999999987</v>
      </c>
      <c r="D285" s="23">
        <f t="shared" si="9"/>
        <v>57.299309999999984</v>
      </c>
      <c r="H285">
        <v>2830</v>
      </c>
      <c r="I285">
        <v>5729.9309999999987</v>
      </c>
      <c r="J285">
        <v>2830</v>
      </c>
      <c r="K285">
        <v>3310</v>
      </c>
      <c r="L285">
        <v>2423.8890000000001</v>
      </c>
      <c r="M285">
        <v>3310</v>
      </c>
      <c r="N285">
        <v>3790</v>
      </c>
      <c r="O285">
        <v>629.44899999999961</v>
      </c>
    </row>
    <row r="286" spans="1:15">
      <c r="A286" s="29">
        <f t="shared" si="8"/>
        <v>284</v>
      </c>
      <c r="B286">
        <v>2840</v>
      </c>
      <c r="C286">
        <v>5645.3979999999983</v>
      </c>
      <c r="D286" s="23">
        <f t="shared" si="9"/>
        <v>56.45397999999998</v>
      </c>
      <c r="H286">
        <v>2840</v>
      </c>
      <c r="I286">
        <v>5645.3979999999983</v>
      </c>
      <c r="J286">
        <v>2840</v>
      </c>
      <c r="K286">
        <v>3320</v>
      </c>
      <c r="L286">
        <v>2374.248</v>
      </c>
      <c r="M286">
        <v>3320</v>
      </c>
      <c r="N286">
        <v>3800</v>
      </c>
      <c r="O286">
        <v>603.73</v>
      </c>
    </row>
    <row r="287" spans="1:15">
      <c r="A287" s="29">
        <f t="shared" si="8"/>
        <v>285</v>
      </c>
      <c r="B287">
        <v>2850</v>
      </c>
      <c r="C287">
        <v>5560.864999999998</v>
      </c>
      <c r="D287" s="23">
        <f t="shared" si="9"/>
        <v>55.608649999999983</v>
      </c>
      <c r="H287">
        <v>2850</v>
      </c>
      <c r="I287">
        <v>5560.864999999998</v>
      </c>
      <c r="J287">
        <v>2850</v>
      </c>
      <c r="K287">
        <v>3330</v>
      </c>
      <c r="L287">
        <v>2324.607</v>
      </c>
      <c r="M287">
        <v>3330</v>
      </c>
      <c r="N287">
        <v>3810</v>
      </c>
      <c r="O287">
        <v>583.21800000000007</v>
      </c>
    </row>
    <row r="288" spans="1:15">
      <c r="A288" s="29">
        <f t="shared" si="8"/>
        <v>286</v>
      </c>
      <c r="B288">
        <v>2860</v>
      </c>
      <c r="C288">
        <v>5476.3319999999976</v>
      </c>
      <c r="D288" s="23">
        <f t="shared" si="9"/>
        <v>54.763319999999979</v>
      </c>
      <c r="H288">
        <v>2860</v>
      </c>
      <c r="I288">
        <v>5476.3319999999976</v>
      </c>
      <c r="J288">
        <v>2860</v>
      </c>
      <c r="K288">
        <v>3340</v>
      </c>
      <c r="L288">
        <v>2274.9659999999999</v>
      </c>
      <c r="M288">
        <v>3340</v>
      </c>
      <c r="N288">
        <v>3820</v>
      </c>
      <c r="O288">
        <v>562.70600000000013</v>
      </c>
    </row>
    <row r="289" spans="1:15">
      <c r="A289" s="29">
        <f t="shared" si="8"/>
        <v>287</v>
      </c>
      <c r="B289">
        <v>2870</v>
      </c>
      <c r="C289">
        <v>5391.7989999999972</v>
      </c>
      <c r="D289" s="23">
        <f t="shared" si="9"/>
        <v>53.917989999999975</v>
      </c>
      <c r="H289">
        <v>2870</v>
      </c>
      <c r="I289">
        <v>5391.7989999999972</v>
      </c>
      <c r="J289">
        <v>2870</v>
      </c>
      <c r="K289">
        <v>3350</v>
      </c>
      <c r="L289">
        <v>2225.3249999999998</v>
      </c>
      <c r="M289">
        <v>3350</v>
      </c>
      <c r="N289">
        <v>3830</v>
      </c>
      <c r="O289">
        <v>542.19400000000019</v>
      </c>
    </row>
    <row r="290" spans="1:15">
      <c r="A290" s="29">
        <f t="shared" si="8"/>
        <v>288</v>
      </c>
      <c r="B290">
        <v>2880</v>
      </c>
      <c r="C290">
        <v>5307.2659999999969</v>
      </c>
      <c r="D290" s="23">
        <f t="shared" si="9"/>
        <v>53.072659999999971</v>
      </c>
      <c r="H290">
        <v>2880</v>
      </c>
      <c r="I290">
        <v>5307.2659999999969</v>
      </c>
      <c r="J290">
        <v>2880</v>
      </c>
      <c r="K290">
        <v>3360</v>
      </c>
      <c r="L290">
        <v>2175.6839999999997</v>
      </c>
      <c r="M290">
        <v>3360</v>
      </c>
      <c r="N290">
        <v>3840</v>
      </c>
      <c r="O290">
        <v>521.68200000000024</v>
      </c>
    </row>
    <row r="291" spans="1:15">
      <c r="A291" s="29">
        <f t="shared" si="8"/>
        <v>289</v>
      </c>
      <c r="B291">
        <v>2890</v>
      </c>
      <c r="C291">
        <v>5222.7329999999965</v>
      </c>
      <c r="D291" s="23">
        <f t="shared" si="9"/>
        <v>52.227329999999967</v>
      </c>
      <c r="H291">
        <v>2890</v>
      </c>
      <c r="I291">
        <v>5222.7329999999965</v>
      </c>
      <c r="J291">
        <v>2890</v>
      </c>
      <c r="K291">
        <v>3370</v>
      </c>
      <c r="L291">
        <v>2126.0429999999997</v>
      </c>
      <c r="M291">
        <v>3370</v>
      </c>
      <c r="N291">
        <v>3850</v>
      </c>
      <c r="O291">
        <v>501.17000000000024</v>
      </c>
    </row>
    <row r="292" spans="1:15">
      <c r="A292" s="29">
        <f t="shared" si="8"/>
        <v>290</v>
      </c>
      <c r="B292">
        <v>2900</v>
      </c>
      <c r="C292">
        <v>5138.2</v>
      </c>
      <c r="D292" s="23">
        <f t="shared" si="9"/>
        <v>51.381999999999998</v>
      </c>
      <c r="H292">
        <v>2900</v>
      </c>
      <c r="I292">
        <v>5138.2</v>
      </c>
      <c r="J292">
        <v>2900</v>
      </c>
      <c r="K292">
        <v>3380</v>
      </c>
      <c r="L292">
        <v>2076.4019999999996</v>
      </c>
      <c r="M292">
        <v>3380</v>
      </c>
      <c r="N292">
        <v>3860</v>
      </c>
      <c r="O292">
        <v>480.65800000000024</v>
      </c>
    </row>
    <row r="293" spans="1:15">
      <c r="A293" s="29">
        <f t="shared" si="8"/>
        <v>291</v>
      </c>
      <c r="B293">
        <v>2910</v>
      </c>
      <c r="C293">
        <v>5061.0479999999998</v>
      </c>
      <c r="D293" s="23">
        <f t="shared" si="9"/>
        <v>50.610479999999995</v>
      </c>
      <c r="H293">
        <v>2910</v>
      </c>
      <c r="I293">
        <v>5061.0479999999998</v>
      </c>
      <c r="J293">
        <v>2910</v>
      </c>
      <c r="K293">
        <v>3390</v>
      </c>
      <c r="L293">
        <v>2026.7609999999995</v>
      </c>
      <c r="M293">
        <v>3390</v>
      </c>
      <c r="N293">
        <v>3870</v>
      </c>
      <c r="O293">
        <v>460.14600000000024</v>
      </c>
    </row>
    <row r="294" spans="1:15">
      <c r="A294" s="29">
        <f t="shared" si="8"/>
        <v>292</v>
      </c>
      <c r="B294">
        <v>2920</v>
      </c>
      <c r="C294">
        <v>4983.8959999999997</v>
      </c>
      <c r="D294" s="23">
        <f t="shared" si="9"/>
        <v>49.83896</v>
      </c>
      <c r="H294">
        <v>2920</v>
      </c>
      <c r="I294">
        <v>4983.8959999999997</v>
      </c>
      <c r="J294">
        <v>2920</v>
      </c>
      <c r="K294">
        <v>3400</v>
      </c>
      <c r="L294">
        <v>1977.12</v>
      </c>
      <c r="M294">
        <v>3400</v>
      </c>
      <c r="N294">
        <v>3880</v>
      </c>
      <c r="O294">
        <v>439.63400000000024</v>
      </c>
    </row>
    <row r="295" spans="1:15">
      <c r="A295" s="29">
        <f t="shared" si="8"/>
        <v>293</v>
      </c>
      <c r="B295">
        <v>2930</v>
      </c>
      <c r="C295">
        <v>4906.7439999999997</v>
      </c>
      <c r="D295" s="23">
        <f t="shared" si="9"/>
        <v>49.067439999999998</v>
      </c>
      <c r="H295">
        <v>2930</v>
      </c>
      <c r="I295">
        <v>4906.7439999999997</v>
      </c>
      <c r="J295">
        <v>2930</v>
      </c>
      <c r="K295">
        <v>3410</v>
      </c>
      <c r="L295">
        <v>1933.8779999999999</v>
      </c>
      <c r="M295">
        <v>3410</v>
      </c>
      <c r="N295">
        <v>3890</v>
      </c>
      <c r="O295">
        <v>419.12200000000024</v>
      </c>
    </row>
    <row r="296" spans="1:15">
      <c r="A296" s="29">
        <f t="shared" si="8"/>
        <v>294</v>
      </c>
      <c r="B296">
        <v>2940</v>
      </c>
      <c r="C296">
        <v>4829.5919999999996</v>
      </c>
      <c r="D296" s="23">
        <f t="shared" si="9"/>
        <v>48.295919999999995</v>
      </c>
      <c r="H296">
        <v>2940</v>
      </c>
      <c r="I296">
        <v>4829.5919999999996</v>
      </c>
      <c r="J296">
        <v>2940</v>
      </c>
      <c r="K296">
        <v>3420</v>
      </c>
      <c r="L296">
        <v>1890.636</v>
      </c>
      <c r="M296">
        <v>3420</v>
      </c>
      <c r="N296">
        <v>3900</v>
      </c>
      <c r="O296">
        <v>398.61</v>
      </c>
    </row>
    <row r="297" spans="1:15">
      <c r="A297" s="29">
        <f t="shared" si="8"/>
        <v>295</v>
      </c>
      <c r="B297">
        <v>2950</v>
      </c>
      <c r="C297">
        <v>4752.4399999999996</v>
      </c>
      <c r="D297" s="23">
        <f t="shared" si="9"/>
        <v>47.524399999999993</v>
      </c>
      <c r="H297">
        <v>2950</v>
      </c>
      <c r="I297">
        <v>4752.4399999999996</v>
      </c>
      <c r="J297">
        <v>2950</v>
      </c>
      <c r="K297">
        <v>3430</v>
      </c>
      <c r="L297">
        <v>1847.394</v>
      </c>
      <c r="M297">
        <v>3430</v>
      </c>
      <c r="N297">
        <v>3910</v>
      </c>
      <c r="O297">
        <v>382.93100000000004</v>
      </c>
    </row>
    <row r="298" spans="1:15">
      <c r="A298" s="29">
        <f t="shared" si="8"/>
        <v>296</v>
      </c>
      <c r="B298">
        <v>2960</v>
      </c>
      <c r="C298">
        <v>4675.2879999999996</v>
      </c>
      <c r="D298" s="23">
        <f t="shared" si="9"/>
        <v>46.752879999999998</v>
      </c>
      <c r="H298">
        <v>2960</v>
      </c>
      <c r="I298">
        <v>4675.2879999999996</v>
      </c>
      <c r="J298">
        <v>2960</v>
      </c>
      <c r="K298">
        <v>3440</v>
      </c>
      <c r="L298">
        <v>1804.152</v>
      </c>
      <c r="M298">
        <v>3440</v>
      </c>
      <c r="N298">
        <v>3920</v>
      </c>
      <c r="O298">
        <v>367.25200000000007</v>
      </c>
    </row>
    <row r="299" spans="1:15">
      <c r="A299" s="29">
        <f t="shared" si="8"/>
        <v>297</v>
      </c>
      <c r="B299">
        <v>2970</v>
      </c>
      <c r="C299">
        <v>4598.1359999999995</v>
      </c>
      <c r="D299" s="23">
        <f t="shared" si="9"/>
        <v>45.981359999999995</v>
      </c>
      <c r="H299">
        <v>2970</v>
      </c>
      <c r="I299">
        <v>4598.1359999999995</v>
      </c>
      <c r="J299">
        <v>2970</v>
      </c>
      <c r="K299">
        <v>3450</v>
      </c>
      <c r="L299">
        <v>1760.91</v>
      </c>
      <c r="M299">
        <v>3450</v>
      </c>
      <c r="N299">
        <v>3930</v>
      </c>
      <c r="O299">
        <v>351.57300000000009</v>
      </c>
    </row>
    <row r="300" spans="1:15">
      <c r="A300" s="29">
        <f t="shared" si="8"/>
        <v>298</v>
      </c>
      <c r="B300">
        <v>2980</v>
      </c>
      <c r="C300">
        <v>4520.9839999999995</v>
      </c>
      <c r="D300" s="23">
        <f t="shared" si="9"/>
        <v>45.209839999999993</v>
      </c>
      <c r="H300">
        <v>2980</v>
      </c>
      <c r="I300">
        <v>4520.9839999999995</v>
      </c>
      <c r="J300">
        <v>2980</v>
      </c>
      <c r="K300">
        <v>3460</v>
      </c>
      <c r="L300">
        <v>1717.6680000000001</v>
      </c>
      <c r="M300">
        <v>3460</v>
      </c>
      <c r="N300">
        <v>3940</v>
      </c>
      <c r="O300">
        <v>335.89400000000012</v>
      </c>
    </row>
    <row r="301" spans="1:15">
      <c r="A301" s="29">
        <f t="shared" si="8"/>
        <v>299</v>
      </c>
      <c r="B301">
        <v>2990</v>
      </c>
      <c r="C301">
        <v>4443.8319999999994</v>
      </c>
      <c r="D301" s="23">
        <f t="shared" si="9"/>
        <v>44.438319999999997</v>
      </c>
      <c r="H301">
        <v>2990</v>
      </c>
      <c r="I301">
        <v>4443.8319999999994</v>
      </c>
      <c r="J301">
        <v>2990</v>
      </c>
      <c r="K301">
        <v>3470</v>
      </c>
      <c r="L301">
        <v>1674.4260000000002</v>
      </c>
      <c r="M301">
        <v>3470</v>
      </c>
      <c r="N301">
        <v>3950</v>
      </c>
      <c r="O301">
        <v>320.21500000000015</v>
      </c>
    </row>
    <row r="302" spans="1:15">
      <c r="A302" s="29">
        <f t="shared" si="8"/>
        <v>300</v>
      </c>
      <c r="B302">
        <v>3000</v>
      </c>
      <c r="C302">
        <v>4366.68</v>
      </c>
      <c r="D302" s="23">
        <f t="shared" si="9"/>
        <v>43.666800000000002</v>
      </c>
      <c r="H302">
        <v>3000</v>
      </c>
      <c r="I302">
        <v>4366.68</v>
      </c>
      <c r="J302">
        <v>3000</v>
      </c>
      <c r="K302">
        <v>3480</v>
      </c>
      <c r="L302">
        <v>1631.1840000000002</v>
      </c>
      <c r="M302">
        <v>3480</v>
      </c>
      <c r="N302">
        <v>3960</v>
      </c>
      <c r="O302">
        <v>304.53600000000017</v>
      </c>
    </row>
    <row r="303" spans="1:15">
      <c r="A303" s="29">
        <f t="shared" si="8"/>
        <v>301</v>
      </c>
      <c r="B303">
        <v>3010</v>
      </c>
      <c r="C303">
        <v>4296.6500000000005</v>
      </c>
      <c r="D303" s="23">
        <f t="shared" si="9"/>
        <v>42.966500000000003</v>
      </c>
      <c r="H303">
        <v>3010</v>
      </c>
      <c r="I303">
        <v>4296.6500000000005</v>
      </c>
      <c r="J303">
        <v>3010</v>
      </c>
      <c r="K303">
        <v>3490</v>
      </c>
      <c r="L303">
        <v>1587.9420000000002</v>
      </c>
      <c r="M303">
        <v>3490</v>
      </c>
      <c r="N303">
        <v>3970</v>
      </c>
      <c r="O303">
        <v>288.8570000000002</v>
      </c>
    </row>
    <row r="304" spans="1:15">
      <c r="A304" s="29">
        <f t="shared" si="8"/>
        <v>302</v>
      </c>
      <c r="B304">
        <v>3020</v>
      </c>
      <c r="C304">
        <v>4226.6200000000008</v>
      </c>
      <c r="D304" s="23">
        <f t="shared" si="9"/>
        <v>42.266200000000005</v>
      </c>
      <c r="H304">
        <v>3020</v>
      </c>
      <c r="I304">
        <v>4226.6200000000008</v>
      </c>
      <c r="J304">
        <v>3020</v>
      </c>
      <c r="K304">
        <v>3500</v>
      </c>
      <c r="L304">
        <v>1544.7</v>
      </c>
      <c r="M304">
        <v>3500</v>
      </c>
      <c r="N304">
        <v>3980</v>
      </c>
      <c r="O304">
        <v>273.17800000000022</v>
      </c>
    </row>
    <row r="305" spans="1:15">
      <c r="A305" s="29">
        <f t="shared" si="8"/>
        <v>303</v>
      </c>
      <c r="B305">
        <v>3030</v>
      </c>
      <c r="C305">
        <v>4156.5900000000011</v>
      </c>
      <c r="D305" s="23">
        <f t="shared" si="9"/>
        <v>41.565900000000013</v>
      </c>
      <c r="H305">
        <v>3030</v>
      </c>
      <c r="I305">
        <v>4156.5900000000011</v>
      </c>
      <c r="J305">
        <v>3030</v>
      </c>
      <c r="K305">
        <v>3510</v>
      </c>
      <c r="L305">
        <v>1507.5900000000001</v>
      </c>
      <c r="M305">
        <v>3510</v>
      </c>
      <c r="N305">
        <v>3990</v>
      </c>
      <c r="O305">
        <v>257.49900000000025</v>
      </c>
    </row>
    <row r="306" spans="1:15">
      <c r="A306" s="29">
        <f t="shared" si="8"/>
        <v>304</v>
      </c>
      <c r="B306">
        <v>3040</v>
      </c>
      <c r="C306">
        <v>4086.5600000000009</v>
      </c>
      <c r="D306" s="23">
        <f t="shared" si="9"/>
        <v>40.865600000000008</v>
      </c>
      <c r="H306">
        <v>3040</v>
      </c>
      <c r="I306">
        <v>4086.5600000000009</v>
      </c>
      <c r="J306">
        <v>3040</v>
      </c>
      <c r="K306">
        <v>3520</v>
      </c>
      <c r="L306">
        <v>1470.48</v>
      </c>
      <c r="M306">
        <v>3520</v>
      </c>
      <c r="N306">
        <v>4000</v>
      </c>
      <c r="O306">
        <v>241.82</v>
      </c>
    </row>
    <row r="307" spans="1:15">
      <c r="A307" s="29">
        <f t="shared" si="8"/>
        <v>305</v>
      </c>
      <c r="B307">
        <v>3050</v>
      </c>
      <c r="C307">
        <v>4016.5300000000007</v>
      </c>
      <c r="D307" s="23">
        <f t="shared" si="9"/>
        <v>40.165300000000009</v>
      </c>
      <c r="H307">
        <v>3050</v>
      </c>
      <c r="I307">
        <v>4016.5300000000007</v>
      </c>
      <c r="J307">
        <v>3050</v>
      </c>
      <c r="K307">
        <v>3530</v>
      </c>
      <c r="L307">
        <v>1433.37</v>
      </c>
      <c r="M307">
        <v>3530</v>
      </c>
      <c r="N307">
        <v>4010</v>
      </c>
      <c r="O307">
        <v>230.55099999999999</v>
      </c>
    </row>
    <row r="308" spans="1:15">
      <c r="A308" s="29">
        <f t="shared" si="8"/>
        <v>306</v>
      </c>
      <c r="B308">
        <v>3060</v>
      </c>
      <c r="C308">
        <v>3946.5000000000005</v>
      </c>
      <c r="D308" s="23">
        <f t="shared" si="9"/>
        <v>39.465000000000003</v>
      </c>
      <c r="H308">
        <v>3060</v>
      </c>
      <c r="I308">
        <v>3946.5000000000005</v>
      </c>
      <c r="J308">
        <v>3060</v>
      </c>
      <c r="K308">
        <v>3540</v>
      </c>
      <c r="L308">
        <v>1396.2599999999998</v>
      </c>
      <c r="M308">
        <v>3540</v>
      </c>
      <c r="N308">
        <v>4020</v>
      </c>
      <c r="O308">
        <v>219.28199999999998</v>
      </c>
    </row>
    <row r="309" spans="1:15">
      <c r="A309" s="29">
        <f t="shared" si="8"/>
        <v>307</v>
      </c>
      <c r="B309">
        <v>3070</v>
      </c>
      <c r="C309">
        <v>3876.4700000000003</v>
      </c>
      <c r="D309" s="23">
        <f t="shared" si="9"/>
        <v>38.764700000000005</v>
      </c>
      <c r="H309">
        <v>3070</v>
      </c>
      <c r="I309">
        <v>3876.4700000000003</v>
      </c>
      <c r="J309">
        <v>3070</v>
      </c>
      <c r="K309">
        <v>3550</v>
      </c>
      <c r="L309">
        <v>1359.1499999999996</v>
      </c>
      <c r="M309">
        <v>3550</v>
      </c>
      <c r="N309">
        <v>4030</v>
      </c>
      <c r="O309">
        <v>208.01299999999998</v>
      </c>
    </row>
    <row r="310" spans="1:15">
      <c r="A310" s="29">
        <f t="shared" si="8"/>
        <v>308</v>
      </c>
      <c r="B310">
        <v>3080</v>
      </c>
      <c r="C310">
        <v>3806.44</v>
      </c>
      <c r="D310" s="23">
        <f t="shared" si="9"/>
        <v>38.064399999999999</v>
      </c>
      <c r="H310">
        <v>3080</v>
      </c>
      <c r="I310">
        <v>3806.44</v>
      </c>
      <c r="J310">
        <v>3080</v>
      </c>
      <c r="K310">
        <v>3560</v>
      </c>
      <c r="L310">
        <v>1322.0399999999995</v>
      </c>
      <c r="M310">
        <v>3560</v>
      </c>
      <c r="N310">
        <v>4040</v>
      </c>
      <c r="O310">
        <v>196.74399999999997</v>
      </c>
    </row>
    <row r="311" spans="1:15">
      <c r="A311" s="29">
        <f t="shared" si="8"/>
        <v>309</v>
      </c>
      <c r="B311">
        <v>3090</v>
      </c>
      <c r="C311">
        <v>3736.41</v>
      </c>
      <c r="D311" s="23">
        <f t="shared" si="9"/>
        <v>37.364100000000001</v>
      </c>
      <c r="H311">
        <v>3090</v>
      </c>
      <c r="I311">
        <v>3736.41</v>
      </c>
      <c r="J311">
        <v>3090</v>
      </c>
      <c r="K311">
        <v>3570</v>
      </c>
      <c r="L311">
        <v>1284.9299999999994</v>
      </c>
      <c r="M311">
        <v>3570</v>
      </c>
      <c r="N311">
        <v>4050</v>
      </c>
      <c r="O311">
        <v>185.47499999999997</v>
      </c>
    </row>
    <row r="312" spans="1:15">
      <c r="A312" s="29">
        <f t="shared" si="8"/>
        <v>310</v>
      </c>
      <c r="B312">
        <v>3100</v>
      </c>
      <c r="C312">
        <v>3666.38</v>
      </c>
      <c r="D312" s="23">
        <f t="shared" si="9"/>
        <v>36.663800000000002</v>
      </c>
      <c r="H312">
        <v>3100</v>
      </c>
      <c r="I312">
        <v>3666.38</v>
      </c>
      <c r="J312">
        <v>3100</v>
      </c>
      <c r="K312">
        <v>3580</v>
      </c>
      <c r="L312">
        <v>1247.8199999999993</v>
      </c>
      <c r="M312">
        <v>3580</v>
      </c>
      <c r="N312">
        <v>4060</v>
      </c>
      <c r="O312">
        <v>174.20599999999996</v>
      </c>
    </row>
    <row r="313" spans="1:15">
      <c r="A313" s="29">
        <f t="shared" si="8"/>
        <v>311</v>
      </c>
      <c r="B313">
        <v>3110</v>
      </c>
      <c r="C313">
        <v>3603.335</v>
      </c>
      <c r="D313" s="23">
        <f t="shared" si="9"/>
        <v>36.033349999999999</v>
      </c>
      <c r="H313">
        <v>3110</v>
      </c>
      <c r="I313">
        <v>3603.335</v>
      </c>
      <c r="J313">
        <v>3110</v>
      </c>
      <c r="K313">
        <v>3590</v>
      </c>
      <c r="L313">
        <v>1210.7099999999991</v>
      </c>
      <c r="M313">
        <v>3590</v>
      </c>
      <c r="N313">
        <v>4070</v>
      </c>
      <c r="O313">
        <v>162.93699999999995</v>
      </c>
    </row>
    <row r="314" spans="1:15">
      <c r="A314" s="29">
        <f t="shared" si="8"/>
        <v>312</v>
      </c>
      <c r="B314">
        <v>3120</v>
      </c>
      <c r="C314">
        <v>3540.29</v>
      </c>
      <c r="D314" s="23">
        <f t="shared" si="9"/>
        <v>35.402900000000002</v>
      </c>
      <c r="H314">
        <v>3120</v>
      </c>
      <c r="I314">
        <v>3540.29</v>
      </c>
      <c r="J314">
        <v>3120</v>
      </c>
      <c r="K314">
        <v>3600</v>
      </c>
      <c r="L314">
        <v>1173.5999999999999</v>
      </c>
      <c r="M314">
        <v>3600</v>
      </c>
      <c r="N314">
        <v>4080</v>
      </c>
      <c r="O314">
        <v>151.66799999999995</v>
      </c>
    </row>
    <row r="315" spans="1:15">
      <c r="A315" s="29">
        <f t="shared" si="8"/>
        <v>313</v>
      </c>
      <c r="B315">
        <v>3130</v>
      </c>
      <c r="C315">
        <v>3477.2449999999999</v>
      </c>
      <c r="D315" s="23">
        <f t="shared" si="9"/>
        <v>34.772449999999999</v>
      </c>
      <c r="H315">
        <v>3130</v>
      </c>
      <c r="I315">
        <v>3477.2449999999999</v>
      </c>
      <c r="J315">
        <v>3130</v>
      </c>
      <c r="K315">
        <v>3610</v>
      </c>
      <c r="L315">
        <v>1142.3319999999999</v>
      </c>
      <c r="M315">
        <v>3610</v>
      </c>
      <c r="N315">
        <v>4090</v>
      </c>
      <c r="O315">
        <v>140.39899999999994</v>
      </c>
    </row>
    <row r="316" spans="1:15">
      <c r="A316" s="29">
        <f t="shared" si="8"/>
        <v>314</v>
      </c>
      <c r="B316">
        <v>3140</v>
      </c>
      <c r="C316">
        <v>3414.2</v>
      </c>
      <c r="D316" s="23">
        <f t="shared" si="9"/>
        <v>34.141999999999996</v>
      </c>
      <c r="H316">
        <v>3140</v>
      </c>
      <c r="I316">
        <v>3414.2</v>
      </c>
      <c r="J316">
        <v>3140</v>
      </c>
      <c r="K316">
        <v>3620</v>
      </c>
      <c r="L316">
        <v>1111.0639999999999</v>
      </c>
      <c r="M316">
        <v>3620</v>
      </c>
      <c r="N316">
        <v>4100</v>
      </c>
      <c r="O316">
        <v>129.13</v>
      </c>
    </row>
    <row r="317" spans="1:15">
      <c r="A317" s="29">
        <f t="shared" si="8"/>
        <v>315</v>
      </c>
      <c r="B317">
        <v>3150</v>
      </c>
      <c r="C317">
        <v>3351.1549999999997</v>
      </c>
      <c r="D317" s="23">
        <f t="shared" si="9"/>
        <v>33.51155</v>
      </c>
      <c r="H317">
        <v>3150</v>
      </c>
      <c r="I317">
        <v>3351.1549999999997</v>
      </c>
      <c r="J317">
        <v>3150</v>
      </c>
      <c r="K317">
        <v>3630</v>
      </c>
      <c r="L317">
        <v>1079.7959999999998</v>
      </c>
      <c r="M317">
        <v>3630</v>
      </c>
      <c r="N317">
        <v>4110</v>
      </c>
      <c r="O317">
        <v>121.77799999999999</v>
      </c>
    </row>
    <row r="318" spans="1:15">
      <c r="A318" s="29">
        <f t="shared" si="8"/>
        <v>316</v>
      </c>
      <c r="B318">
        <v>3160</v>
      </c>
      <c r="C318">
        <v>3288.1099999999997</v>
      </c>
      <c r="D318" s="23">
        <f t="shared" si="9"/>
        <v>32.881099999999996</v>
      </c>
      <c r="H318">
        <v>3160</v>
      </c>
      <c r="I318">
        <v>3288.1099999999997</v>
      </c>
      <c r="J318">
        <v>3160</v>
      </c>
      <c r="K318">
        <v>3640</v>
      </c>
      <c r="L318">
        <v>1048.5279999999998</v>
      </c>
      <c r="M318">
        <v>3640</v>
      </c>
      <c r="N318">
        <v>4120</v>
      </c>
      <c r="O318">
        <v>114.42599999999999</v>
      </c>
    </row>
    <row r="319" spans="1:15">
      <c r="A319" s="29">
        <f t="shared" si="8"/>
        <v>317</v>
      </c>
      <c r="B319">
        <v>3170</v>
      </c>
      <c r="C319">
        <v>3225.0649999999996</v>
      </c>
      <c r="D319" s="23">
        <f t="shared" si="9"/>
        <v>32.250649999999993</v>
      </c>
      <c r="H319">
        <v>3170</v>
      </c>
      <c r="I319">
        <v>3225.0649999999996</v>
      </c>
      <c r="J319">
        <v>3170</v>
      </c>
      <c r="K319">
        <v>3650</v>
      </c>
      <c r="L319">
        <v>1017.2599999999998</v>
      </c>
      <c r="M319">
        <v>3650</v>
      </c>
      <c r="N319">
        <v>4130</v>
      </c>
      <c r="O319">
        <v>107.07399999999998</v>
      </c>
    </row>
    <row r="320" spans="1:15">
      <c r="A320" s="29">
        <f t="shared" si="8"/>
        <v>318</v>
      </c>
      <c r="B320">
        <v>3180</v>
      </c>
      <c r="C320">
        <v>3162.0199999999995</v>
      </c>
      <c r="D320" s="23">
        <f t="shared" si="9"/>
        <v>31.620199999999997</v>
      </c>
      <c r="H320">
        <v>3180</v>
      </c>
      <c r="I320">
        <v>3162.0199999999995</v>
      </c>
      <c r="J320">
        <v>3180</v>
      </c>
      <c r="K320">
        <v>3660</v>
      </c>
      <c r="L320">
        <v>985.99199999999973</v>
      </c>
      <c r="M320">
        <v>3660</v>
      </c>
      <c r="N320">
        <v>4140</v>
      </c>
      <c r="O320">
        <v>99.72199999999998</v>
      </c>
    </row>
    <row r="321" spans="1:15">
      <c r="A321" s="29">
        <f t="shared" si="8"/>
        <v>319</v>
      </c>
      <c r="B321">
        <v>3190</v>
      </c>
      <c r="C321">
        <v>3098.9749999999995</v>
      </c>
      <c r="D321" s="23">
        <f t="shared" si="9"/>
        <v>30.989749999999994</v>
      </c>
      <c r="H321">
        <v>3190</v>
      </c>
      <c r="I321">
        <v>3098.9749999999995</v>
      </c>
      <c r="J321">
        <v>3190</v>
      </c>
      <c r="K321">
        <v>3670</v>
      </c>
      <c r="L321">
        <v>954.72399999999971</v>
      </c>
      <c r="M321">
        <v>3670</v>
      </c>
      <c r="N321">
        <v>4150</v>
      </c>
      <c r="O321">
        <v>92.369999999999976</v>
      </c>
    </row>
    <row r="322" spans="1:15">
      <c r="A322" s="29">
        <f t="shared" si="8"/>
        <v>320</v>
      </c>
      <c r="B322">
        <v>3200</v>
      </c>
      <c r="C322">
        <v>3035.93</v>
      </c>
      <c r="D322" s="23">
        <f t="shared" si="9"/>
        <v>30.359299999999998</v>
      </c>
      <c r="H322">
        <v>3200</v>
      </c>
      <c r="I322">
        <v>3035.93</v>
      </c>
      <c r="J322">
        <v>3200</v>
      </c>
      <c r="K322">
        <v>3680</v>
      </c>
      <c r="L322">
        <v>923.45599999999968</v>
      </c>
      <c r="M322">
        <v>3680</v>
      </c>
      <c r="N322">
        <v>4160</v>
      </c>
      <c r="O322">
        <v>85.017999999999972</v>
      </c>
    </row>
    <row r="323" spans="1:15">
      <c r="A323" s="29">
        <f t="shared" ref="A323:A386" si="10">$B323/10</f>
        <v>321</v>
      </c>
      <c r="B323">
        <v>3210</v>
      </c>
      <c r="C323">
        <v>2979.69</v>
      </c>
      <c r="D323" s="23">
        <f t="shared" ref="D323:D386" si="11">$C323/100</f>
        <v>29.796900000000001</v>
      </c>
      <c r="H323">
        <v>3210</v>
      </c>
      <c r="I323">
        <v>2979.69</v>
      </c>
      <c r="J323">
        <v>3210</v>
      </c>
      <c r="K323">
        <v>3690</v>
      </c>
      <c r="L323">
        <v>892.18799999999965</v>
      </c>
      <c r="M323">
        <v>3690</v>
      </c>
      <c r="N323">
        <v>4170</v>
      </c>
      <c r="O323">
        <v>77.665999999999968</v>
      </c>
    </row>
    <row r="324" spans="1:15">
      <c r="A324" s="29">
        <f t="shared" si="10"/>
        <v>322</v>
      </c>
      <c r="B324">
        <v>3220</v>
      </c>
      <c r="C324">
        <v>2923.4500000000003</v>
      </c>
      <c r="D324" s="23">
        <f t="shared" si="11"/>
        <v>29.234500000000004</v>
      </c>
      <c r="H324">
        <v>3220</v>
      </c>
      <c r="I324">
        <v>2923.4500000000003</v>
      </c>
      <c r="J324">
        <v>3220</v>
      </c>
      <c r="K324">
        <v>3700</v>
      </c>
      <c r="L324">
        <v>860.92</v>
      </c>
      <c r="M324">
        <v>3700</v>
      </c>
      <c r="N324">
        <v>4180</v>
      </c>
      <c r="O324">
        <v>70.313999999999965</v>
      </c>
    </row>
    <row r="325" spans="1:15">
      <c r="A325" s="29">
        <f t="shared" si="10"/>
        <v>323</v>
      </c>
      <c r="B325">
        <v>3230</v>
      </c>
      <c r="C325">
        <v>2867.2100000000005</v>
      </c>
      <c r="D325" s="23">
        <f t="shared" si="11"/>
        <v>28.672100000000004</v>
      </c>
      <c r="H325">
        <v>3230</v>
      </c>
      <c r="I325">
        <v>2867.2100000000005</v>
      </c>
      <c r="J325">
        <v>3230</v>
      </c>
      <c r="K325">
        <v>3710</v>
      </c>
      <c r="L325">
        <v>835.20100000000002</v>
      </c>
      <c r="M325">
        <v>3710</v>
      </c>
      <c r="N325">
        <v>4190</v>
      </c>
      <c r="O325">
        <v>62.961999999999968</v>
      </c>
    </row>
    <row r="326" spans="1:15">
      <c r="A326" s="29">
        <f t="shared" si="10"/>
        <v>324</v>
      </c>
      <c r="B326">
        <v>3240</v>
      </c>
      <c r="C326">
        <v>2810.9700000000007</v>
      </c>
      <c r="D326" s="23">
        <f t="shared" si="11"/>
        <v>28.109700000000007</v>
      </c>
      <c r="H326">
        <v>3240</v>
      </c>
      <c r="I326">
        <v>2810.9700000000007</v>
      </c>
      <c r="J326">
        <v>3240</v>
      </c>
      <c r="K326">
        <v>3720</v>
      </c>
      <c r="L326">
        <v>809.48199999999997</v>
      </c>
      <c r="M326">
        <v>3720</v>
      </c>
      <c r="N326">
        <v>4200</v>
      </c>
      <c r="O326">
        <v>55.61</v>
      </c>
    </row>
    <row r="327" spans="1:15">
      <c r="A327" s="29">
        <f t="shared" si="10"/>
        <v>325</v>
      </c>
      <c r="B327">
        <v>3250</v>
      </c>
      <c r="C327">
        <v>2754.7300000000009</v>
      </c>
      <c r="D327" s="23">
        <f t="shared" si="11"/>
        <v>27.547300000000011</v>
      </c>
      <c r="H327">
        <v>3250</v>
      </c>
      <c r="I327">
        <v>2754.7300000000009</v>
      </c>
      <c r="J327">
        <v>3250</v>
      </c>
      <c r="K327">
        <v>3730</v>
      </c>
      <c r="L327">
        <v>783.76299999999992</v>
      </c>
      <c r="M327">
        <v>3730</v>
      </c>
      <c r="N327">
        <v>4210</v>
      </c>
      <c r="O327">
        <v>51.587000000000003</v>
      </c>
    </row>
    <row r="328" spans="1:15">
      <c r="A328" s="29">
        <f t="shared" si="10"/>
        <v>326</v>
      </c>
      <c r="B328">
        <v>3260</v>
      </c>
      <c r="C328">
        <v>2698.4900000000011</v>
      </c>
      <c r="D328" s="23">
        <f t="shared" si="11"/>
        <v>26.98490000000001</v>
      </c>
      <c r="H328">
        <v>3260</v>
      </c>
      <c r="I328">
        <v>2698.4900000000011</v>
      </c>
      <c r="J328">
        <v>3260</v>
      </c>
      <c r="K328">
        <v>3740</v>
      </c>
      <c r="L328">
        <v>758.04399999999987</v>
      </c>
      <c r="M328">
        <v>3740</v>
      </c>
      <c r="N328">
        <v>4220</v>
      </c>
      <c r="O328">
        <v>47.564000000000007</v>
      </c>
    </row>
    <row r="329" spans="1:15">
      <c r="A329" s="29">
        <f t="shared" si="10"/>
        <v>327</v>
      </c>
      <c r="B329">
        <v>3270</v>
      </c>
      <c r="C329">
        <v>2642.2500000000014</v>
      </c>
      <c r="D329" s="23">
        <f t="shared" si="11"/>
        <v>26.422500000000014</v>
      </c>
    </row>
    <row r="330" spans="1:15">
      <c r="A330" s="29">
        <f t="shared" si="10"/>
        <v>328</v>
      </c>
      <c r="B330">
        <v>3280</v>
      </c>
      <c r="C330">
        <v>2586.0100000000016</v>
      </c>
      <c r="D330" s="23">
        <f t="shared" si="11"/>
        <v>25.860100000000017</v>
      </c>
    </row>
    <row r="331" spans="1:15">
      <c r="A331" s="29">
        <f t="shared" si="10"/>
        <v>329</v>
      </c>
      <c r="B331">
        <v>3290</v>
      </c>
      <c r="C331">
        <v>2529.7700000000018</v>
      </c>
      <c r="D331" s="23">
        <f t="shared" si="11"/>
        <v>25.297700000000017</v>
      </c>
    </row>
    <row r="332" spans="1:15">
      <c r="A332" s="29">
        <f t="shared" si="10"/>
        <v>330</v>
      </c>
      <c r="B332">
        <v>3300</v>
      </c>
      <c r="C332">
        <v>2473.5300000000002</v>
      </c>
      <c r="D332" s="23">
        <f t="shared" si="11"/>
        <v>24.735300000000002</v>
      </c>
    </row>
    <row r="333" spans="1:15">
      <c r="A333" s="29">
        <f t="shared" si="10"/>
        <v>331</v>
      </c>
      <c r="B333">
        <v>3310</v>
      </c>
      <c r="C333">
        <v>2423.8890000000001</v>
      </c>
      <c r="D333" s="23">
        <f t="shared" si="11"/>
        <v>24.238890000000001</v>
      </c>
    </row>
    <row r="334" spans="1:15">
      <c r="A334" s="29">
        <f t="shared" si="10"/>
        <v>332</v>
      </c>
      <c r="B334">
        <v>3320</v>
      </c>
      <c r="C334">
        <v>2374.248</v>
      </c>
      <c r="D334" s="23">
        <f t="shared" si="11"/>
        <v>23.74248</v>
      </c>
    </row>
    <row r="335" spans="1:15">
      <c r="A335" s="29">
        <f t="shared" si="10"/>
        <v>333</v>
      </c>
      <c r="B335">
        <v>3330</v>
      </c>
      <c r="C335">
        <v>2324.607</v>
      </c>
      <c r="D335" s="23">
        <f t="shared" si="11"/>
        <v>23.24607</v>
      </c>
    </row>
    <row r="336" spans="1:15">
      <c r="A336" s="29">
        <f t="shared" si="10"/>
        <v>334</v>
      </c>
      <c r="B336">
        <v>3340</v>
      </c>
      <c r="C336">
        <v>2274.9659999999999</v>
      </c>
      <c r="D336" s="23">
        <f t="shared" si="11"/>
        <v>22.749659999999999</v>
      </c>
    </row>
    <row r="337" spans="1:4">
      <c r="A337" s="29">
        <f t="shared" si="10"/>
        <v>335</v>
      </c>
      <c r="B337">
        <v>3350</v>
      </c>
      <c r="C337">
        <v>2225.3249999999998</v>
      </c>
      <c r="D337" s="23">
        <f t="shared" si="11"/>
        <v>22.253249999999998</v>
      </c>
    </row>
    <row r="338" spans="1:4">
      <c r="A338" s="29">
        <f t="shared" si="10"/>
        <v>336</v>
      </c>
      <c r="B338">
        <v>3360</v>
      </c>
      <c r="C338">
        <v>2175.6839999999997</v>
      </c>
      <c r="D338" s="23">
        <f t="shared" si="11"/>
        <v>21.756839999999997</v>
      </c>
    </row>
    <row r="339" spans="1:4">
      <c r="A339" s="29">
        <f t="shared" si="10"/>
        <v>337</v>
      </c>
      <c r="B339">
        <v>3370</v>
      </c>
      <c r="C339">
        <v>2126.0429999999997</v>
      </c>
      <c r="D339" s="23">
        <f t="shared" si="11"/>
        <v>21.260429999999996</v>
      </c>
    </row>
    <row r="340" spans="1:4">
      <c r="A340" s="29">
        <f t="shared" si="10"/>
        <v>338</v>
      </c>
      <c r="B340">
        <v>3380</v>
      </c>
      <c r="C340">
        <v>2076.4019999999996</v>
      </c>
      <c r="D340" s="23">
        <f t="shared" si="11"/>
        <v>20.764019999999995</v>
      </c>
    </row>
    <row r="341" spans="1:4">
      <c r="A341" s="29">
        <f t="shared" si="10"/>
        <v>339</v>
      </c>
      <c r="B341">
        <v>3390</v>
      </c>
      <c r="C341">
        <v>2026.7609999999995</v>
      </c>
      <c r="D341" s="23">
        <f t="shared" si="11"/>
        <v>20.267609999999994</v>
      </c>
    </row>
    <row r="342" spans="1:4">
      <c r="A342" s="29">
        <f t="shared" si="10"/>
        <v>340</v>
      </c>
      <c r="B342">
        <v>3400</v>
      </c>
      <c r="C342">
        <v>1977.12</v>
      </c>
      <c r="D342" s="23">
        <f t="shared" si="11"/>
        <v>19.7712</v>
      </c>
    </row>
    <row r="343" spans="1:4">
      <c r="A343" s="29">
        <f t="shared" si="10"/>
        <v>341</v>
      </c>
      <c r="B343">
        <v>3410</v>
      </c>
      <c r="C343">
        <v>1933.8779999999999</v>
      </c>
      <c r="D343" s="23">
        <f t="shared" si="11"/>
        <v>19.33878</v>
      </c>
    </row>
    <row r="344" spans="1:4">
      <c r="A344" s="29">
        <f t="shared" si="10"/>
        <v>342</v>
      </c>
      <c r="B344">
        <v>3420</v>
      </c>
      <c r="C344">
        <v>1890.636</v>
      </c>
      <c r="D344" s="23">
        <f t="shared" si="11"/>
        <v>18.906359999999999</v>
      </c>
    </row>
    <row r="345" spans="1:4">
      <c r="A345" s="29">
        <f t="shared" si="10"/>
        <v>343</v>
      </c>
      <c r="B345">
        <v>3430</v>
      </c>
      <c r="C345">
        <v>1847.394</v>
      </c>
      <c r="D345" s="23">
        <f t="shared" si="11"/>
        <v>18.473939999999999</v>
      </c>
    </row>
    <row r="346" spans="1:4">
      <c r="A346" s="29">
        <f t="shared" si="10"/>
        <v>344</v>
      </c>
      <c r="B346">
        <v>3440</v>
      </c>
      <c r="C346">
        <v>1804.152</v>
      </c>
      <c r="D346" s="23">
        <f t="shared" si="11"/>
        <v>18.041520000000002</v>
      </c>
    </row>
    <row r="347" spans="1:4">
      <c r="A347" s="29">
        <f t="shared" si="10"/>
        <v>345</v>
      </c>
      <c r="B347">
        <v>3450</v>
      </c>
      <c r="C347">
        <v>1760.91</v>
      </c>
      <c r="D347" s="23">
        <f t="shared" si="11"/>
        <v>17.609100000000002</v>
      </c>
    </row>
    <row r="348" spans="1:4">
      <c r="A348" s="29">
        <f t="shared" si="10"/>
        <v>346</v>
      </c>
      <c r="B348">
        <v>3460</v>
      </c>
      <c r="C348">
        <v>1717.6680000000001</v>
      </c>
      <c r="D348" s="23">
        <f t="shared" si="11"/>
        <v>17.176680000000001</v>
      </c>
    </row>
    <row r="349" spans="1:4">
      <c r="A349" s="29">
        <f t="shared" si="10"/>
        <v>347</v>
      </c>
      <c r="B349">
        <v>3470</v>
      </c>
      <c r="C349">
        <v>1674.4260000000002</v>
      </c>
      <c r="D349" s="23">
        <f t="shared" si="11"/>
        <v>16.744260000000001</v>
      </c>
    </row>
    <row r="350" spans="1:4">
      <c r="A350" s="29">
        <f t="shared" si="10"/>
        <v>348</v>
      </c>
      <c r="B350">
        <v>3480</v>
      </c>
      <c r="C350">
        <v>1631.1840000000002</v>
      </c>
      <c r="D350" s="23">
        <f t="shared" si="11"/>
        <v>16.311840000000004</v>
      </c>
    </row>
    <row r="351" spans="1:4">
      <c r="A351" s="29">
        <f t="shared" si="10"/>
        <v>349</v>
      </c>
      <c r="B351">
        <v>3490</v>
      </c>
      <c r="C351">
        <v>1587.9420000000002</v>
      </c>
      <c r="D351" s="23">
        <f t="shared" si="11"/>
        <v>15.879420000000003</v>
      </c>
    </row>
    <row r="352" spans="1:4">
      <c r="A352" s="29">
        <f t="shared" si="10"/>
        <v>350</v>
      </c>
      <c r="B352">
        <v>3500</v>
      </c>
      <c r="C352">
        <v>1544.7</v>
      </c>
      <c r="D352" s="23">
        <f t="shared" si="11"/>
        <v>15.447000000000001</v>
      </c>
    </row>
    <row r="353" spans="1:4">
      <c r="A353" s="29">
        <f t="shared" si="10"/>
        <v>351</v>
      </c>
      <c r="B353">
        <v>3510</v>
      </c>
      <c r="C353">
        <v>1507.5900000000001</v>
      </c>
      <c r="D353" s="23">
        <f t="shared" si="11"/>
        <v>15.075900000000001</v>
      </c>
    </row>
    <row r="354" spans="1:4">
      <c r="A354" s="29">
        <f t="shared" si="10"/>
        <v>352</v>
      </c>
      <c r="B354">
        <v>3520</v>
      </c>
      <c r="C354">
        <v>1470.48</v>
      </c>
      <c r="D354" s="23">
        <f t="shared" si="11"/>
        <v>14.704800000000001</v>
      </c>
    </row>
    <row r="355" spans="1:4">
      <c r="A355" s="29">
        <f t="shared" si="10"/>
        <v>353</v>
      </c>
      <c r="B355">
        <v>3530</v>
      </c>
      <c r="C355">
        <v>1433.37</v>
      </c>
      <c r="D355" s="23">
        <f t="shared" si="11"/>
        <v>14.333699999999999</v>
      </c>
    </row>
    <row r="356" spans="1:4">
      <c r="A356" s="29">
        <f t="shared" si="10"/>
        <v>354</v>
      </c>
      <c r="B356">
        <v>3540</v>
      </c>
      <c r="C356">
        <v>1396.2599999999998</v>
      </c>
      <c r="D356" s="23">
        <f t="shared" si="11"/>
        <v>13.962599999999998</v>
      </c>
    </row>
    <row r="357" spans="1:4">
      <c r="A357" s="29">
        <f t="shared" si="10"/>
        <v>355</v>
      </c>
      <c r="B357">
        <v>3550</v>
      </c>
      <c r="C357">
        <v>1359.1499999999996</v>
      </c>
      <c r="D357" s="23">
        <f t="shared" si="11"/>
        <v>13.591499999999996</v>
      </c>
    </row>
    <row r="358" spans="1:4">
      <c r="A358" s="29">
        <f t="shared" si="10"/>
        <v>356</v>
      </c>
      <c r="B358">
        <v>3560</v>
      </c>
      <c r="C358">
        <v>1322.0399999999995</v>
      </c>
      <c r="D358" s="23">
        <f t="shared" si="11"/>
        <v>13.220399999999994</v>
      </c>
    </row>
    <row r="359" spans="1:4">
      <c r="A359" s="29">
        <f t="shared" si="10"/>
        <v>357</v>
      </c>
      <c r="B359">
        <v>3570</v>
      </c>
      <c r="C359">
        <v>1284.9299999999994</v>
      </c>
      <c r="D359" s="23">
        <f t="shared" si="11"/>
        <v>12.849299999999994</v>
      </c>
    </row>
    <row r="360" spans="1:4">
      <c r="A360" s="29">
        <f t="shared" si="10"/>
        <v>358</v>
      </c>
      <c r="B360">
        <v>3580</v>
      </c>
      <c r="C360">
        <v>1247.8199999999993</v>
      </c>
      <c r="D360" s="23">
        <f t="shared" si="11"/>
        <v>12.478199999999992</v>
      </c>
    </row>
    <row r="361" spans="1:4">
      <c r="A361" s="29">
        <f t="shared" si="10"/>
        <v>359</v>
      </c>
      <c r="B361">
        <v>3590</v>
      </c>
      <c r="C361">
        <v>1210.7099999999991</v>
      </c>
      <c r="D361" s="23">
        <f t="shared" si="11"/>
        <v>12.107099999999992</v>
      </c>
    </row>
    <row r="362" spans="1:4">
      <c r="A362" s="29">
        <f t="shared" si="10"/>
        <v>360</v>
      </c>
      <c r="B362">
        <v>3600</v>
      </c>
      <c r="C362">
        <v>1173.5999999999999</v>
      </c>
      <c r="D362" s="23">
        <f t="shared" si="11"/>
        <v>11.735999999999999</v>
      </c>
    </row>
    <row r="363" spans="1:4">
      <c r="A363" s="29">
        <f t="shared" si="10"/>
        <v>361</v>
      </c>
      <c r="B363">
        <v>3610</v>
      </c>
      <c r="C363">
        <v>1142.3319999999999</v>
      </c>
      <c r="D363" s="23">
        <f t="shared" si="11"/>
        <v>11.423319999999999</v>
      </c>
    </row>
    <row r="364" spans="1:4">
      <c r="A364" s="29">
        <f t="shared" si="10"/>
        <v>362</v>
      </c>
      <c r="B364">
        <v>3620</v>
      </c>
      <c r="C364">
        <v>1111.0639999999999</v>
      </c>
      <c r="D364" s="23">
        <f t="shared" si="11"/>
        <v>11.110639999999998</v>
      </c>
    </row>
    <row r="365" spans="1:4">
      <c r="A365" s="29">
        <f t="shared" si="10"/>
        <v>363</v>
      </c>
      <c r="B365">
        <v>3630</v>
      </c>
      <c r="C365">
        <v>1079.7959999999998</v>
      </c>
      <c r="D365" s="23">
        <f t="shared" si="11"/>
        <v>10.797959999999998</v>
      </c>
    </row>
    <row r="366" spans="1:4">
      <c r="A366" s="29">
        <f t="shared" si="10"/>
        <v>364</v>
      </c>
      <c r="B366">
        <v>3640</v>
      </c>
      <c r="C366">
        <v>1048.5279999999998</v>
      </c>
      <c r="D366" s="23">
        <f t="shared" si="11"/>
        <v>10.485279999999998</v>
      </c>
    </row>
    <row r="367" spans="1:4">
      <c r="A367" s="29">
        <f t="shared" si="10"/>
        <v>365</v>
      </c>
      <c r="B367">
        <v>3650</v>
      </c>
      <c r="C367">
        <v>1017.2599999999998</v>
      </c>
      <c r="D367" s="23">
        <f t="shared" si="11"/>
        <v>10.172599999999997</v>
      </c>
    </row>
    <row r="368" spans="1:4">
      <c r="A368" s="29">
        <f t="shared" si="10"/>
        <v>366</v>
      </c>
      <c r="B368">
        <v>3660</v>
      </c>
      <c r="C368">
        <v>985.99199999999973</v>
      </c>
      <c r="D368" s="23">
        <f t="shared" si="11"/>
        <v>9.8599199999999971</v>
      </c>
    </row>
    <row r="369" spans="1:4">
      <c r="A369" s="29">
        <f t="shared" si="10"/>
        <v>367</v>
      </c>
      <c r="B369">
        <v>3670</v>
      </c>
      <c r="C369">
        <v>954.72399999999971</v>
      </c>
      <c r="D369" s="23">
        <f t="shared" si="11"/>
        <v>9.5472399999999968</v>
      </c>
    </row>
    <row r="370" spans="1:4">
      <c r="A370" s="29">
        <f t="shared" si="10"/>
        <v>368</v>
      </c>
      <c r="B370">
        <v>3680</v>
      </c>
      <c r="C370">
        <v>923.45599999999968</v>
      </c>
      <c r="D370" s="23">
        <f t="shared" si="11"/>
        <v>9.2345599999999965</v>
      </c>
    </row>
    <row r="371" spans="1:4">
      <c r="A371" s="29">
        <f t="shared" si="10"/>
        <v>369</v>
      </c>
      <c r="B371">
        <v>3690</v>
      </c>
      <c r="C371">
        <v>892.18799999999965</v>
      </c>
      <c r="D371" s="23">
        <f t="shared" si="11"/>
        <v>8.9218799999999963</v>
      </c>
    </row>
    <row r="372" spans="1:4">
      <c r="A372" s="29">
        <f t="shared" si="10"/>
        <v>370</v>
      </c>
      <c r="B372">
        <v>3700</v>
      </c>
      <c r="C372">
        <v>860.92</v>
      </c>
      <c r="D372" s="23">
        <f t="shared" si="11"/>
        <v>8.6091999999999995</v>
      </c>
    </row>
    <row r="373" spans="1:4">
      <c r="A373" s="29">
        <f t="shared" si="10"/>
        <v>371</v>
      </c>
      <c r="B373">
        <v>3710</v>
      </c>
      <c r="C373">
        <v>835.20100000000002</v>
      </c>
      <c r="D373" s="23">
        <f t="shared" si="11"/>
        <v>8.3520099999999999</v>
      </c>
    </row>
    <row r="374" spans="1:4">
      <c r="A374" s="29">
        <f t="shared" si="10"/>
        <v>372</v>
      </c>
      <c r="B374">
        <v>3720</v>
      </c>
      <c r="C374">
        <v>809.48199999999997</v>
      </c>
      <c r="D374" s="23">
        <f t="shared" si="11"/>
        <v>8.0948200000000003</v>
      </c>
    </row>
    <row r="375" spans="1:4">
      <c r="A375" s="29">
        <f t="shared" si="10"/>
        <v>373</v>
      </c>
      <c r="B375">
        <v>3730</v>
      </c>
      <c r="C375">
        <v>783.76299999999992</v>
      </c>
      <c r="D375" s="23">
        <f t="shared" si="11"/>
        <v>7.837629999999999</v>
      </c>
    </row>
    <row r="376" spans="1:4">
      <c r="A376" s="29">
        <f t="shared" si="10"/>
        <v>374</v>
      </c>
      <c r="B376">
        <v>3740</v>
      </c>
      <c r="C376">
        <v>758.04399999999987</v>
      </c>
      <c r="D376" s="23">
        <f t="shared" si="11"/>
        <v>7.5804399999999985</v>
      </c>
    </row>
    <row r="377" spans="1:4">
      <c r="A377" s="29">
        <f t="shared" si="10"/>
        <v>375</v>
      </c>
      <c r="B377">
        <v>3750</v>
      </c>
      <c r="C377">
        <v>732.32499999999982</v>
      </c>
      <c r="D377" s="23">
        <f t="shared" si="11"/>
        <v>7.323249999999998</v>
      </c>
    </row>
    <row r="378" spans="1:4">
      <c r="A378" s="29">
        <f t="shared" si="10"/>
        <v>376</v>
      </c>
      <c r="B378">
        <v>3760</v>
      </c>
      <c r="C378">
        <v>706.60599999999977</v>
      </c>
      <c r="D378" s="23">
        <f t="shared" si="11"/>
        <v>7.0660599999999976</v>
      </c>
    </row>
    <row r="379" spans="1:4">
      <c r="A379" s="29">
        <f t="shared" si="10"/>
        <v>377</v>
      </c>
      <c r="B379">
        <v>3770</v>
      </c>
      <c r="C379">
        <v>680.88699999999972</v>
      </c>
      <c r="D379" s="23">
        <f t="shared" si="11"/>
        <v>6.8088699999999971</v>
      </c>
    </row>
    <row r="380" spans="1:4">
      <c r="A380" s="29">
        <f t="shared" si="10"/>
        <v>378</v>
      </c>
      <c r="B380">
        <v>3780</v>
      </c>
      <c r="C380">
        <v>655.16799999999967</v>
      </c>
      <c r="D380" s="23">
        <f t="shared" si="11"/>
        <v>6.5516799999999966</v>
      </c>
    </row>
    <row r="381" spans="1:4">
      <c r="A381" s="29">
        <f t="shared" si="10"/>
        <v>379</v>
      </c>
      <c r="B381">
        <v>3790</v>
      </c>
      <c r="C381">
        <v>629.44899999999961</v>
      </c>
      <c r="D381" s="23">
        <f t="shared" si="11"/>
        <v>6.2944899999999961</v>
      </c>
    </row>
    <row r="382" spans="1:4">
      <c r="A382" s="29">
        <f t="shared" si="10"/>
        <v>380</v>
      </c>
      <c r="B382">
        <v>3800</v>
      </c>
      <c r="C382">
        <v>603.73</v>
      </c>
      <c r="D382" s="23">
        <f t="shared" si="11"/>
        <v>6.0373000000000001</v>
      </c>
    </row>
    <row r="383" spans="1:4">
      <c r="A383" s="29">
        <f t="shared" si="10"/>
        <v>381</v>
      </c>
      <c r="B383">
        <v>3810</v>
      </c>
      <c r="C383">
        <v>583.21800000000007</v>
      </c>
      <c r="D383" s="23">
        <f t="shared" si="11"/>
        <v>5.832180000000001</v>
      </c>
    </row>
    <row r="384" spans="1:4">
      <c r="A384" s="29">
        <f t="shared" si="10"/>
        <v>382</v>
      </c>
      <c r="B384">
        <v>3820</v>
      </c>
      <c r="C384">
        <v>562.70600000000013</v>
      </c>
      <c r="D384" s="23">
        <f t="shared" si="11"/>
        <v>5.6270600000000011</v>
      </c>
    </row>
    <row r="385" spans="1:4">
      <c r="A385" s="29">
        <f t="shared" si="10"/>
        <v>383</v>
      </c>
      <c r="B385">
        <v>3830</v>
      </c>
      <c r="C385">
        <v>542.19400000000019</v>
      </c>
      <c r="D385" s="23">
        <f t="shared" si="11"/>
        <v>5.421940000000002</v>
      </c>
    </row>
    <row r="386" spans="1:4">
      <c r="A386" s="29">
        <f t="shared" si="10"/>
        <v>384</v>
      </c>
      <c r="B386">
        <v>3840</v>
      </c>
      <c r="C386">
        <v>521.68200000000024</v>
      </c>
      <c r="D386" s="23">
        <f t="shared" si="11"/>
        <v>5.216820000000002</v>
      </c>
    </row>
    <row r="387" spans="1:4">
      <c r="A387" s="29">
        <f t="shared" ref="A387:A447" si="12">$B387/10</f>
        <v>385</v>
      </c>
      <c r="B387">
        <v>3850</v>
      </c>
      <c r="C387">
        <v>501.17000000000024</v>
      </c>
      <c r="D387" s="23">
        <f t="shared" ref="D387:D447" si="13">$C387/100</f>
        <v>5.011700000000002</v>
      </c>
    </row>
    <row r="388" spans="1:4">
      <c r="A388" s="29">
        <f t="shared" si="12"/>
        <v>386</v>
      </c>
      <c r="B388">
        <v>3860</v>
      </c>
      <c r="C388">
        <v>480.65800000000024</v>
      </c>
      <c r="D388" s="23">
        <f t="shared" si="13"/>
        <v>4.8065800000000021</v>
      </c>
    </row>
    <row r="389" spans="1:4">
      <c r="A389" s="29">
        <f t="shared" si="12"/>
        <v>387</v>
      </c>
      <c r="B389">
        <v>3870</v>
      </c>
      <c r="C389">
        <v>460.14600000000024</v>
      </c>
      <c r="D389" s="23">
        <f t="shared" si="13"/>
        <v>4.6014600000000021</v>
      </c>
    </row>
    <row r="390" spans="1:4">
      <c r="A390" s="29">
        <f t="shared" si="12"/>
        <v>388</v>
      </c>
      <c r="B390">
        <v>3880</v>
      </c>
      <c r="C390">
        <v>439.63400000000024</v>
      </c>
      <c r="D390" s="23">
        <f t="shared" si="13"/>
        <v>4.3963400000000021</v>
      </c>
    </row>
    <row r="391" spans="1:4">
      <c r="A391" s="29">
        <f t="shared" si="12"/>
        <v>389</v>
      </c>
      <c r="B391">
        <v>3890</v>
      </c>
      <c r="C391">
        <v>419.12200000000024</v>
      </c>
      <c r="D391" s="23">
        <f t="shared" si="13"/>
        <v>4.1912200000000022</v>
      </c>
    </row>
    <row r="392" spans="1:4">
      <c r="A392" s="29">
        <f t="shared" si="12"/>
        <v>390</v>
      </c>
      <c r="B392">
        <v>3900</v>
      </c>
      <c r="C392">
        <v>398.61</v>
      </c>
      <c r="D392" s="23">
        <f t="shared" si="13"/>
        <v>3.9861</v>
      </c>
    </row>
    <row r="393" spans="1:4">
      <c r="A393" s="29">
        <f t="shared" si="12"/>
        <v>391</v>
      </c>
      <c r="B393">
        <v>3910</v>
      </c>
      <c r="C393">
        <v>382.93100000000004</v>
      </c>
      <c r="D393" s="23">
        <f t="shared" si="13"/>
        <v>3.8293100000000004</v>
      </c>
    </row>
    <row r="394" spans="1:4">
      <c r="A394" s="29">
        <f t="shared" si="12"/>
        <v>392</v>
      </c>
      <c r="B394">
        <v>3920</v>
      </c>
      <c r="C394">
        <v>367.25200000000007</v>
      </c>
      <c r="D394" s="23">
        <f t="shared" si="13"/>
        <v>3.6725200000000005</v>
      </c>
    </row>
    <row r="395" spans="1:4">
      <c r="A395" s="29">
        <f t="shared" si="12"/>
        <v>393</v>
      </c>
      <c r="B395">
        <v>3930</v>
      </c>
      <c r="C395">
        <v>351.57300000000009</v>
      </c>
      <c r="D395" s="23">
        <f t="shared" si="13"/>
        <v>3.5157300000000009</v>
      </c>
    </row>
    <row r="396" spans="1:4">
      <c r="A396" s="29">
        <f t="shared" si="12"/>
        <v>394</v>
      </c>
      <c r="B396">
        <v>3940</v>
      </c>
      <c r="C396">
        <v>335.89400000000012</v>
      </c>
      <c r="D396" s="23">
        <f t="shared" si="13"/>
        <v>3.3589400000000014</v>
      </c>
    </row>
    <row r="397" spans="1:4">
      <c r="A397" s="29">
        <f t="shared" si="12"/>
        <v>395</v>
      </c>
      <c r="B397">
        <v>3950</v>
      </c>
      <c r="C397">
        <v>320.21500000000015</v>
      </c>
      <c r="D397" s="23">
        <f t="shared" si="13"/>
        <v>3.2021500000000014</v>
      </c>
    </row>
    <row r="398" spans="1:4">
      <c r="A398" s="29">
        <f t="shared" si="12"/>
        <v>396</v>
      </c>
      <c r="B398">
        <v>3960</v>
      </c>
      <c r="C398">
        <v>304.53600000000017</v>
      </c>
      <c r="D398" s="23">
        <f t="shared" si="13"/>
        <v>3.0453600000000018</v>
      </c>
    </row>
    <row r="399" spans="1:4">
      <c r="A399" s="29">
        <f t="shared" si="12"/>
        <v>397</v>
      </c>
      <c r="B399">
        <v>3970</v>
      </c>
      <c r="C399">
        <v>288.8570000000002</v>
      </c>
      <c r="D399" s="23">
        <f t="shared" si="13"/>
        <v>2.8885700000000019</v>
      </c>
    </row>
    <row r="400" spans="1:4">
      <c r="A400" s="29">
        <f t="shared" si="12"/>
        <v>398</v>
      </c>
      <c r="B400">
        <v>3980</v>
      </c>
      <c r="C400">
        <v>273.17800000000022</v>
      </c>
      <c r="D400" s="23">
        <f t="shared" si="13"/>
        <v>2.7317800000000023</v>
      </c>
    </row>
    <row r="401" spans="1:4">
      <c r="A401" s="29">
        <f t="shared" si="12"/>
        <v>399</v>
      </c>
      <c r="B401">
        <v>3990</v>
      </c>
      <c r="C401">
        <v>257.49900000000025</v>
      </c>
      <c r="D401" s="23">
        <f t="shared" si="13"/>
        <v>2.5749900000000023</v>
      </c>
    </row>
    <row r="402" spans="1:4">
      <c r="A402" s="29">
        <f t="shared" si="12"/>
        <v>400</v>
      </c>
      <c r="B402">
        <v>4000</v>
      </c>
      <c r="C402">
        <v>241.82</v>
      </c>
      <c r="D402" s="23">
        <f t="shared" si="13"/>
        <v>2.4182000000000001</v>
      </c>
    </row>
    <row r="403" spans="1:4">
      <c r="A403" s="29">
        <f t="shared" si="12"/>
        <v>401</v>
      </c>
      <c r="B403">
        <v>4010</v>
      </c>
      <c r="C403">
        <v>230.55099999999999</v>
      </c>
      <c r="D403" s="23">
        <f t="shared" si="13"/>
        <v>2.3055099999999999</v>
      </c>
    </row>
    <row r="404" spans="1:4">
      <c r="A404" s="29">
        <f t="shared" si="12"/>
        <v>402</v>
      </c>
      <c r="B404">
        <v>4020</v>
      </c>
      <c r="C404">
        <v>219.28199999999998</v>
      </c>
      <c r="D404" s="23">
        <f t="shared" si="13"/>
        <v>2.1928199999999998</v>
      </c>
    </row>
    <row r="405" spans="1:4">
      <c r="A405" s="29">
        <f t="shared" si="12"/>
        <v>403</v>
      </c>
      <c r="B405">
        <v>4030</v>
      </c>
      <c r="C405">
        <v>208.01299999999998</v>
      </c>
      <c r="D405" s="23">
        <f t="shared" si="13"/>
        <v>2.0801299999999996</v>
      </c>
    </row>
    <row r="406" spans="1:4">
      <c r="A406" s="29">
        <f t="shared" si="12"/>
        <v>404</v>
      </c>
      <c r="B406">
        <v>4040</v>
      </c>
      <c r="C406">
        <v>196.74399999999997</v>
      </c>
      <c r="D406" s="23">
        <f t="shared" si="13"/>
        <v>1.9674399999999996</v>
      </c>
    </row>
    <row r="407" spans="1:4">
      <c r="A407" s="29">
        <f t="shared" si="12"/>
        <v>405</v>
      </c>
      <c r="B407">
        <v>4050</v>
      </c>
      <c r="C407">
        <v>185.47499999999997</v>
      </c>
      <c r="D407" s="23">
        <f t="shared" si="13"/>
        <v>1.8547499999999997</v>
      </c>
    </row>
    <row r="408" spans="1:4">
      <c r="A408" s="29">
        <f t="shared" si="12"/>
        <v>406</v>
      </c>
      <c r="B408">
        <v>4060</v>
      </c>
      <c r="C408">
        <v>174.20599999999996</v>
      </c>
      <c r="D408" s="23">
        <f t="shared" si="13"/>
        <v>1.7420599999999995</v>
      </c>
    </row>
    <row r="409" spans="1:4">
      <c r="A409" s="29">
        <f t="shared" si="12"/>
        <v>407</v>
      </c>
      <c r="B409">
        <v>4070</v>
      </c>
      <c r="C409">
        <v>162.93699999999995</v>
      </c>
      <c r="D409" s="23">
        <f t="shared" si="13"/>
        <v>1.6293699999999995</v>
      </c>
    </row>
    <row r="410" spans="1:4">
      <c r="A410" s="29">
        <f t="shared" si="12"/>
        <v>408</v>
      </c>
      <c r="B410">
        <v>4080</v>
      </c>
      <c r="C410">
        <v>151.66799999999995</v>
      </c>
      <c r="D410" s="23">
        <f t="shared" si="13"/>
        <v>1.5166799999999996</v>
      </c>
    </row>
    <row r="411" spans="1:4">
      <c r="A411" s="29">
        <f t="shared" si="12"/>
        <v>409</v>
      </c>
      <c r="B411">
        <v>4090</v>
      </c>
      <c r="C411">
        <v>140.39899999999994</v>
      </c>
      <c r="D411" s="23">
        <f t="shared" si="13"/>
        <v>1.4039899999999994</v>
      </c>
    </row>
    <row r="412" spans="1:4">
      <c r="A412" s="29">
        <f t="shared" si="12"/>
        <v>410</v>
      </c>
      <c r="B412">
        <v>4100</v>
      </c>
      <c r="C412">
        <v>129.13</v>
      </c>
      <c r="D412" s="23">
        <f t="shared" si="13"/>
        <v>1.2912999999999999</v>
      </c>
    </row>
    <row r="413" spans="1:4">
      <c r="A413" s="29">
        <f t="shared" si="12"/>
        <v>411</v>
      </c>
      <c r="B413">
        <v>4110</v>
      </c>
      <c r="C413">
        <v>121.77799999999999</v>
      </c>
      <c r="D413" s="23">
        <f t="shared" si="13"/>
        <v>1.2177799999999999</v>
      </c>
    </row>
    <row r="414" spans="1:4">
      <c r="A414" s="29">
        <f t="shared" si="12"/>
        <v>412</v>
      </c>
      <c r="B414">
        <v>4120</v>
      </c>
      <c r="C414">
        <v>114.42599999999999</v>
      </c>
      <c r="D414" s="23">
        <f t="shared" si="13"/>
        <v>1.1442599999999998</v>
      </c>
    </row>
    <row r="415" spans="1:4">
      <c r="A415" s="29">
        <f t="shared" si="12"/>
        <v>413</v>
      </c>
      <c r="B415">
        <v>4130</v>
      </c>
      <c r="C415">
        <v>107.07399999999998</v>
      </c>
      <c r="D415" s="23">
        <f t="shared" si="13"/>
        <v>1.0707399999999998</v>
      </c>
    </row>
    <row r="416" spans="1:4">
      <c r="A416" s="29">
        <f t="shared" si="12"/>
        <v>414</v>
      </c>
      <c r="B416">
        <v>4140</v>
      </c>
      <c r="C416">
        <v>99.72199999999998</v>
      </c>
      <c r="D416" s="23">
        <f t="shared" si="13"/>
        <v>0.99721999999999977</v>
      </c>
    </row>
    <row r="417" spans="1:4">
      <c r="A417" s="29">
        <f t="shared" si="12"/>
        <v>415</v>
      </c>
      <c r="B417">
        <v>4150</v>
      </c>
      <c r="C417">
        <v>92.369999999999976</v>
      </c>
      <c r="D417" s="23">
        <f t="shared" si="13"/>
        <v>0.92369999999999974</v>
      </c>
    </row>
    <row r="418" spans="1:4">
      <c r="A418" s="29">
        <f t="shared" si="12"/>
        <v>416</v>
      </c>
      <c r="B418">
        <v>4160</v>
      </c>
      <c r="C418">
        <v>85.017999999999972</v>
      </c>
      <c r="D418" s="23">
        <f t="shared" si="13"/>
        <v>0.85017999999999971</v>
      </c>
    </row>
    <row r="419" spans="1:4">
      <c r="A419" s="29">
        <f t="shared" si="12"/>
        <v>417</v>
      </c>
      <c r="B419">
        <v>4170</v>
      </c>
      <c r="C419">
        <v>77.665999999999968</v>
      </c>
      <c r="D419" s="23">
        <f t="shared" si="13"/>
        <v>0.77665999999999968</v>
      </c>
    </row>
    <row r="420" spans="1:4">
      <c r="A420" s="29">
        <f t="shared" si="12"/>
        <v>418</v>
      </c>
      <c r="B420">
        <v>4180</v>
      </c>
      <c r="C420">
        <v>70.313999999999965</v>
      </c>
      <c r="D420" s="23">
        <f t="shared" si="13"/>
        <v>0.70313999999999965</v>
      </c>
    </row>
    <row r="421" spans="1:4">
      <c r="A421" s="29">
        <f t="shared" si="12"/>
        <v>419</v>
      </c>
      <c r="B421">
        <v>4190</v>
      </c>
      <c r="C421">
        <v>62.961999999999968</v>
      </c>
      <c r="D421" s="23">
        <f t="shared" si="13"/>
        <v>0.62961999999999962</v>
      </c>
    </row>
    <row r="422" spans="1:4">
      <c r="A422" s="29">
        <f t="shared" si="12"/>
        <v>420</v>
      </c>
      <c r="B422">
        <v>4200</v>
      </c>
      <c r="C422">
        <v>55.61</v>
      </c>
      <c r="D422" s="23">
        <f t="shared" si="13"/>
        <v>0.55610000000000004</v>
      </c>
    </row>
    <row r="423" spans="1:4">
      <c r="A423" s="29">
        <f t="shared" si="12"/>
        <v>421</v>
      </c>
      <c r="B423">
        <v>4210</v>
      </c>
      <c r="C423">
        <v>51.587000000000003</v>
      </c>
      <c r="D423" s="23">
        <f t="shared" si="13"/>
        <v>0.51587000000000005</v>
      </c>
    </row>
    <row r="424" spans="1:4">
      <c r="A424" s="29">
        <f t="shared" si="12"/>
        <v>422</v>
      </c>
      <c r="B424">
        <v>4220</v>
      </c>
      <c r="C424">
        <v>47.564000000000007</v>
      </c>
      <c r="D424" s="23">
        <f t="shared" si="13"/>
        <v>0.47564000000000006</v>
      </c>
    </row>
    <row r="425" spans="1:4">
      <c r="A425" s="29">
        <f t="shared" si="12"/>
        <v>423</v>
      </c>
      <c r="B425">
        <v>4230</v>
      </c>
      <c r="C425">
        <v>43.541000000000011</v>
      </c>
      <c r="D425" s="23">
        <f t="shared" si="13"/>
        <v>0.43541000000000013</v>
      </c>
    </row>
    <row r="426" spans="1:4">
      <c r="A426" s="29">
        <f t="shared" si="12"/>
        <v>424</v>
      </c>
      <c r="B426">
        <v>4240</v>
      </c>
      <c r="C426">
        <v>39.518000000000015</v>
      </c>
      <c r="D426" s="23">
        <f t="shared" si="13"/>
        <v>0.39518000000000014</v>
      </c>
    </row>
    <row r="427" spans="1:4">
      <c r="A427" s="29">
        <f t="shared" si="12"/>
        <v>425</v>
      </c>
      <c r="B427">
        <v>4250</v>
      </c>
      <c r="C427">
        <v>35.495000000000019</v>
      </c>
      <c r="D427" s="23">
        <f t="shared" si="13"/>
        <v>0.35495000000000021</v>
      </c>
    </row>
    <row r="428" spans="1:4">
      <c r="A428" s="29">
        <f t="shared" si="12"/>
        <v>426</v>
      </c>
      <c r="B428">
        <v>4260</v>
      </c>
      <c r="C428">
        <v>31.472000000000019</v>
      </c>
      <c r="D428" s="23">
        <f t="shared" si="13"/>
        <v>0.31472000000000017</v>
      </c>
    </row>
    <row r="429" spans="1:4">
      <c r="A429" s="29">
        <f t="shared" si="12"/>
        <v>427</v>
      </c>
      <c r="B429">
        <v>4270</v>
      </c>
      <c r="C429">
        <v>27.449000000000019</v>
      </c>
      <c r="D429" s="23">
        <f t="shared" si="13"/>
        <v>0.27449000000000018</v>
      </c>
    </row>
    <row r="430" spans="1:4">
      <c r="A430" s="29">
        <f t="shared" si="12"/>
        <v>428</v>
      </c>
      <c r="B430">
        <v>4280</v>
      </c>
      <c r="C430">
        <v>23.42600000000002</v>
      </c>
      <c r="D430" s="23">
        <f t="shared" si="13"/>
        <v>0.23426000000000019</v>
      </c>
    </row>
    <row r="431" spans="1:4">
      <c r="A431" s="29">
        <f t="shared" si="12"/>
        <v>429</v>
      </c>
      <c r="B431">
        <v>4290</v>
      </c>
      <c r="C431">
        <v>19.40300000000002</v>
      </c>
      <c r="D431" s="23">
        <f t="shared" si="13"/>
        <v>0.1940300000000002</v>
      </c>
    </row>
    <row r="432" spans="1:4">
      <c r="A432" s="29">
        <f t="shared" si="12"/>
        <v>430</v>
      </c>
      <c r="B432">
        <v>4300</v>
      </c>
      <c r="C432">
        <v>15.38</v>
      </c>
      <c r="D432" s="23">
        <f t="shared" si="13"/>
        <v>0.15380000000000002</v>
      </c>
    </row>
    <row r="433" spans="1:4">
      <c r="A433" s="29">
        <f t="shared" si="12"/>
        <v>431</v>
      </c>
      <c r="B433">
        <v>4310</v>
      </c>
      <c r="C433">
        <v>13.935</v>
      </c>
      <c r="D433" s="23">
        <f t="shared" si="13"/>
        <v>0.13935</v>
      </c>
    </row>
    <row r="434" spans="1:4">
      <c r="A434" s="29">
        <f t="shared" si="12"/>
        <v>432</v>
      </c>
      <c r="B434">
        <v>4320</v>
      </c>
      <c r="C434">
        <v>12.49</v>
      </c>
      <c r="D434" s="23">
        <f t="shared" si="13"/>
        <v>0.1249</v>
      </c>
    </row>
    <row r="435" spans="1:4">
      <c r="A435" s="29">
        <f t="shared" si="12"/>
        <v>433</v>
      </c>
      <c r="B435">
        <v>4330</v>
      </c>
      <c r="C435">
        <v>11.045</v>
      </c>
      <c r="D435" s="23">
        <f t="shared" si="13"/>
        <v>0.11044999999999999</v>
      </c>
    </row>
    <row r="436" spans="1:4">
      <c r="A436" s="29">
        <f t="shared" si="12"/>
        <v>434</v>
      </c>
      <c r="B436">
        <v>4340</v>
      </c>
      <c r="C436">
        <v>9.6</v>
      </c>
      <c r="D436" s="23">
        <f t="shared" si="13"/>
        <v>9.6000000000000002E-2</v>
      </c>
    </row>
    <row r="437" spans="1:4">
      <c r="A437" s="29">
        <f t="shared" si="12"/>
        <v>435</v>
      </c>
      <c r="B437">
        <v>4350</v>
      </c>
      <c r="C437">
        <v>8.1549999999999994</v>
      </c>
      <c r="D437" s="23">
        <f t="shared" si="13"/>
        <v>8.1549999999999997E-2</v>
      </c>
    </row>
    <row r="438" spans="1:4">
      <c r="A438" s="29">
        <f t="shared" si="12"/>
        <v>436</v>
      </c>
      <c r="B438">
        <v>4360</v>
      </c>
      <c r="C438">
        <v>6.7099999999999991</v>
      </c>
      <c r="D438" s="23">
        <f t="shared" si="13"/>
        <v>6.7099999999999993E-2</v>
      </c>
    </row>
    <row r="439" spans="1:4">
      <c r="A439" s="29">
        <f t="shared" si="12"/>
        <v>437</v>
      </c>
      <c r="B439">
        <v>4370</v>
      </c>
      <c r="C439">
        <v>5.2649999999999988</v>
      </c>
      <c r="D439" s="23">
        <f t="shared" si="13"/>
        <v>5.2649999999999988E-2</v>
      </c>
    </row>
    <row r="440" spans="1:4">
      <c r="A440" s="29">
        <f t="shared" si="12"/>
        <v>438</v>
      </c>
      <c r="B440">
        <v>4380</v>
      </c>
      <c r="C440">
        <v>3.8199999999999985</v>
      </c>
      <c r="D440" s="23">
        <f t="shared" si="13"/>
        <v>3.8199999999999984E-2</v>
      </c>
    </row>
    <row r="441" spans="1:4">
      <c r="A441" s="29">
        <f t="shared" si="12"/>
        <v>439</v>
      </c>
      <c r="B441">
        <v>4390</v>
      </c>
      <c r="C441">
        <v>2.3749999999999982</v>
      </c>
      <c r="D441" s="23">
        <f t="shared" si="13"/>
        <v>2.3749999999999983E-2</v>
      </c>
    </row>
    <row r="442" spans="1:4">
      <c r="A442" s="29">
        <f t="shared" si="12"/>
        <v>440</v>
      </c>
      <c r="B442">
        <v>4400</v>
      </c>
      <c r="C442">
        <v>0.93</v>
      </c>
      <c r="D442" s="23">
        <f t="shared" si="13"/>
        <v>9.300000000000001E-3</v>
      </c>
    </row>
    <row r="443" spans="1:4">
      <c r="A443" s="29">
        <f t="shared" si="12"/>
        <v>441</v>
      </c>
      <c r="B443">
        <v>4410</v>
      </c>
      <c r="C443">
        <v>0.74399999999999999</v>
      </c>
      <c r="D443" s="23">
        <f t="shared" si="13"/>
        <v>7.4399999999999996E-3</v>
      </c>
    </row>
    <row r="444" spans="1:4">
      <c r="A444" s="29">
        <f t="shared" si="12"/>
        <v>442</v>
      </c>
      <c r="B444">
        <v>4420</v>
      </c>
      <c r="C444">
        <v>0.55800000000000005</v>
      </c>
      <c r="D444" s="23">
        <f t="shared" si="13"/>
        <v>5.5800000000000008E-3</v>
      </c>
    </row>
    <row r="445" spans="1:4">
      <c r="A445" s="29">
        <f t="shared" si="12"/>
        <v>443</v>
      </c>
      <c r="B445">
        <v>4430</v>
      </c>
      <c r="C445">
        <v>0.37200000000000005</v>
      </c>
      <c r="D445" s="23">
        <f t="shared" si="13"/>
        <v>3.7200000000000006E-3</v>
      </c>
    </row>
    <row r="446" spans="1:4">
      <c r="A446" s="29">
        <f t="shared" si="12"/>
        <v>444</v>
      </c>
      <c r="B446">
        <v>4440</v>
      </c>
      <c r="C446">
        <v>0.18600000000000005</v>
      </c>
      <c r="D446" s="23">
        <f t="shared" si="13"/>
        <v>1.8600000000000005E-3</v>
      </c>
    </row>
    <row r="447" spans="1:4">
      <c r="A447" s="29">
        <f t="shared" si="12"/>
        <v>445</v>
      </c>
      <c r="B447">
        <v>4450</v>
      </c>
      <c r="C447">
        <v>0</v>
      </c>
      <c r="D447" s="23">
        <f t="shared" si="13"/>
        <v>0</v>
      </c>
    </row>
    <row r="448" spans="1:4">
      <c r="A448" s="29"/>
      <c r="D448" s="23"/>
    </row>
    <row r="449" spans="1:4">
      <c r="A449" s="29"/>
      <c r="D449" s="23"/>
    </row>
    <row r="450" spans="1:4">
      <c r="A450" s="29"/>
      <c r="D450" s="23"/>
    </row>
    <row r="451" spans="1:4">
      <c r="A451" s="29"/>
      <c r="D451" s="23"/>
    </row>
    <row r="452" spans="1:4">
      <c r="A452" s="29"/>
      <c r="D452" s="23"/>
    </row>
    <row r="453" spans="1:4">
      <c r="A453" s="29"/>
      <c r="D453" s="23"/>
    </row>
    <row r="454" spans="1:4">
      <c r="A454" s="29"/>
      <c r="D454" s="23"/>
    </row>
    <row r="455" spans="1:4">
      <c r="A455" s="29"/>
      <c r="D455" s="23"/>
    </row>
    <row r="456" spans="1:4">
      <c r="A456" s="29"/>
      <c r="D456" s="23"/>
    </row>
    <row r="457" spans="1:4">
      <c r="A457" s="29"/>
      <c r="D457" s="23"/>
    </row>
    <row r="458" spans="1:4">
      <c r="A458" s="29"/>
      <c r="D458" s="23"/>
    </row>
    <row r="459" spans="1:4">
      <c r="A459" s="29"/>
      <c r="D459" s="23"/>
    </row>
    <row r="460" spans="1:4">
      <c r="A460" s="29"/>
      <c r="D460" s="23"/>
    </row>
    <row r="461" spans="1:4">
      <c r="A461" s="29"/>
      <c r="D461" s="23"/>
    </row>
    <row r="462" spans="1:4">
      <c r="A462" s="29"/>
      <c r="D462" s="23"/>
    </row>
    <row r="463" spans="1:4">
      <c r="A463" s="29"/>
      <c r="D463" s="23"/>
    </row>
    <row r="464" spans="1:4">
      <c r="A464" s="29"/>
      <c r="D464" s="23"/>
    </row>
    <row r="465" spans="1:4">
      <c r="A465" s="29"/>
      <c r="D465" s="23"/>
    </row>
    <row r="466" spans="1:4">
      <c r="A466" s="29"/>
      <c r="D466" s="23"/>
    </row>
    <row r="467" spans="1:4">
      <c r="A467" s="29"/>
      <c r="D467" s="23"/>
    </row>
    <row r="468" spans="1:4">
      <c r="A468" s="29"/>
      <c r="D468" s="23"/>
    </row>
    <row r="469" spans="1:4">
      <c r="A469" s="29"/>
      <c r="D469" s="23"/>
    </row>
    <row r="470" spans="1:4">
      <c r="A470" s="29"/>
      <c r="D470" s="23"/>
    </row>
    <row r="471" spans="1:4">
      <c r="A471" s="29"/>
      <c r="D471" s="23"/>
    </row>
    <row r="472" spans="1:4">
      <c r="A472" s="29"/>
      <c r="D472" s="23"/>
    </row>
    <row r="473" spans="1:4">
      <c r="A473" s="29"/>
      <c r="D473" s="23"/>
    </row>
    <row r="474" spans="1:4">
      <c r="A474" s="29"/>
      <c r="D474" s="23"/>
    </row>
    <row r="475" spans="1:4">
      <c r="A475" s="29"/>
      <c r="D475" s="23"/>
    </row>
    <row r="476" spans="1:4">
      <c r="A476" s="29"/>
      <c r="D476" s="23"/>
    </row>
    <row r="477" spans="1:4">
      <c r="A477" s="29"/>
      <c r="D477" s="23"/>
    </row>
    <row r="478" spans="1:4">
      <c r="A478" s="29"/>
      <c r="D478" s="23"/>
    </row>
    <row r="479" spans="1:4">
      <c r="A479" s="29"/>
      <c r="D479" s="23"/>
    </row>
    <row r="480" spans="1:4">
      <c r="A480" s="29"/>
      <c r="D480" s="23"/>
    </row>
    <row r="481" spans="1:4">
      <c r="A481" s="29"/>
      <c r="D481" s="23"/>
    </row>
    <row r="482" spans="1:4">
      <c r="A482" s="29"/>
      <c r="D482" s="23"/>
    </row>
    <row r="483" spans="1:4">
      <c r="A483" s="29"/>
      <c r="D483" s="23"/>
    </row>
    <row r="484" spans="1:4">
      <c r="A484" s="29"/>
      <c r="D484" s="23"/>
    </row>
    <row r="485" spans="1:4">
      <c r="A485" s="29"/>
      <c r="D485" s="23"/>
    </row>
    <row r="486" spans="1:4">
      <c r="A486" s="29"/>
      <c r="D486" s="23"/>
    </row>
    <row r="487" spans="1:4">
      <c r="A487" s="29"/>
      <c r="D487" s="23"/>
    </row>
    <row r="488" spans="1:4">
      <c r="A488" s="29"/>
      <c r="D488" s="23"/>
    </row>
    <row r="489" spans="1:4">
      <c r="A489" s="29"/>
      <c r="D489" s="23"/>
    </row>
    <row r="490" spans="1:4">
      <c r="A490" s="29"/>
      <c r="D490" s="23"/>
    </row>
    <row r="491" spans="1:4">
      <c r="A491" s="29"/>
      <c r="D491" s="23"/>
    </row>
    <row r="492" spans="1:4">
      <c r="A492" s="29"/>
      <c r="D492" s="23"/>
    </row>
    <row r="493" spans="1:4">
      <c r="A493" s="29"/>
      <c r="D493" s="23"/>
    </row>
    <row r="494" spans="1:4">
      <c r="A494" s="29"/>
      <c r="D494" s="23"/>
    </row>
    <row r="495" spans="1:4">
      <c r="A495" s="29"/>
      <c r="D495" s="23"/>
    </row>
    <row r="496" spans="1:4">
      <c r="A496" s="29"/>
      <c r="D496" s="23"/>
    </row>
    <row r="497" spans="1:4">
      <c r="A497" s="29"/>
      <c r="D497" s="23"/>
    </row>
    <row r="498" spans="1:4">
      <c r="A498" s="29"/>
      <c r="D498" s="23"/>
    </row>
    <row r="499" spans="1:4">
      <c r="A499" s="29"/>
      <c r="D499" s="23"/>
    </row>
    <row r="500" spans="1:4">
      <c r="A500" s="29"/>
      <c r="D500" s="23"/>
    </row>
    <row r="501" spans="1:4">
      <c r="A501" s="29"/>
      <c r="D501" s="23"/>
    </row>
    <row r="502" spans="1:4">
      <c r="A502" s="29"/>
      <c r="D502" s="23"/>
    </row>
    <row r="503" spans="1:4">
      <c r="A503" s="29"/>
      <c r="D503" s="23"/>
    </row>
    <row r="504" spans="1:4">
      <c r="A504" s="29"/>
      <c r="D504" s="23"/>
    </row>
    <row r="505" spans="1:4">
      <c r="A505" s="29"/>
      <c r="D505" s="23"/>
    </row>
    <row r="506" spans="1:4">
      <c r="A506" s="29"/>
      <c r="D506" s="23"/>
    </row>
    <row r="507" spans="1:4">
      <c r="A507" s="29"/>
      <c r="D507" s="23"/>
    </row>
    <row r="508" spans="1:4">
      <c r="A508" s="29"/>
      <c r="D508" s="23"/>
    </row>
    <row r="509" spans="1:4">
      <c r="A509" s="29"/>
      <c r="D509" s="23"/>
    </row>
    <row r="510" spans="1:4">
      <c r="A510" s="29"/>
      <c r="D510" s="23"/>
    </row>
    <row r="511" spans="1:4">
      <c r="A511" s="29"/>
      <c r="D511" s="23"/>
    </row>
    <row r="512" spans="1:4">
      <c r="A512" s="29"/>
      <c r="D512" s="23"/>
    </row>
    <row r="513" spans="1:4">
      <c r="A513" s="29"/>
      <c r="D513" s="23"/>
    </row>
    <row r="514" spans="1:4">
      <c r="A514" s="29"/>
      <c r="D514" s="23"/>
    </row>
    <row r="515" spans="1:4">
      <c r="A515" s="29"/>
      <c r="D515" s="23"/>
    </row>
    <row r="516" spans="1:4">
      <c r="A516" s="29"/>
      <c r="D516" s="23"/>
    </row>
    <row r="517" spans="1:4">
      <c r="A517" s="29"/>
      <c r="D517" s="23"/>
    </row>
    <row r="518" spans="1:4">
      <c r="A518" s="29"/>
      <c r="D518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tabColor rgb="FFFF0000"/>
  </sheetPr>
  <dimension ref="A1:D326"/>
  <sheetViews>
    <sheetView workbookViewId="0">
      <selection activeCell="B15" sqref="B15"/>
    </sheetView>
  </sheetViews>
  <sheetFormatPr baseColWidth="10" defaultColWidth="11.3984375" defaultRowHeight="14.25"/>
  <cols>
    <col min="2" max="2" width="12.59765625" bestFit="1" customWidth="1"/>
  </cols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>
        <f>B2/10</f>
        <v>0</v>
      </c>
      <c r="B2">
        <v>0</v>
      </c>
      <c r="C2" s="25">
        <v>36734</v>
      </c>
      <c r="D2">
        <f>C2/100</f>
        <v>367.34</v>
      </c>
    </row>
    <row r="3" spans="1:4">
      <c r="A3">
        <f t="shared" ref="A3:A46" si="0">B3/10</f>
        <v>1.1033779189624917</v>
      </c>
      <c r="B3">
        <v>11.033779189624918</v>
      </c>
      <c r="C3" s="25">
        <v>36732.063999999998</v>
      </c>
      <c r="D3">
        <f t="shared" ref="D3:D46" si="1">C3/100</f>
        <v>367.32063999999997</v>
      </c>
    </row>
    <row r="4" spans="1:4">
      <c r="A4">
        <f t="shared" si="0"/>
        <v>2.2067558379249834</v>
      </c>
      <c r="B4">
        <v>22.067558379249835</v>
      </c>
      <c r="C4" s="25">
        <v>36730.127999999997</v>
      </c>
      <c r="D4">
        <f t="shared" si="1"/>
        <v>367.30127999999996</v>
      </c>
    </row>
    <row r="5" spans="1:4">
      <c r="A5">
        <f t="shared" si="0"/>
        <v>3.3101337568874754</v>
      </c>
      <c r="B5">
        <v>33.101337568874754</v>
      </c>
      <c r="C5" s="25">
        <v>36728.191999999995</v>
      </c>
      <c r="D5">
        <f t="shared" si="1"/>
        <v>367.28191999999996</v>
      </c>
    </row>
    <row r="6" spans="1:4">
      <c r="A6">
        <f t="shared" si="0"/>
        <v>4.4135116758499668</v>
      </c>
      <c r="B6">
        <v>44.13511675849967</v>
      </c>
      <c r="C6" s="25">
        <v>36726.255999999994</v>
      </c>
      <c r="D6">
        <f t="shared" si="1"/>
        <v>367.26255999999995</v>
      </c>
    </row>
    <row r="7" spans="1:4">
      <c r="A7">
        <f t="shared" si="0"/>
        <v>5.5168895948124588</v>
      </c>
      <c r="B7">
        <v>55.168895948124586</v>
      </c>
      <c r="C7" s="25">
        <v>36724.319999999992</v>
      </c>
      <c r="D7">
        <f t="shared" si="1"/>
        <v>367.24319999999994</v>
      </c>
    </row>
    <row r="8" spans="1:4">
      <c r="A8">
        <f t="shared" si="0"/>
        <v>6.6202675137749507</v>
      </c>
      <c r="B8">
        <v>66.202675137749509</v>
      </c>
      <c r="C8" s="25">
        <v>36722.383999999991</v>
      </c>
      <c r="D8">
        <f t="shared" si="1"/>
        <v>367.22383999999988</v>
      </c>
    </row>
    <row r="9" spans="1:4">
      <c r="A9">
        <f t="shared" si="0"/>
        <v>7.7236454327374435</v>
      </c>
      <c r="B9">
        <v>77.236454327374432</v>
      </c>
      <c r="C9" s="25">
        <v>36720.447999999989</v>
      </c>
      <c r="D9">
        <f t="shared" si="1"/>
        <v>367.20447999999988</v>
      </c>
    </row>
    <row r="10" spans="1:4">
      <c r="A10">
        <f t="shared" si="0"/>
        <v>8.8270233516999337</v>
      </c>
      <c r="B10">
        <v>88.27023351699934</v>
      </c>
      <c r="C10" s="25">
        <v>36718.511999999988</v>
      </c>
      <c r="D10">
        <f t="shared" si="1"/>
        <v>367.18511999999987</v>
      </c>
    </row>
    <row r="11" spans="1:4">
      <c r="A11">
        <f t="shared" si="0"/>
        <v>9.9304012706624256</v>
      </c>
      <c r="B11">
        <v>99.304012706624263</v>
      </c>
      <c r="C11" s="25">
        <v>36716.575999999986</v>
      </c>
      <c r="D11">
        <f t="shared" si="1"/>
        <v>367.16575999999986</v>
      </c>
    </row>
    <row r="12" spans="1:4">
      <c r="A12">
        <f t="shared" si="0"/>
        <v>11.033779189624918</v>
      </c>
      <c r="B12">
        <v>110.33779189624917</v>
      </c>
      <c r="C12" s="25">
        <v>36714.639999999999</v>
      </c>
      <c r="D12">
        <f t="shared" si="1"/>
        <v>367.14639999999997</v>
      </c>
    </row>
    <row r="13" spans="1:4">
      <c r="A13">
        <f t="shared" si="0"/>
        <v>12.137157108587409</v>
      </c>
      <c r="B13">
        <v>121.37157108587409</v>
      </c>
      <c r="C13" s="25">
        <v>36712.675999999999</v>
      </c>
      <c r="D13">
        <f t="shared" si="1"/>
        <v>367.12675999999999</v>
      </c>
    </row>
    <row r="14" spans="1:4">
      <c r="A14">
        <f t="shared" si="0"/>
        <v>13.240535027549901</v>
      </c>
      <c r="B14">
        <v>132.40535027549902</v>
      </c>
      <c r="C14" s="25">
        <v>36710.712</v>
      </c>
      <c r="D14">
        <f t="shared" si="1"/>
        <v>367.10712000000001</v>
      </c>
    </row>
    <row r="15" spans="1:4">
      <c r="A15">
        <f t="shared" si="0"/>
        <v>14.343912946512393</v>
      </c>
      <c r="B15">
        <v>143.43912946512393</v>
      </c>
      <c r="C15" s="25">
        <v>36708.748</v>
      </c>
      <c r="D15">
        <f t="shared" si="1"/>
        <v>367.08747999999997</v>
      </c>
    </row>
    <row r="16" spans="1:4">
      <c r="A16">
        <f t="shared" si="0"/>
        <v>15.447290865474887</v>
      </c>
      <c r="B16">
        <v>154.47290865474886</v>
      </c>
      <c r="C16" s="25">
        <v>36706.784</v>
      </c>
      <c r="D16">
        <f t="shared" si="1"/>
        <v>367.06783999999999</v>
      </c>
    </row>
    <row r="17" spans="1:4">
      <c r="A17">
        <f t="shared" si="0"/>
        <v>16.550668784437377</v>
      </c>
      <c r="B17">
        <v>165.50668784437377</v>
      </c>
      <c r="C17" s="25">
        <v>36704.82</v>
      </c>
      <c r="D17">
        <f t="shared" si="1"/>
        <v>367.04820000000001</v>
      </c>
    </row>
    <row r="18" spans="1:4">
      <c r="A18">
        <f t="shared" si="0"/>
        <v>17.654046703399867</v>
      </c>
      <c r="B18">
        <v>176.54046703399868</v>
      </c>
      <c r="C18" s="25">
        <v>36702.856</v>
      </c>
      <c r="D18">
        <f t="shared" si="1"/>
        <v>367.02855999999997</v>
      </c>
    </row>
    <row r="19" spans="1:4">
      <c r="A19">
        <f t="shared" si="0"/>
        <v>18.757424622362361</v>
      </c>
      <c r="B19">
        <v>187.57424622362362</v>
      </c>
      <c r="C19" s="25">
        <v>36700.892</v>
      </c>
      <c r="D19">
        <f t="shared" si="1"/>
        <v>367.00891999999999</v>
      </c>
    </row>
    <row r="20" spans="1:4">
      <c r="A20">
        <f t="shared" si="0"/>
        <v>19.860802541324851</v>
      </c>
      <c r="B20">
        <v>198.60802541324853</v>
      </c>
      <c r="C20" s="25">
        <v>36698.928</v>
      </c>
      <c r="D20">
        <f t="shared" si="1"/>
        <v>366.98928000000001</v>
      </c>
    </row>
    <row r="21" spans="1:4">
      <c r="A21">
        <f t="shared" si="0"/>
        <v>20.964180460287345</v>
      </c>
      <c r="B21">
        <v>209.64180460287344</v>
      </c>
      <c r="C21" s="25">
        <v>36696.964</v>
      </c>
      <c r="D21">
        <f t="shared" si="1"/>
        <v>366.96964000000003</v>
      </c>
    </row>
    <row r="22" spans="1:4">
      <c r="A22">
        <f t="shared" si="0"/>
        <v>22.067558379249835</v>
      </c>
      <c r="B22">
        <v>220.67558379249834</v>
      </c>
      <c r="C22" s="25">
        <v>36695</v>
      </c>
      <c r="D22">
        <f t="shared" si="1"/>
        <v>366.95</v>
      </c>
    </row>
    <row r="23" spans="1:4">
      <c r="A23">
        <f t="shared" si="0"/>
        <v>23.170936298212329</v>
      </c>
      <c r="B23">
        <v>231.70936298212328</v>
      </c>
      <c r="C23" s="25">
        <v>36693.036</v>
      </c>
      <c r="D23">
        <f t="shared" si="1"/>
        <v>366.93036000000001</v>
      </c>
    </row>
    <row r="24" spans="1:4">
      <c r="A24">
        <f t="shared" si="0"/>
        <v>24.274314217174819</v>
      </c>
      <c r="B24">
        <v>242.74314217174819</v>
      </c>
      <c r="C24" s="25">
        <v>36691.072</v>
      </c>
      <c r="D24">
        <f t="shared" si="1"/>
        <v>366.91072000000003</v>
      </c>
    </row>
    <row r="25" spans="1:4">
      <c r="A25">
        <f t="shared" si="0"/>
        <v>25.377692136137309</v>
      </c>
      <c r="B25">
        <v>253.7769213613731</v>
      </c>
      <c r="C25" s="25">
        <v>36689.108</v>
      </c>
      <c r="D25">
        <f t="shared" si="1"/>
        <v>366.89107999999999</v>
      </c>
    </row>
    <row r="26" spans="1:4">
      <c r="A26">
        <f t="shared" si="0"/>
        <v>26.481070055099803</v>
      </c>
      <c r="B26">
        <v>264.81070055099804</v>
      </c>
      <c r="C26" s="25">
        <v>36687.144</v>
      </c>
      <c r="D26">
        <f t="shared" si="1"/>
        <v>366.87144000000001</v>
      </c>
    </row>
    <row r="27" spans="1:4">
      <c r="A27">
        <f t="shared" si="0"/>
        <v>27.584447974062293</v>
      </c>
      <c r="B27">
        <v>275.84447974062294</v>
      </c>
      <c r="C27" s="25">
        <v>36685.18</v>
      </c>
      <c r="D27">
        <f t="shared" si="1"/>
        <v>366.85180000000003</v>
      </c>
    </row>
    <row r="28" spans="1:4">
      <c r="A28">
        <f t="shared" si="0"/>
        <v>28.687825893024787</v>
      </c>
      <c r="B28">
        <v>286.87825893024785</v>
      </c>
      <c r="C28" s="25">
        <v>36683.216</v>
      </c>
      <c r="D28">
        <f t="shared" si="1"/>
        <v>366.83215999999999</v>
      </c>
    </row>
    <row r="29" spans="1:4">
      <c r="A29">
        <f t="shared" si="0"/>
        <v>29.791203811987277</v>
      </c>
      <c r="B29">
        <v>297.91203811987276</v>
      </c>
      <c r="C29" s="25">
        <v>36681.252</v>
      </c>
      <c r="D29">
        <f t="shared" si="1"/>
        <v>366.81252000000001</v>
      </c>
    </row>
    <row r="30" spans="1:4">
      <c r="A30">
        <f t="shared" si="0"/>
        <v>30.894581730949774</v>
      </c>
      <c r="B30">
        <v>308.94581730949773</v>
      </c>
      <c r="C30" s="25">
        <v>36679.288</v>
      </c>
      <c r="D30">
        <f t="shared" si="1"/>
        <v>366.79288000000003</v>
      </c>
    </row>
    <row r="31" spans="1:4">
      <c r="A31">
        <f t="shared" si="0"/>
        <v>31.997959649912264</v>
      </c>
      <c r="B31">
        <v>319.97959649912264</v>
      </c>
      <c r="C31" s="25">
        <v>36677.324000000001</v>
      </c>
      <c r="D31">
        <f t="shared" si="1"/>
        <v>366.77323999999999</v>
      </c>
    </row>
    <row r="32" spans="1:4">
      <c r="A32">
        <f t="shared" si="0"/>
        <v>33.101337568874754</v>
      </c>
      <c r="B32">
        <v>331.01337568874754</v>
      </c>
      <c r="C32" s="25">
        <v>36675.360000000001</v>
      </c>
      <c r="D32">
        <f t="shared" si="1"/>
        <v>366.75360000000001</v>
      </c>
    </row>
    <row r="33" spans="1:4">
      <c r="A33">
        <f t="shared" si="0"/>
        <v>34.204715487837248</v>
      </c>
      <c r="B33">
        <v>342.04715487837245</v>
      </c>
      <c r="C33" s="25">
        <v>36671.423999999999</v>
      </c>
      <c r="D33">
        <f t="shared" si="1"/>
        <v>366.71424000000002</v>
      </c>
    </row>
    <row r="34" spans="1:4">
      <c r="A34">
        <f t="shared" si="0"/>
        <v>35.308093406799735</v>
      </c>
      <c r="B34">
        <v>353.08093406799736</v>
      </c>
      <c r="C34" s="25">
        <v>36667.487999999998</v>
      </c>
      <c r="D34">
        <f t="shared" si="1"/>
        <v>366.67487999999997</v>
      </c>
    </row>
    <row r="35" spans="1:4">
      <c r="A35">
        <f t="shared" si="0"/>
        <v>36.411471325762228</v>
      </c>
      <c r="B35">
        <v>364.11471325762227</v>
      </c>
      <c r="C35" s="25">
        <v>36663.551999999996</v>
      </c>
      <c r="D35">
        <f t="shared" si="1"/>
        <v>366.63551999999999</v>
      </c>
    </row>
    <row r="36" spans="1:4">
      <c r="A36">
        <f t="shared" si="0"/>
        <v>37.514849244724722</v>
      </c>
      <c r="B36">
        <v>375.14849244724724</v>
      </c>
      <c r="C36" s="25">
        <v>36659.615999999995</v>
      </c>
      <c r="D36">
        <f t="shared" si="1"/>
        <v>366.59615999999994</v>
      </c>
    </row>
    <row r="37" spans="1:4">
      <c r="A37">
        <f t="shared" si="0"/>
        <v>38.618227163687216</v>
      </c>
      <c r="B37">
        <v>386.18227163687214</v>
      </c>
      <c r="C37" s="25">
        <v>36655.679999999993</v>
      </c>
      <c r="D37">
        <f t="shared" si="1"/>
        <v>366.55679999999995</v>
      </c>
    </row>
    <row r="38" spans="1:4">
      <c r="A38">
        <f t="shared" si="0"/>
        <v>39.721605082649702</v>
      </c>
      <c r="B38">
        <v>397.21605082649705</v>
      </c>
      <c r="C38" s="25">
        <v>36651.743999999992</v>
      </c>
      <c r="D38">
        <f t="shared" si="1"/>
        <v>366.51743999999991</v>
      </c>
    </row>
    <row r="39" spans="1:4">
      <c r="A39">
        <f t="shared" si="0"/>
        <v>40.824983001612196</v>
      </c>
      <c r="B39">
        <v>408.24983001612196</v>
      </c>
      <c r="C39" s="25">
        <v>36647.80799999999</v>
      </c>
      <c r="D39">
        <f t="shared" si="1"/>
        <v>366.47807999999992</v>
      </c>
    </row>
    <row r="40" spans="1:4">
      <c r="A40">
        <f t="shared" si="0"/>
        <v>41.92836092057469</v>
      </c>
      <c r="B40">
        <v>419.28360920574687</v>
      </c>
      <c r="C40" s="25">
        <v>36643.871999999988</v>
      </c>
      <c r="D40">
        <f t="shared" si="1"/>
        <v>366.43871999999988</v>
      </c>
    </row>
    <row r="41" spans="1:4">
      <c r="A41">
        <f t="shared" si="0"/>
        <v>43.031738839537176</v>
      </c>
      <c r="B41">
        <v>430.31738839537178</v>
      </c>
      <c r="C41" s="25">
        <v>36639.935999999987</v>
      </c>
      <c r="D41">
        <f t="shared" si="1"/>
        <v>366.39935999999989</v>
      </c>
    </row>
    <row r="42" spans="1:4">
      <c r="A42">
        <f t="shared" si="0"/>
        <v>44.13511675849967</v>
      </c>
      <c r="B42">
        <v>441.35116758499669</v>
      </c>
      <c r="C42" s="25">
        <v>36636</v>
      </c>
      <c r="D42">
        <f t="shared" si="1"/>
        <v>366.36</v>
      </c>
    </row>
    <row r="43" spans="1:4">
      <c r="A43">
        <f t="shared" si="0"/>
        <v>45.238494677462164</v>
      </c>
      <c r="B43">
        <v>452.38494677462165</v>
      </c>
      <c r="C43" s="25">
        <v>36588</v>
      </c>
      <c r="D43">
        <f t="shared" si="1"/>
        <v>365.88</v>
      </c>
    </row>
    <row r="44" spans="1:4">
      <c r="A44">
        <f t="shared" si="0"/>
        <v>46.341872596424658</v>
      </c>
      <c r="B44">
        <v>463.41872596424656</v>
      </c>
      <c r="C44" s="25">
        <v>36540</v>
      </c>
      <c r="D44">
        <f t="shared" si="1"/>
        <v>365.4</v>
      </c>
    </row>
    <row r="45" spans="1:4">
      <c r="A45">
        <f t="shared" si="0"/>
        <v>47.445250515387144</v>
      </c>
      <c r="B45">
        <v>474.45250515387147</v>
      </c>
      <c r="C45" s="25">
        <v>36492</v>
      </c>
      <c r="D45">
        <f t="shared" si="1"/>
        <v>364.92</v>
      </c>
    </row>
    <row r="46" spans="1:4">
      <c r="A46">
        <f t="shared" si="0"/>
        <v>48.548628434349638</v>
      </c>
      <c r="B46">
        <v>485.48628434349638</v>
      </c>
      <c r="C46" s="25">
        <v>36444</v>
      </c>
      <c r="D46">
        <f t="shared" si="1"/>
        <v>364.44</v>
      </c>
    </row>
    <row r="47" spans="1:4">
      <c r="A47">
        <f t="shared" ref="A47:A91" si="2">B47/10</f>
        <v>49.652006353312132</v>
      </c>
      <c r="B47">
        <v>496.52006353312129</v>
      </c>
      <c r="C47">
        <v>36396</v>
      </c>
      <c r="D47">
        <f t="shared" ref="D47:D91" si="3">C47/100</f>
        <v>363.96</v>
      </c>
    </row>
    <row r="48" spans="1:4">
      <c r="A48">
        <f t="shared" si="2"/>
        <v>50.755384272274618</v>
      </c>
      <c r="B48">
        <v>507.5538427227462</v>
      </c>
      <c r="C48">
        <v>36348</v>
      </c>
      <c r="D48">
        <f t="shared" si="3"/>
        <v>363.48</v>
      </c>
    </row>
    <row r="49" spans="1:4">
      <c r="A49">
        <f t="shared" si="2"/>
        <v>51.858762191237112</v>
      </c>
      <c r="B49">
        <v>518.58762191237111</v>
      </c>
      <c r="C49">
        <v>36300</v>
      </c>
      <c r="D49">
        <f t="shared" si="3"/>
        <v>363</v>
      </c>
    </row>
    <row r="50" spans="1:4">
      <c r="A50">
        <f t="shared" si="2"/>
        <v>52.962140110199606</v>
      </c>
      <c r="B50">
        <v>529.62140110199607</v>
      </c>
      <c r="C50">
        <v>36252</v>
      </c>
      <c r="D50">
        <f t="shared" si="3"/>
        <v>362.52</v>
      </c>
    </row>
    <row r="51" spans="1:4">
      <c r="A51">
        <f t="shared" si="2"/>
        <v>54.065518029162092</v>
      </c>
      <c r="B51">
        <v>540.65518029162092</v>
      </c>
      <c r="C51">
        <v>36204</v>
      </c>
      <c r="D51">
        <f t="shared" si="3"/>
        <v>362.04</v>
      </c>
    </row>
    <row r="52" spans="1:4">
      <c r="A52">
        <f t="shared" si="2"/>
        <v>55.168895948124586</v>
      </c>
      <c r="B52">
        <v>551.68895948124589</v>
      </c>
      <c r="C52">
        <v>36156</v>
      </c>
      <c r="D52">
        <f t="shared" si="3"/>
        <v>361.56</v>
      </c>
    </row>
    <row r="53" spans="1:4">
      <c r="A53">
        <f t="shared" si="2"/>
        <v>56.272273867087087</v>
      </c>
      <c r="B53">
        <v>562.72273867087085</v>
      </c>
      <c r="C53">
        <v>36064.6</v>
      </c>
      <c r="D53">
        <f t="shared" si="3"/>
        <v>360.64599999999996</v>
      </c>
    </row>
    <row r="54" spans="1:4">
      <c r="A54">
        <f t="shared" si="2"/>
        <v>57.375651786049573</v>
      </c>
      <c r="B54">
        <v>573.75651786049571</v>
      </c>
      <c r="C54">
        <v>35973.199999999997</v>
      </c>
      <c r="D54">
        <f t="shared" si="3"/>
        <v>359.73199999999997</v>
      </c>
    </row>
    <row r="55" spans="1:4">
      <c r="A55">
        <f t="shared" si="2"/>
        <v>58.479029705012067</v>
      </c>
      <c r="B55">
        <v>584.79029705012067</v>
      </c>
      <c r="C55">
        <v>35881.799999999996</v>
      </c>
      <c r="D55">
        <f t="shared" si="3"/>
        <v>358.81799999999998</v>
      </c>
    </row>
    <row r="56" spans="1:4">
      <c r="A56">
        <f t="shared" si="2"/>
        <v>59.582407623974554</v>
      </c>
      <c r="B56">
        <v>595.82407623974552</v>
      </c>
      <c r="C56">
        <v>35790.399999999994</v>
      </c>
      <c r="D56">
        <f t="shared" si="3"/>
        <v>357.90399999999994</v>
      </c>
    </row>
    <row r="57" spans="1:4">
      <c r="A57">
        <f t="shared" si="2"/>
        <v>60.685785542937047</v>
      </c>
      <c r="B57">
        <v>606.85785542937049</v>
      </c>
      <c r="C57">
        <v>35698.999999999993</v>
      </c>
      <c r="D57">
        <f t="shared" si="3"/>
        <v>356.98999999999995</v>
      </c>
    </row>
    <row r="58" spans="1:4">
      <c r="A58">
        <f t="shared" si="2"/>
        <v>61.789163461899548</v>
      </c>
      <c r="B58">
        <v>617.89163461899545</v>
      </c>
      <c r="C58">
        <v>35607.599999999991</v>
      </c>
      <c r="D58">
        <f t="shared" si="3"/>
        <v>356.07599999999991</v>
      </c>
    </row>
    <row r="59" spans="1:4">
      <c r="A59">
        <f t="shared" si="2"/>
        <v>62.892541380862028</v>
      </c>
      <c r="B59">
        <v>628.92541380862031</v>
      </c>
      <c r="C59">
        <v>35516.19999999999</v>
      </c>
      <c r="D59">
        <f t="shared" si="3"/>
        <v>355.16199999999992</v>
      </c>
    </row>
    <row r="60" spans="1:4">
      <c r="A60">
        <f t="shared" si="2"/>
        <v>63.995919299824529</v>
      </c>
      <c r="B60">
        <v>639.95919299824527</v>
      </c>
      <c r="C60">
        <v>35424.799999999988</v>
      </c>
      <c r="D60">
        <f t="shared" si="3"/>
        <v>354.24799999999988</v>
      </c>
    </row>
    <row r="61" spans="1:4">
      <c r="A61">
        <f t="shared" si="2"/>
        <v>65.099297218787015</v>
      </c>
      <c r="B61">
        <v>650.99297218787012</v>
      </c>
      <c r="C61">
        <v>35333.399999999987</v>
      </c>
      <c r="D61">
        <f t="shared" si="3"/>
        <v>353.33399999999989</v>
      </c>
    </row>
    <row r="62" spans="1:4">
      <c r="A62">
        <f t="shared" si="2"/>
        <v>66.202675137749509</v>
      </c>
      <c r="B62">
        <v>662.02675137749509</v>
      </c>
      <c r="C62">
        <v>35242</v>
      </c>
      <c r="D62">
        <f t="shared" si="3"/>
        <v>352.42</v>
      </c>
    </row>
    <row r="63" spans="1:4">
      <c r="A63">
        <f t="shared" si="2"/>
        <v>67.306053056711988</v>
      </c>
      <c r="B63">
        <v>673.06053056711994</v>
      </c>
      <c r="C63">
        <v>35120.277999999998</v>
      </c>
      <c r="D63">
        <f t="shared" si="3"/>
        <v>351.20277999999996</v>
      </c>
    </row>
    <row r="64" spans="1:4">
      <c r="A64">
        <f t="shared" si="2"/>
        <v>68.409430975674496</v>
      </c>
      <c r="B64">
        <v>684.09430975674491</v>
      </c>
      <c r="C64">
        <v>34998.555999999997</v>
      </c>
      <c r="D64">
        <f t="shared" si="3"/>
        <v>349.98555999999996</v>
      </c>
    </row>
    <row r="65" spans="1:4">
      <c r="A65">
        <f t="shared" si="2"/>
        <v>69.51280889463699</v>
      </c>
      <c r="B65">
        <v>695.12808894636987</v>
      </c>
      <c r="C65">
        <v>34876.833999999995</v>
      </c>
      <c r="D65">
        <f t="shared" si="3"/>
        <v>348.76833999999997</v>
      </c>
    </row>
    <row r="66" spans="1:4">
      <c r="A66">
        <f t="shared" si="2"/>
        <v>70.616186813599469</v>
      </c>
      <c r="B66">
        <v>706.16186813599472</v>
      </c>
      <c r="C66">
        <v>34755.111999999994</v>
      </c>
      <c r="D66">
        <f t="shared" si="3"/>
        <v>347.55111999999991</v>
      </c>
    </row>
    <row r="67" spans="1:4">
      <c r="A67">
        <f t="shared" si="2"/>
        <v>71.719564732561963</v>
      </c>
      <c r="B67">
        <v>717.19564732561969</v>
      </c>
      <c r="C67">
        <v>34633.389999999992</v>
      </c>
      <c r="D67">
        <f t="shared" si="3"/>
        <v>346.33389999999991</v>
      </c>
    </row>
    <row r="68" spans="1:4">
      <c r="A68">
        <f t="shared" si="2"/>
        <v>72.822942651524457</v>
      </c>
      <c r="B68">
        <v>728.22942651524454</v>
      </c>
      <c r="C68">
        <v>34511.667999999991</v>
      </c>
      <c r="D68">
        <f t="shared" si="3"/>
        <v>345.11667999999992</v>
      </c>
    </row>
    <row r="69" spans="1:4">
      <c r="A69">
        <f t="shared" si="2"/>
        <v>73.926320570486951</v>
      </c>
      <c r="B69">
        <v>739.26320570486951</v>
      </c>
      <c r="C69">
        <v>34389.945999999989</v>
      </c>
      <c r="D69">
        <f t="shared" si="3"/>
        <v>343.89945999999986</v>
      </c>
    </row>
    <row r="70" spans="1:4">
      <c r="A70">
        <f t="shared" si="2"/>
        <v>75.029698489449444</v>
      </c>
      <c r="B70">
        <v>750.29698489449447</v>
      </c>
      <c r="C70">
        <v>34268.223999999987</v>
      </c>
      <c r="D70">
        <f t="shared" si="3"/>
        <v>342.68223999999987</v>
      </c>
    </row>
    <row r="71" spans="1:4">
      <c r="A71">
        <f t="shared" si="2"/>
        <v>76.133076408411938</v>
      </c>
      <c r="B71">
        <v>761.33076408411932</v>
      </c>
      <c r="C71">
        <v>34146.501999999986</v>
      </c>
      <c r="D71">
        <f t="shared" si="3"/>
        <v>341.46501999999987</v>
      </c>
    </row>
    <row r="72" spans="1:4">
      <c r="A72">
        <f t="shared" si="2"/>
        <v>77.236454327374432</v>
      </c>
      <c r="B72">
        <v>772.36454327374429</v>
      </c>
      <c r="C72">
        <v>34024.78</v>
      </c>
      <c r="D72">
        <f t="shared" si="3"/>
        <v>340.24779999999998</v>
      </c>
    </row>
    <row r="73" spans="1:4">
      <c r="A73">
        <f t="shared" si="2"/>
        <v>78.339832246336911</v>
      </c>
      <c r="B73">
        <v>783.39832246336914</v>
      </c>
      <c r="C73">
        <v>33889.036999999997</v>
      </c>
      <c r="D73">
        <f t="shared" si="3"/>
        <v>338.89036999999996</v>
      </c>
    </row>
    <row r="74" spans="1:4">
      <c r="A74">
        <f t="shared" si="2"/>
        <v>79.443210165299405</v>
      </c>
      <c r="B74">
        <v>794.43210165299411</v>
      </c>
      <c r="C74">
        <v>33753.293999999994</v>
      </c>
      <c r="D74">
        <f t="shared" si="3"/>
        <v>337.53293999999994</v>
      </c>
    </row>
    <row r="75" spans="1:4">
      <c r="A75">
        <f t="shared" si="2"/>
        <v>80.546588084261899</v>
      </c>
      <c r="B75">
        <v>805.46588084261896</v>
      </c>
      <c r="C75">
        <v>33617.550999999992</v>
      </c>
      <c r="D75">
        <f t="shared" si="3"/>
        <v>336.17550999999992</v>
      </c>
    </row>
    <row r="76" spans="1:4">
      <c r="A76">
        <f t="shared" si="2"/>
        <v>81.649966003224392</v>
      </c>
      <c r="B76">
        <v>816.49966003224392</v>
      </c>
      <c r="C76">
        <v>33481.80799999999</v>
      </c>
      <c r="D76">
        <f t="shared" si="3"/>
        <v>334.8180799999999</v>
      </c>
    </row>
    <row r="77" spans="1:4">
      <c r="A77">
        <f t="shared" si="2"/>
        <v>82.753343922186886</v>
      </c>
      <c r="B77">
        <v>827.53343922186889</v>
      </c>
      <c r="C77">
        <v>33346.064999999988</v>
      </c>
      <c r="D77">
        <f t="shared" si="3"/>
        <v>333.46064999999987</v>
      </c>
    </row>
    <row r="78" spans="1:4">
      <c r="A78">
        <f t="shared" si="2"/>
        <v>83.85672184114938</v>
      </c>
      <c r="B78">
        <v>838.56721841149374</v>
      </c>
      <c r="C78">
        <v>33210.321999999986</v>
      </c>
      <c r="D78">
        <f t="shared" si="3"/>
        <v>332.10321999999985</v>
      </c>
    </row>
    <row r="79" spans="1:4">
      <c r="A79">
        <f t="shared" si="2"/>
        <v>84.960099760111873</v>
      </c>
      <c r="B79">
        <v>849.60099760111871</v>
      </c>
      <c r="C79">
        <v>33074.578999999983</v>
      </c>
      <c r="D79">
        <f t="shared" si="3"/>
        <v>330.74578999999983</v>
      </c>
    </row>
    <row r="80" spans="1:4">
      <c r="A80">
        <f t="shared" si="2"/>
        <v>86.063477679074353</v>
      </c>
      <c r="B80">
        <v>860.63477679074356</v>
      </c>
      <c r="C80">
        <v>32938.835999999981</v>
      </c>
      <c r="D80">
        <f t="shared" si="3"/>
        <v>329.38835999999981</v>
      </c>
    </row>
    <row r="81" spans="1:4">
      <c r="A81">
        <f t="shared" si="2"/>
        <v>87.166855598036847</v>
      </c>
      <c r="B81">
        <v>871.66855598036852</v>
      </c>
      <c r="C81">
        <v>32803.092999999979</v>
      </c>
      <c r="D81">
        <f t="shared" si="3"/>
        <v>328.03092999999978</v>
      </c>
    </row>
    <row r="82" spans="1:4">
      <c r="A82">
        <f t="shared" si="2"/>
        <v>88.27023351699934</v>
      </c>
      <c r="B82">
        <v>882.70233516999338</v>
      </c>
      <c r="C82">
        <v>32667.35</v>
      </c>
      <c r="D82">
        <f t="shared" si="3"/>
        <v>326.67349999999999</v>
      </c>
    </row>
    <row r="83" spans="1:4">
      <c r="A83">
        <f t="shared" si="2"/>
        <v>89.373611435961834</v>
      </c>
      <c r="B83">
        <v>893.73611435961834</v>
      </c>
      <c r="C83">
        <v>32531.786</v>
      </c>
      <c r="D83">
        <f t="shared" si="3"/>
        <v>325.31786</v>
      </c>
    </row>
    <row r="84" spans="1:4">
      <c r="A84">
        <f t="shared" si="2"/>
        <v>90.476989354924328</v>
      </c>
      <c r="B84">
        <v>904.76989354924331</v>
      </c>
      <c r="C84">
        <v>32396.222000000002</v>
      </c>
      <c r="D84">
        <f t="shared" si="3"/>
        <v>323.96222</v>
      </c>
    </row>
    <row r="85" spans="1:4">
      <c r="A85">
        <f t="shared" si="2"/>
        <v>91.580367273886822</v>
      </c>
      <c r="B85">
        <v>915.80367273886816</v>
      </c>
      <c r="C85">
        <v>32260.658000000003</v>
      </c>
      <c r="D85">
        <f t="shared" si="3"/>
        <v>322.60658000000001</v>
      </c>
    </row>
    <row r="86" spans="1:4">
      <c r="A86">
        <f t="shared" si="2"/>
        <v>92.683745192849315</v>
      </c>
      <c r="B86">
        <v>926.83745192849312</v>
      </c>
      <c r="C86">
        <v>32125.094000000005</v>
      </c>
      <c r="D86">
        <f t="shared" si="3"/>
        <v>321.25094000000007</v>
      </c>
    </row>
    <row r="87" spans="1:4">
      <c r="A87">
        <f t="shared" si="2"/>
        <v>93.787123111811795</v>
      </c>
      <c r="B87">
        <v>937.87123111811798</v>
      </c>
      <c r="C87">
        <v>31989.530000000006</v>
      </c>
      <c r="D87">
        <f t="shared" si="3"/>
        <v>319.89530000000008</v>
      </c>
    </row>
    <row r="88" spans="1:4">
      <c r="A88">
        <f t="shared" si="2"/>
        <v>94.890501030774288</v>
      </c>
      <c r="B88">
        <v>948.90501030774294</v>
      </c>
      <c r="C88">
        <v>31853.966000000008</v>
      </c>
      <c r="D88">
        <f t="shared" si="3"/>
        <v>318.53966000000008</v>
      </c>
    </row>
    <row r="89" spans="1:4">
      <c r="A89">
        <f t="shared" si="2"/>
        <v>95.993878949736796</v>
      </c>
      <c r="B89">
        <v>959.93878949736791</v>
      </c>
      <c r="C89">
        <v>31718.402000000009</v>
      </c>
      <c r="D89">
        <f t="shared" si="3"/>
        <v>317.18402000000009</v>
      </c>
    </row>
    <row r="90" spans="1:4">
      <c r="A90">
        <f t="shared" si="2"/>
        <v>97.097256868699276</v>
      </c>
      <c r="B90">
        <v>970.97256868699276</v>
      </c>
      <c r="C90">
        <v>31582.838000000011</v>
      </c>
      <c r="D90">
        <f t="shared" si="3"/>
        <v>315.8283800000001</v>
      </c>
    </row>
    <row r="91" spans="1:4">
      <c r="A91">
        <f t="shared" si="2"/>
        <v>98.20063478766177</v>
      </c>
      <c r="B91">
        <v>982.00634787661772</v>
      </c>
      <c r="C91">
        <v>31447.274000000012</v>
      </c>
      <c r="D91">
        <f t="shared" si="3"/>
        <v>314.4727400000001</v>
      </c>
    </row>
    <row r="92" spans="1:4">
      <c r="A92">
        <f t="shared" ref="A92:A130" si="4">B92/10</f>
        <v>99.304012706624263</v>
      </c>
      <c r="B92">
        <v>993.04012706624258</v>
      </c>
      <c r="C92">
        <v>31311.71</v>
      </c>
      <c r="D92">
        <f t="shared" ref="D92:D130" si="5">C92/100</f>
        <v>313.11709999999999</v>
      </c>
    </row>
    <row r="93" spans="1:4">
      <c r="A93">
        <f t="shared" si="4"/>
        <v>100.40739062558676</v>
      </c>
      <c r="B93">
        <v>1004.0739062558675</v>
      </c>
      <c r="C93">
        <v>31176.576999999997</v>
      </c>
      <c r="D93">
        <f t="shared" si="5"/>
        <v>311.76576999999997</v>
      </c>
    </row>
    <row r="94" spans="1:4">
      <c r="A94">
        <f t="shared" si="4"/>
        <v>101.51076854454924</v>
      </c>
      <c r="B94">
        <v>1015.1076854454924</v>
      </c>
      <c r="C94">
        <v>31041.443999999996</v>
      </c>
      <c r="D94">
        <f t="shared" si="5"/>
        <v>310.41443999999996</v>
      </c>
    </row>
    <row r="95" spans="1:4">
      <c r="A95">
        <f t="shared" si="4"/>
        <v>102.61414646351174</v>
      </c>
      <c r="B95">
        <v>1026.1414646351175</v>
      </c>
      <c r="C95">
        <v>30906.310999999994</v>
      </c>
      <c r="D95">
        <f t="shared" si="5"/>
        <v>309.06310999999994</v>
      </c>
    </row>
    <row r="96" spans="1:4">
      <c r="A96">
        <f t="shared" si="4"/>
        <v>103.71752438247422</v>
      </c>
      <c r="B96">
        <v>1037.1752438247422</v>
      </c>
      <c r="C96">
        <v>30771.177999999993</v>
      </c>
      <c r="D96">
        <f t="shared" si="5"/>
        <v>307.71177999999992</v>
      </c>
    </row>
    <row r="97" spans="1:4">
      <c r="A97">
        <f t="shared" si="4"/>
        <v>104.82090230143672</v>
      </c>
      <c r="B97">
        <v>1048.2090230143672</v>
      </c>
      <c r="C97">
        <v>30636.044999999991</v>
      </c>
      <c r="D97">
        <f t="shared" si="5"/>
        <v>306.3604499999999</v>
      </c>
    </row>
    <row r="98" spans="1:4">
      <c r="A98">
        <f t="shared" si="4"/>
        <v>105.92428022039921</v>
      </c>
      <c r="B98">
        <v>1059.2428022039921</v>
      </c>
      <c r="C98">
        <v>30500.911999999989</v>
      </c>
      <c r="D98">
        <f t="shared" si="5"/>
        <v>305.00911999999988</v>
      </c>
    </row>
    <row r="99" spans="1:4">
      <c r="A99">
        <f t="shared" si="4"/>
        <v>107.02765813936171</v>
      </c>
      <c r="B99">
        <v>1070.2765813936171</v>
      </c>
      <c r="C99">
        <v>30365.778999999988</v>
      </c>
      <c r="D99">
        <f t="shared" si="5"/>
        <v>303.65778999999986</v>
      </c>
    </row>
    <row r="100" spans="1:4">
      <c r="A100">
        <f t="shared" si="4"/>
        <v>108.13103605832418</v>
      </c>
      <c r="B100">
        <v>1081.3103605832418</v>
      </c>
      <c r="C100">
        <v>30230.645999999986</v>
      </c>
      <c r="D100">
        <f t="shared" si="5"/>
        <v>302.30645999999984</v>
      </c>
    </row>
    <row r="101" spans="1:4">
      <c r="A101">
        <f t="shared" si="4"/>
        <v>109.23441397728668</v>
      </c>
      <c r="B101">
        <v>1092.3441397728668</v>
      </c>
      <c r="C101">
        <v>30095.512999999984</v>
      </c>
      <c r="D101">
        <f t="shared" si="5"/>
        <v>300.95512999999983</v>
      </c>
    </row>
    <row r="102" spans="1:4">
      <c r="A102">
        <f t="shared" si="4"/>
        <v>110.33779189624917</v>
      </c>
      <c r="B102">
        <v>1103.3779189624918</v>
      </c>
      <c r="C102">
        <v>29960.38</v>
      </c>
      <c r="D102">
        <f t="shared" si="5"/>
        <v>299.60380000000004</v>
      </c>
    </row>
    <row r="103" spans="1:4">
      <c r="A103">
        <f t="shared" si="4"/>
        <v>111.44116981521168</v>
      </c>
      <c r="B103">
        <v>1114.4116981521167</v>
      </c>
      <c r="C103">
        <v>29825.277730000002</v>
      </c>
      <c r="D103">
        <f t="shared" si="5"/>
        <v>298.25277729999999</v>
      </c>
    </row>
    <row r="104" spans="1:4">
      <c r="A104">
        <f t="shared" si="4"/>
        <v>112.54454773417417</v>
      </c>
      <c r="B104">
        <v>1125.4454773417417</v>
      </c>
      <c r="C104">
        <v>29690.175460000002</v>
      </c>
      <c r="D104">
        <f t="shared" si="5"/>
        <v>296.9017546</v>
      </c>
    </row>
    <row r="105" spans="1:4">
      <c r="A105">
        <f t="shared" si="4"/>
        <v>113.64792565313664</v>
      </c>
      <c r="B105">
        <v>1136.4792565313664</v>
      </c>
      <c r="C105">
        <v>29555.073190000003</v>
      </c>
      <c r="D105">
        <f t="shared" si="5"/>
        <v>295.55073190000002</v>
      </c>
    </row>
    <row r="106" spans="1:4">
      <c r="A106">
        <f t="shared" si="4"/>
        <v>114.75130357209915</v>
      </c>
      <c r="B106">
        <v>1147.5130357209914</v>
      </c>
      <c r="C106">
        <v>29419.970920000003</v>
      </c>
      <c r="D106">
        <f t="shared" si="5"/>
        <v>294.19970920000003</v>
      </c>
    </row>
    <row r="107" spans="1:4">
      <c r="A107">
        <f t="shared" si="4"/>
        <v>115.85468149106164</v>
      </c>
      <c r="B107">
        <v>1158.5468149106164</v>
      </c>
      <c r="C107">
        <v>29284.868650000004</v>
      </c>
      <c r="D107">
        <f t="shared" si="5"/>
        <v>292.84868650000004</v>
      </c>
    </row>
    <row r="108" spans="1:4">
      <c r="A108">
        <f t="shared" si="4"/>
        <v>116.95805941002413</v>
      </c>
      <c r="B108">
        <v>1169.5805941002413</v>
      </c>
      <c r="C108">
        <v>29149.766380000005</v>
      </c>
      <c r="D108">
        <f t="shared" si="5"/>
        <v>291.49766380000005</v>
      </c>
    </row>
    <row r="109" spans="1:4">
      <c r="A109">
        <f t="shared" si="4"/>
        <v>118.06143732898663</v>
      </c>
      <c r="B109">
        <v>1180.6143732898663</v>
      </c>
      <c r="C109">
        <v>29014.664110000005</v>
      </c>
      <c r="D109">
        <f t="shared" si="5"/>
        <v>290.14664110000007</v>
      </c>
    </row>
    <row r="110" spans="1:4">
      <c r="A110">
        <f t="shared" si="4"/>
        <v>119.16481524794911</v>
      </c>
      <c r="B110">
        <v>1191.648152479491</v>
      </c>
      <c r="C110">
        <v>28879.561840000006</v>
      </c>
      <c r="D110">
        <f t="shared" si="5"/>
        <v>288.79561840000008</v>
      </c>
    </row>
    <row r="111" spans="1:4">
      <c r="A111">
        <f t="shared" si="4"/>
        <v>120.2681931669116</v>
      </c>
      <c r="B111">
        <v>1202.681931669116</v>
      </c>
      <c r="C111">
        <v>28744.459570000006</v>
      </c>
      <c r="D111">
        <f t="shared" si="5"/>
        <v>287.44459570000004</v>
      </c>
    </row>
    <row r="112" spans="1:4">
      <c r="A112">
        <f t="shared" si="4"/>
        <v>121.37157108587409</v>
      </c>
      <c r="B112">
        <v>1213.715710858741</v>
      </c>
      <c r="C112">
        <v>28609.357300000007</v>
      </c>
      <c r="D112">
        <f t="shared" si="5"/>
        <v>286.09357300000005</v>
      </c>
    </row>
    <row r="113" spans="1:4">
      <c r="A113">
        <f t="shared" si="4"/>
        <v>122.47494900483659</v>
      </c>
      <c r="B113">
        <v>1224.7494900483659</v>
      </c>
      <c r="C113">
        <v>28474.255030000008</v>
      </c>
      <c r="D113">
        <f t="shared" si="5"/>
        <v>284.74255030000006</v>
      </c>
    </row>
    <row r="114" spans="1:4">
      <c r="A114">
        <f t="shared" si="4"/>
        <v>123.5783269237991</v>
      </c>
      <c r="B114">
        <v>1235.7832692379909</v>
      </c>
      <c r="C114">
        <v>28339.152760000008</v>
      </c>
      <c r="D114">
        <f t="shared" si="5"/>
        <v>283.39152760000007</v>
      </c>
    </row>
    <row r="115" spans="1:4">
      <c r="A115">
        <f t="shared" si="4"/>
        <v>124.68170484276156</v>
      </c>
      <c r="B115">
        <v>1246.8170484276156</v>
      </c>
      <c r="C115">
        <v>28204.050490000009</v>
      </c>
      <c r="D115">
        <f t="shared" si="5"/>
        <v>282.04050490000009</v>
      </c>
    </row>
    <row r="116" spans="1:4">
      <c r="A116">
        <f t="shared" si="4"/>
        <v>125.78508276172406</v>
      </c>
      <c r="B116">
        <v>1257.8508276172406</v>
      </c>
      <c r="C116">
        <v>28068.948220000009</v>
      </c>
      <c r="D116">
        <f t="shared" si="5"/>
        <v>280.6894822000001</v>
      </c>
    </row>
    <row r="117" spans="1:4">
      <c r="A117">
        <f t="shared" si="4"/>
        <v>126.88846068068656</v>
      </c>
      <c r="B117">
        <v>1268.8846068068656</v>
      </c>
      <c r="C117">
        <v>27933.84595000001</v>
      </c>
      <c r="D117">
        <f t="shared" si="5"/>
        <v>279.33845950000011</v>
      </c>
    </row>
    <row r="118" spans="1:4">
      <c r="A118">
        <f t="shared" si="4"/>
        <v>127.99183859964906</v>
      </c>
      <c r="B118">
        <v>1279.9183859964905</v>
      </c>
      <c r="C118">
        <v>27798.74368000001</v>
      </c>
      <c r="D118">
        <f t="shared" si="5"/>
        <v>277.98743680000013</v>
      </c>
    </row>
    <row r="119" spans="1:4">
      <c r="A119">
        <f t="shared" si="4"/>
        <v>129.09521651861152</v>
      </c>
      <c r="B119">
        <v>1290.9521651861153</v>
      </c>
      <c r="C119">
        <v>27663.641410000011</v>
      </c>
      <c r="D119">
        <f t="shared" si="5"/>
        <v>276.63641410000014</v>
      </c>
    </row>
    <row r="120" spans="1:4">
      <c r="A120">
        <f t="shared" si="4"/>
        <v>130.19859443757403</v>
      </c>
      <c r="B120">
        <v>1301.9859443757402</v>
      </c>
      <c r="C120">
        <v>27528.539140000012</v>
      </c>
      <c r="D120">
        <f t="shared" si="5"/>
        <v>275.28539140000009</v>
      </c>
    </row>
    <row r="121" spans="1:4">
      <c r="A121">
        <f t="shared" si="4"/>
        <v>131.30197235653651</v>
      </c>
      <c r="B121">
        <v>1313.0197235653652</v>
      </c>
      <c r="C121">
        <v>27393.436870000012</v>
      </c>
      <c r="D121">
        <f t="shared" si="5"/>
        <v>273.93436870000011</v>
      </c>
    </row>
    <row r="122" spans="1:4">
      <c r="A122">
        <f t="shared" si="4"/>
        <v>132.40535027549902</v>
      </c>
      <c r="B122">
        <v>1324.0535027549902</v>
      </c>
      <c r="C122">
        <v>27258.334600000013</v>
      </c>
      <c r="D122">
        <f t="shared" si="5"/>
        <v>272.58334600000012</v>
      </c>
    </row>
    <row r="123" spans="1:4">
      <c r="A123">
        <f t="shared" si="4"/>
        <v>133.50872819446153</v>
      </c>
      <c r="B123">
        <v>1335.0872819446151</v>
      </c>
      <c r="C123">
        <v>27123.232330000013</v>
      </c>
      <c r="D123">
        <f t="shared" si="5"/>
        <v>271.23232330000013</v>
      </c>
    </row>
    <row r="124" spans="1:4">
      <c r="A124">
        <f t="shared" si="4"/>
        <v>134.61210611342398</v>
      </c>
      <c r="B124">
        <v>1346.1210611342399</v>
      </c>
      <c r="C124">
        <v>26988.130060000014</v>
      </c>
      <c r="D124">
        <f t="shared" si="5"/>
        <v>269.88130060000015</v>
      </c>
    </row>
    <row r="125" spans="1:4">
      <c r="A125">
        <f t="shared" si="4"/>
        <v>135.71548403238648</v>
      </c>
      <c r="B125">
        <v>1357.1548403238648</v>
      </c>
      <c r="C125">
        <v>26853.027790000015</v>
      </c>
      <c r="D125">
        <f t="shared" si="5"/>
        <v>268.53027790000016</v>
      </c>
    </row>
    <row r="126" spans="1:4">
      <c r="A126">
        <f t="shared" si="4"/>
        <v>136.81886195134899</v>
      </c>
      <c r="B126">
        <v>1368.1886195134898</v>
      </c>
      <c r="C126">
        <v>26717.925520000015</v>
      </c>
      <c r="D126">
        <f t="shared" si="5"/>
        <v>267.17925520000017</v>
      </c>
    </row>
    <row r="127" spans="1:4">
      <c r="A127">
        <f t="shared" si="4"/>
        <v>137.92223987031147</v>
      </c>
      <c r="B127">
        <v>1379.2223987031148</v>
      </c>
      <c r="C127">
        <v>26582.823250000016</v>
      </c>
      <c r="D127">
        <f t="shared" si="5"/>
        <v>265.82823250000018</v>
      </c>
    </row>
    <row r="128" spans="1:4">
      <c r="A128">
        <f t="shared" si="4"/>
        <v>139.02561778927398</v>
      </c>
      <c r="B128">
        <v>1390.2561778927397</v>
      </c>
      <c r="C128">
        <v>26447.720980000016</v>
      </c>
      <c r="D128">
        <f t="shared" si="5"/>
        <v>264.47720980000014</v>
      </c>
    </row>
    <row r="129" spans="1:4">
      <c r="A129">
        <f t="shared" si="4"/>
        <v>140.12899570823646</v>
      </c>
      <c r="B129">
        <v>1401.2899570823645</v>
      </c>
      <c r="C129">
        <v>26312.618710000017</v>
      </c>
      <c r="D129">
        <f t="shared" si="5"/>
        <v>263.12618710000015</v>
      </c>
    </row>
    <row r="130" spans="1:4">
      <c r="A130">
        <f t="shared" si="4"/>
        <v>141.23237362719894</v>
      </c>
      <c r="B130">
        <v>1412.3237362719894</v>
      </c>
      <c r="C130">
        <v>26177.516440000018</v>
      </c>
      <c r="D130">
        <f t="shared" si="5"/>
        <v>261.77516440000016</v>
      </c>
    </row>
    <row r="131" spans="1:4">
      <c r="A131">
        <f t="shared" ref="A131:A194" si="6">B131/10</f>
        <v>142.33575154616145</v>
      </c>
      <c r="B131">
        <v>1423.3575154616144</v>
      </c>
      <c r="C131">
        <v>26042.414170000018</v>
      </c>
      <c r="D131">
        <f t="shared" ref="D131:D194" si="7">C131/100</f>
        <v>260.42414170000018</v>
      </c>
    </row>
    <row r="132" spans="1:4">
      <c r="A132">
        <f t="shared" si="6"/>
        <v>143.43912946512393</v>
      </c>
      <c r="B132">
        <v>1434.3912946512394</v>
      </c>
      <c r="C132">
        <v>25907.311900000019</v>
      </c>
      <c r="D132">
        <f t="shared" si="7"/>
        <v>259.07311900000019</v>
      </c>
    </row>
    <row r="133" spans="1:4">
      <c r="A133">
        <f t="shared" si="6"/>
        <v>144.54250738408643</v>
      </c>
      <c r="B133">
        <v>1445.4250738408643</v>
      </c>
      <c r="C133">
        <v>25772.209630000019</v>
      </c>
      <c r="D133">
        <f t="shared" si="7"/>
        <v>257.7220963000002</v>
      </c>
    </row>
    <row r="134" spans="1:4">
      <c r="A134">
        <f t="shared" si="6"/>
        <v>145.64588530304891</v>
      </c>
      <c r="B134">
        <v>1456.4588530304891</v>
      </c>
      <c r="C134">
        <v>25637.10736000002</v>
      </c>
      <c r="D134">
        <f t="shared" si="7"/>
        <v>256.37107360000022</v>
      </c>
    </row>
    <row r="135" spans="1:4">
      <c r="A135">
        <f t="shared" si="6"/>
        <v>146.74926322201139</v>
      </c>
      <c r="B135">
        <v>1467.492632220114</v>
      </c>
      <c r="C135">
        <v>25502.005090000021</v>
      </c>
      <c r="D135">
        <f t="shared" si="7"/>
        <v>255.0200509000002</v>
      </c>
    </row>
    <row r="136" spans="1:4">
      <c r="A136">
        <f t="shared" si="6"/>
        <v>147.8526411409739</v>
      </c>
      <c r="B136">
        <v>1478.526411409739</v>
      </c>
      <c r="C136">
        <v>25366.902820000021</v>
      </c>
      <c r="D136">
        <f t="shared" si="7"/>
        <v>253.66902820000021</v>
      </c>
    </row>
    <row r="137" spans="1:4">
      <c r="A137">
        <f t="shared" si="6"/>
        <v>148.95601905993641</v>
      </c>
      <c r="B137">
        <v>1489.560190599364</v>
      </c>
      <c r="C137">
        <v>25231.800550000022</v>
      </c>
      <c r="D137">
        <f t="shared" si="7"/>
        <v>252.31800550000023</v>
      </c>
    </row>
    <row r="138" spans="1:4">
      <c r="A138">
        <f t="shared" si="6"/>
        <v>150.05939697889889</v>
      </c>
      <c r="B138">
        <v>1500.5939697889889</v>
      </c>
      <c r="C138">
        <v>25096.698280000022</v>
      </c>
      <c r="D138">
        <f t="shared" si="7"/>
        <v>250.96698280000021</v>
      </c>
    </row>
    <row r="139" spans="1:4">
      <c r="A139">
        <f t="shared" si="6"/>
        <v>151.16277489786137</v>
      </c>
      <c r="B139">
        <v>1511.6277489786137</v>
      </c>
      <c r="C139">
        <v>24961.596010000023</v>
      </c>
      <c r="D139">
        <f t="shared" si="7"/>
        <v>249.61596010000022</v>
      </c>
    </row>
    <row r="140" spans="1:4">
      <c r="A140">
        <f t="shared" si="6"/>
        <v>152.26615281682388</v>
      </c>
      <c r="B140">
        <v>1522.6615281682386</v>
      </c>
      <c r="C140">
        <v>24826.493740000024</v>
      </c>
      <c r="D140">
        <f t="shared" si="7"/>
        <v>248.26493740000024</v>
      </c>
    </row>
    <row r="141" spans="1:4">
      <c r="A141">
        <f t="shared" si="6"/>
        <v>153.36953073578636</v>
      </c>
      <c r="B141">
        <v>1533.6953073578636</v>
      </c>
      <c r="C141">
        <v>24691.391470000024</v>
      </c>
      <c r="D141">
        <f t="shared" si="7"/>
        <v>246.91391470000025</v>
      </c>
    </row>
    <row r="142" spans="1:4">
      <c r="A142">
        <f t="shared" si="6"/>
        <v>154.47290865474886</v>
      </c>
      <c r="B142">
        <v>1544.7290865474886</v>
      </c>
      <c r="C142">
        <v>24556.289200000025</v>
      </c>
      <c r="D142">
        <f t="shared" si="7"/>
        <v>245.56289200000026</v>
      </c>
    </row>
    <row r="143" spans="1:4">
      <c r="A143">
        <f t="shared" si="6"/>
        <v>155.57628657371134</v>
      </c>
      <c r="B143">
        <v>1555.7628657371133</v>
      </c>
      <c r="C143">
        <v>24421.186930000025</v>
      </c>
      <c r="D143">
        <f t="shared" si="7"/>
        <v>244.21186930000025</v>
      </c>
    </row>
    <row r="144" spans="1:4">
      <c r="A144">
        <f t="shared" si="6"/>
        <v>156.67966449267382</v>
      </c>
      <c r="B144">
        <v>1566.7966449267383</v>
      </c>
      <c r="C144">
        <v>24286.084660000026</v>
      </c>
      <c r="D144">
        <f t="shared" si="7"/>
        <v>242.86084660000026</v>
      </c>
    </row>
    <row r="145" spans="1:4">
      <c r="A145">
        <f t="shared" si="6"/>
        <v>157.78304241163633</v>
      </c>
      <c r="B145">
        <v>1577.8304241163632</v>
      </c>
      <c r="C145">
        <v>24150.982390000026</v>
      </c>
      <c r="D145">
        <f t="shared" si="7"/>
        <v>241.50982390000027</v>
      </c>
    </row>
    <row r="146" spans="1:4">
      <c r="A146">
        <f t="shared" si="6"/>
        <v>158.88642033059881</v>
      </c>
      <c r="B146">
        <v>1588.8642033059882</v>
      </c>
      <c r="C146">
        <v>24015.880120000027</v>
      </c>
      <c r="D146">
        <f t="shared" si="7"/>
        <v>240.15880120000028</v>
      </c>
    </row>
    <row r="147" spans="1:4">
      <c r="A147">
        <f t="shared" si="6"/>
        <v>159.98979824956132</v>
      </c>
      <c r="B147">
        <v>1599.8979824956132</v>
      </c>
      <c r="C147">
        <v>23880.777850000028</v>
      </c>
      <c r="D147">
        <f t="shared" si="7"/>
        <v>238.80777850000027</v>
      </c>
    </row>
    <row r="148" spans="1:4">
      <c r="A148">
        <f t="shared" si="6"/>
        <v>161.0931761685238</v>
      </c>
      <c r="B148">
        <v>1610.9317616852379</v>
      </c>
      <c r="C148">
        <v>23745.675580000028</v>
      </c>
      <c r="D148">
        <f t="shared" si="7"/>
        <v>237.45675580000028</v>
      </c>
    </row>
    <row r="149" spans="1:4">
      <c r="A149">
        <f t="shared" si="6"/>
        <v>162.19655408748628</v>
      </c>
      <c r="B149">
        <v>1621.9655408748629</v>
      </c>
      <c r="C149">
        <v>23610.573310000029</v>
      </c>
      <c r="D149">
        <f t="shared" si="7"/>
        <v>236.10573310000029</v>
      </c>
    </row>
    <row r="150" spans="1:4">
      <c r="A150">
        <f t="shared" si="6"/>
        <v>163.29993200644878</v>
      </c>
      <c r="B150">
        <v>1632.9993200644878</v>
      </c>
      <c r="C150">
        <v>23475.471040000029</v>
      </c>
      <c r="D150">
        <f t="shared" si="7"/>
        <v>234.75471040000031</v>
      </c>
    </row>
    <row r="151" spans="1:4">
      <c r="A151">
        <f t="shared" si="6"/>
        <v>164.40330992541129</v>
      </c>
      <c r="B151">
        <v>1644.0330992541128</v>
      </c>
      <c r="C151">
        <v>23340.36877000003</v>
      </c>
      <c r="D151">
        <f t="shared" si="7"/>
        <v>233.40368770000029</v>
      </c>
    </row>
    <row r="152" spans="1:4">
      <c r="A152">
        <f t="shared" si="6"/>
        <v>165.50668784437377</v>
      </c>
      <c r="B152">
        <v>1655.0668784437378</v>
      </c>
      <c r="C152">
        <v>23205.266500000031</v>
      </c>
      <c r="D152">
        <f t="shared" si="7"/>
        <v>232.0526650000003</v>
      </c>
    </row>
    <row r="153" spans="1:4">
      <c r="A153">
        <f t="shared" si="6"/>
        <v>166.61006576333625</v>
      </c>
      <c r="B153">
        <v>1666.1006576333625</v>
      </c>
      <c r="C153">
        <v>23070.164230000031</v>
      </c>
      <c r="D153">
        <f t="shared" si="7"/>
        <v>230.70164230000032</v>
      </c>
    </row>
    <row r="154" spans="1:4">
      <c r="A154">
        <f t="shared" si="6"/>
        <v>167.71344368229876</v>
      </c>
      <c r="B154">
        <v>1677.1344368229875</v>
      </c>
      <c r="C154">
        <v>22935.061960000032</v>
      </c>
      <c r="D154">
        <f t="shared" si="7"/>
        <v>229.35061960000033</v>
      </c>
    </row>
    <row r="155" spans="1:4">
      <c r="A155">
        <f t="shared" si="6"/>
        <v>168.81682160126124</v>
      </c>
      <c r="B155">
        <v>1688.1682160126124</v>
      </c>
      <c r="C155">
        <v>22799.959690000032</v>
      </c>
      <c r="D155">
        <f t="shared" si="7"/>
        <v>227.99959690000031</v>
      </c>
    </row>
    <row r="156" spans="1:4">
      <c r="A156">
        <f t="shared" si="6"/>
        <v>169.92019952022375</v>
      </c>
      <c r="B156">
        <v>1699.2019952022374</v>
      </c>
      <c r="C156">
        <v>22664.857420000033</v>
      </c>
      <c r="D156">
        <f t="shared" si="7"/>
        <v>226.64857420000033</v>
      </c>
    </row>
    <row r="157" spans="1:4">
      <c r="A157">
        <f t="shared" si="6"/>
        <v>171.02357743918623</v>
      </c>
      <c r="B157">
        <v>1710.2357743918624</v>
      </c>
      <c r="C157">
        <v>22529.755150000034</v>
      </c>
      <c r="D157">
        <f t="shared" si="7"/>
        <v>225.29755150000034</v>
      </c>
    </row>
    <row r="158" spans="1:4">
      <c r="A158">
        <f t="shared" si="6"/>
        <v>172.12695535814871</v>
      </c>
      <c r="B158">
        <v>1721.2695535814871</v>
      </c>
      <c r="C158">
        <v>22394.652880000034</v>
      </c>
      <c r="D158">
        <f t="shared" si="7"/>
        <v>223.94652880000035</v>
      </c>
    </row>
    <row r="159" spans="1:4">
      <c r="A159">
        <f t="shared" si="6"/>
        <v>173.23033327711121</v>
      </c>
      <c r="B159">
        <v>1732.3033327711121</v>
      </c>
      <c r="C159">
        <v>22259.550610000035</v>
      </c>
      <c r="D159">
        <f t="shared" si="7"/>
        <v>222.59550610000034</v>
      </c>
    </row>
    <row r="160" spans="1:4">
      <c r="A160">
        <f t="shared" si="6"/>
        <v>174.33371119607369</v>
      </c>
      <c r="B160">
        <v>1743.337111960737</v>
      </c>
      <c r="C160">
        <v>22124.448340000035</v>
      </c>
      <c r="D160">
        <f t="shared" si="7"/>
        <v>221.24448340000035</v>
      </c>
    </row>
    <row r="161" spans="1:4">
      <c r="A161">
        <f t="shared" si="6"/>
        <v>175.4370891150362</v>
      </c>
      <c r="B161">
        <v>1754.370891150362</v>
      </c>
      <c r="C161">
        <v>21989.346070000036</v>
      </c>
      <c r="D161">
        <f t="shared" si="7"/>
        <v>219.89346070000036</v>
      </c>
    </row>
    <row r="162" spans="1:4">
      <c r="A162">
        <f t="shared" si="6"/>
        <v>176.54046703399868</v>
      </c>
      <c r="B162">
        <v>1765.4046703399868</v>
      </c>
      <c r="C162">
        <v>21854.243800000037</v>
      </c>
      <c r="D162">
        <f t="shared" si="7"/>
        <v>218.54243800000037</v>
      </c>
    </row>
    <row r="163" spans="1:4">
      <c r="A163">
        <f t="shared" si="6"/>
        <v>177.64384495296116</v>
      </c>
      <c r="B163">
        <v>1776.4384495296117</v>
      </c>
      <c r="C163">
        <v>21719.141530000037</v>
      </c>
      <c r="D163">
        <f t="shared" si="7"/>
        <v>217.19141530000036</v>
      </c>
    </row>
    <row r="164" spans="1:4">
      <c r="A164">
        <f t="shared" si="6"/>
        <v>178.74722287192367</v>
      </c>
      <c r="B164">
        <v>1787.4722287192367</v>
      </c>
      <c r="C164">
        <v>21584.039260000038</v>
      </c>
      <c r="D164">
        <f t="shared" si="7"/>
        <v>215.84039260000037</v>
      </c>
    </row>
    <row r="165" spans="1:4">
      <c r="A165">
        <f t="shared" si="6"/>
        <v>179.85060079088618</v>
      </c>
      <c r="B165">
        <v>1798.5060079088616</v>
      </c>
      <c r="C165">
        <v>21448.936990000038</v>
      </c>
      <c r="D165">
        <f t="shared" si="7"/>
        <v>214.48936990000038</v>
      </c>
    </row>
    <row r="166" spans="1:4">
      <c r="A166">
        <f t="shared" si="6"/>
        <v>180.95397870984866</v>
      </c>
      <c r="B166">
        <v>1809.5397870984866</v>
      </c>
      <c r="C166">
        <v>21313.834720000039</v>
      </c>
      <c r="D166">
        <f t="shared" si="7"/>
        <v>213.1383472000004</v>
      </c>
    </row>
    <row r="167" spans="1:4">
      <c r="A167">
        <f t="shared" si="6"/>
        <v>182.05735662881114</v>
      </c>
      <c r="B167">
        <v>1820.5735662881114</v>
      </c>
      <c r="C167">
        <v>21178.73245000004</v>
      </c>
      <c r="D167">
        <f t="shared" si="7"/>
        <v>211.78732450000041</v>
      </c>
    </row>
    <row r="168" spans="1:4">
      <c r="A168">
        <f t="shared" si="6"/>
        <v>183.16073454777364</v>
      </c>
      <c r="B168">
        <v>1831.6073454777363</v>
      </c>
      <c r="C168">
        <v>21043.63018000004</v>
      </c>
      <c r="D168">
        <f t="shared" si="7"/>
        <v>210.43630180000039</v>
      </c>
    </row>
    <row r="169" spans="1:4">
      <c r="A169">
        <f t="shared" si="6"/>
        <v>184.26411246673612</v>
      </c>
      <c r="B169">
        <v>1842.6411246673613</v>
      </c>
      <c r="C169">
        <v>20908.527910000041</v>
      </c>
      <c r="D169">
        <f t="shared" si="7"/>
        <v>209.08527910000041</v>
      </c>
    </row>
    <row r="170" spans="1:4">
      <c r="A170">
        <f t="shared" si="6"/>
        <v>185.36749038569863</v>
      </c>
      <c r="B170">
        <v>1853.6749038569862</v>
      </c>
      <c r="C170">
        <v>20773.425640000041</v>
      </c>
      <c r="D170">
        <f t="shared" si="7"/>
        <v>207.73425640000042</v>
      </c>
    </row>
    <row r="171" spans="1:4">
      <c r="A171">
        <f t="shared" si="6"/>
        <v>186.47086830466111</v>
      </c>
      <c r="B171">
        <v>1864.7086830466112</v>
      </c>
      <c r="C171">
        <v>20638.323370000042</v>
      </c>
      <c r="D171">
        <f t="shared" si="7"/>
        <v>206.38323370000043</v>
      </c>
    </row>
    <row r="172" spans="1:4">
      <c r="A172">
        <f t="shared" si="6"/>
        <v>187.57424622362359</v>
      </c>
      <c r="B172">
        <v>1875.742462236236</v>
      </c>
      <c r="C172">
        <v>20503.221100000042</v>
      </c>
      <c r="D172">
        <f t="shared" si="7"/>
        <v>205.03221100000042</v>
      </c>
    </row>
    <row r="173" spans="1:4">
      <c r="A173">
        <f t="shared" si="6"/>
        <v>188.6776241425861</v>
      </c>
      <c r="B173">
        <v>1886.7762414258609</v>
      </c>
      <c r="C173">
        <v>20368.118830000043</v>
      </c>
      <c r="D173">
        <f t="shared" si="7"/>
        <v>203.68118830000043</v>
      </c>
    </row>
    <row r="174" spans="1:4">
      <c r="A174">
        <f t="shared" si="6"/>
        <v>189.78100206154858</v>
      </c>
      <c r="B174">
        <v>1897.8100206154859</v>
      </c>
      <c r="C174">
        <v>20233.016560000044</v>
      </c>
      <c r="D174">
        <f t="shared" si="7"/>
        <v>202.33016560000044</v>
      </c>
    </row>
    <row r="175" spans="1:4">
      <c r="A175">
        <f t="shared" si="6"/>
        <v>190.88437998051108</v>
      </c>
      <c r="B175">
        <v>1908.8437998051108</v>
      </c>
      <c r="C175">
        <v>20097.914290000044</v>
      </c>
      <c r="D175">
        <f t="shared" si="7"/>
        <v>200.97914290000045</v>
      </c>
    </row>
    <row r="176" spans="1:4">
      <c r="A176">
        <f t="shared" si="6"/>
        <v>191.98775789947359</v>
      </c>
      <c r="B176">
        <v>1919.8775789947358</v>
      </c>
      <c r="C176">
        <v>19962.812020000045</v>
      </c>
      <c r="D176">
        <f t="shared" si="7"/>
        <v>199.62812020000044</v>
      </c>
    </row>
    <row r="177" spans="1:4">
      <c r="A177">
        <f t="shared" si="6"/>
        <v>193.09113581843604</v>
      </c>
      <c r="B177">
        <v>1930.9113581843606</v>
      </c>
      <c r="C177">
        <v>19827.709750000045</v>
      </c>
      <c r="D177">
        <f t="shared" si="7"/>
        <v>198.27709750000045</v>
      </c>
    </row>
    <row r="178" spans="1:4">
      <c r="A178">
        <f t="shared" si="6"/>
        <v>194.19451373739855</v>
      </c>
      <c r="B178">
        <v>1941.9451373739855</v>
      </c>
      <c r="C178">
        <v>19692.607480000046</v>
      </c>
      <c r="D178">
        <f t="shared" si="7"/>
        <v>196.92607480000046</v>
      </c>
    </row>
    <row r="179" spans="1:4">
      <c r="A179">
        <f t="shared" si="6"/>
        <v>195.29789165636106</v>
      </c>
      <c r="B179">
        <v>1952.9789165636105</v>
      </c>
      <c r="C179">
        <v>19557.505210000047</v>
      </c>
      <c r="D179">
        <f t="shared" si="7"/>
        <v>195.57505210000048</v>
      </c>
    </row>
    <row r="180" spans="1:4">
      <c r="A180">
        <f t="shared" si="6"/>
        <v>196.40126957532354</v>
      </c>
      <c r="B180">
        <v>1964.0126957532354</v>
      </c>
      <c r="C180">
        <v>19422.402940000047</v>
      </c>
      <c r="D180">
        <f t="shared" si="7"/>
        <v>194.22402940000046</v>
      </c>
    </row>
    <row r="181" spans="1:4">
      <c r="A181">
        <f t="shared" si="6"/>
        <v>197.50464749428605</v>
      </c>
      <c r="B181">
        <v>1975.0464749428604</v>
      </c>
      <c r="C181">
        <v>19287.300670000048</v>
      </c>
      <c r="D181">
        <f t="shared" si="7"/>
        <v>192.87300670000047</v>
      </c>
    </row>
    <row r="182" spans="1:4">
      <c r="A182">
        <f t="shared" si="6"/>
        <v>198.60802541324853</v>
      </c>
      <c r="B182">
        <v>1986.0802541324852</v>
      </c>
      <c r="C182">
        <v>19152.198400000048</v>
      </c>
      <c r="D182">
        <f t="shared" si="7"/>
        <v>191.52198400000049</v>
      </c>
    </row>
    <row r="183" spans="1:4">
      <c r="A183">
        <f t="shared" si="6"/>
        <v>199.71140333221101</v>
      </c>
      <c r="B183">
        <v>1997.1140333221101</v>
      </c>
      <c r="C183">
        <v>19017.096130000049</v>
      </c>
      <c r="D183">
        <f t="shared" si="7"/>
        <v>190.1709613000005</v>
      </c>
    </row>
    <row r="184" spans="1:4">
      <c r="A184">
        <f t="shared" si="6"/>
        <v>200.81478125117351</v>
      </c>
      <c r="B184">
        <v>2008.1478125117351</v>
      </c>
      <c r="C184">
        <v>18881.99386000005</v>
      </c>
      <c r="D184">
        <f t="shared" si="7"/>
        <v>188.81993860000048</v>
      </c>
    </row>
    <row r="185" spans="1:4">
      <c r="A185">
        <f t="shared" si="6"/>
        <v>201.91815917013599</v>
      </c>
      <c r="B185">
        <v>2019.18159170136</v>
      </c>
      <c r="C185">
        <v>18746.89159000005</v>
      </c>
      <c r="D185">
        <f t="shared" si="7"/>
        <v>187.4689159000005</v>
      </c>
    </row>
    <row r="186" spans="1:4">
      <c r="A186">
        <f t="shared" si="6"/>
        <v>203.02153708909847</v>
      </c>
      <c r="B186">
        <v>2030.2153708909848</v>
      </c>
      <c r="C186">
        <v>18611.789320000051</v>
      </c>
      <c r="D186">
        <f t="shared" si="7"/>
        <v>186.11789320000051</v>
      </c>
    </row>
    <row r="187" spans="1:4">
      <c r="A187">
        <f t="shared" si="6"/>
        <v>204.12491500806098</v>
      </c>
      <c r="B187">
        <v>2041.2491500806098</v>
      </c>
      <c r="C187">
        <v>18476.687050000051</v>
      </c>
      <c r="D187">
        <f t="shared" si="7"/>
        <v>184.76687050000052</v>
      </c>
    </row>
    <row r="188" spans="1:4">
      <c r="A188">
        <f t="shared" si="6"/>
        <v>205.22829292702349</v>
      </c>
      <c r="B188">
        <v>2052.2829292702349</v>
      </c>
      <c r="C188">
        <v>18341.584780000052</v>
      </c>
      <c r="D188">
        <f t="shared" si="7"/>
        <v>183.41584780000051</v>
      </c>
    </row>
    <row r="189" spans="1:4">
      <c r="A189">
        <f t="shared" si="6"/>
        <v>206.33167084598594</v>
      </c>
      <c r="B189">
        <v>2063.3167084598595</v>
      </c>
      <c r="C189">
        <v>18206.482510000053</v>
      </c>
      <c r="D189">
        <f t="shared" si="7"/>
        <v>182.06482510000052</v>
      </c>
    </row>
    <row r="190" spans="1:4">
      <c r="A190">
        <f t="shared" si="6"/>
        <v>207.43504876494845</v>
      </c>
      <c r="B190">
        <v>2074.3504876494844</v>
      </c>
      <c r="C190">
        <v>18071.380240000053</v>
      </c>
      <c r="D190">
        <f t="shared" si="7"/>
        <v>180.71380240000053</v>
      </c>
    </row>
    <row r="191" spans="1:4">
      <c r="A191">
        <f t="shared" si="6"/>
        <v>208.53842668391093</v>
      </c>
      <c r="B191">
        <v>2085.3842668391094</v>
      </c>
      <c r="C191">
        <v>17936.277970000054</v>
      </c>
      <c r="D191">
        <f t="shared" si="7"/>
        <v>179.36277970000054</v>
      </c>
    </row>
    <row r="192" spans="1:4">
      <c r="A192">
        <f t="shared" si="6"/>
        <v>209.64180460287344</v>
      </c>
      <c r="B192">
        <v>2096.4180460287344</v>
      </c>
      <c r="C192">
        <v>17801.175700000054</v>
      </c>
      <c r="D192">
        <f t="shared" si="7"/>
        <v>178.01175700000056</v>
      </c>
    </row>
    <row r="193" spans="1:4">
      <c r="A193">
        <f t="shared" si="6"/>
        <v>210.74518252183594</v>
      </c>
      <c r="B193">
        <v>2107.4518252183593</v>
      </c>
      <c r="C193">
        <v>17666.073430000055</v>
      </c>
      <c r="D193">
        <f t="shared" si="7"/>
        <v>176.66073430000054</v>
      </c>
    </row>
    <row r="194" spans="1:4">
      <c r="A194">
        <f t="shared" si="6"/>
        <v>211.84856044079842</v>
      </c>
      <c r="B194">
        <v>2118.4856044079843</v>
      </c>
      <c r="C194">
        <v>17530.971160000056</v>
      </c>
      <c r="D194">
        <f t="shared" si="7"/>
        <v>175.30971160000055</v>
      </c>
    </row>
    <row r="195" spans="1:4">
      <c r="A195">
        <f t="shared" ref="A195:A258" si="8">B195/10</f>
        <v>212.95193835976093</v>
      </c>
      <c r="B195">
        <v>2129.5193835976092</v>
      </c>
      <c r="C195">
        <v>17395.868890000056</v>
      </c>
      <c r="D195">
        <f t="shared" ref="D195:D258" si="9">C195/100</f>
        <v>173.95868890000057</v>
      </c>
    </row>
    <row r="196" spans="1:4">
      <c r="A196">
        <f t="shared" si="8"/>
        <v>214.05531627872341</v>
      </c>
      <c r="B196">
        <v>2140.5531627872342</v>
      </c>
      <c r="C196">
        <v>17260.766620000057</v>
      </c>
      <c r="D196">
        <f t="shared" si="9"/>
        <v>172.60766620000058</v>
      </c>
    </row>
    <row r="197" spans="1:4">
      <c r="A197">
        <f t="shared" si="8"/>
        <v>215.15869419768592</v>
      </c>
      <c r="B197">
        <v>2151.5869419768592</v>
      </c>
      <c r="C197">
        <v>17125.664350000057</v>
      </c>
      <c r="D197">
        <f t="shared" si="9"/>
        <v>171.25664350000056</v>
      </c>
    </row>
    <row r="198" spans="1:4">
      <c r="A198">
        <f t="shared" si="8"/>
        <v>216.26207211664837</v>
      </c>
      <c r="B198">
        <v>2162.6207211664837</v>
      </c>
      <c r="C198">
        <v>16990.562080000058</v>
      </c>
      <c r="D198">
        <f t="shared" si="9"/>
        <v>169.90562080000058</v>
      </c>
    </row>
    <row r="199" spans="1:4">
      <c r="A199">
        <f t="shared" si="8"/>
        <v>217.36545003561088</v>
      </c>
      <c r="B199">
        <v>2173.6545003561087</v>
      </c>
      <c r="C199">
        <v>16855.459810000058</v>
      </c>
      <c r="D199">
        <f t="shared" si="9"/>
        <v>168.55459810000059</v>
      </c>
    </row>
    <row r="200" spans="1:4">
      <c r="A200">
        <f t="shared" si="8"/>
        <v>218.46882795457336</v>
      </c>
      <c r="B200">
        <v>2184.6882795457336</v>
      </c>
      <c r="C200">
        <v>16720.357540000059</v>
      </c>
      <c r="D200">
        <f t="shared" si="9"/>
        <v>167.2035754000006</v>
      </c>
    </row>
    <row r="201" spans="1:4">
      <c r="A201">
        <f t="shared" si="8"/>
        <v>219.57220587353586</v>
      </c>
      <c r="B201">
        <v>2195.7220587353586</v>
      </c>
      <c r="C201">
        <v>16585.25527000006</v>
      </c>
      <c r="D201">
        <f t="shared" si="9"/>
        <v>165.85255270000059</v>
      </c>
    </row>
    <row r="202" spans="1:4">
      <c r="A202">
        <f t="shared" si="8"/>
        <v>220.67558379249834</v>
      </c>
      <c r="B202">
        <v>2206.7558379249836</v>
      </c>
      <c r="C202">
        <v>16450.15300000006</v>
      </c>
      <c r="D202">
        <f t="shared" si="9"/>
        <v>164.5015300000006</v>
      </c>
    </row>
    <row r="203" spans="1:4">
      <c r="A203">
        <f t="shared" si="8"/>
        <v>221.77896171146085</v>
      </c>
      <c r="B203">
        <v>2217.7896171146085</v>
      </c>
      <c r="C203">
        <v>16315.050730000061</v>
      </c>
      <c r="D203">
        <f t="shared" si="9"/>
        <v>163.15050730000061</v>
      </c>
    </row>
    <row r="204" spans="1:4">
      <c r="A204">
        <f t="shared" si="8"/>
        <v>222.88233963042336</v>
      </c>
      <c r="B204">
        <v>2228.8233963042335</v>
      </c>
      <c r="C204">
        <v>16179.948460000061</v>
      </c>
      <c r="D204">
        <f t="shared" si="9"/>
        <v>161.79948460000062</v>
      </c>
    </row>
    <row r="205" spans="1:4">
      <c r="A205">
        <f t="shared" si="8"/>
        <v>223.98571754938584</v>
      </c>
      <c r="B205">
        <v>2239.8571754938584</v>
      </c>
      <c r="C205">
        <v>16044.846190000062</v>
      </c>
      <c r="D205">
        <f t="shared" si="9"/>
        <v>160.44846190000061</v>
      </c>
    </row>
    <row r="206" spans="1:4">
      <c r="A206">
        <f t="shared" si="8"/>
        <v>225.08909546834835</v>
      </c>
      <c r="B206">
        <v>2250.8909546834834</v>
      </c>
      <c r="C206">
        <v>15909.743920000063</v>
      </c>
      <c r="D206">
        <f t="shared" si="9"/>
        <v>159.09743920000062</v>
      </c>
    </row>
    <row r="207" spans="1:4">
      <c r="A207">
        <f t="shared" si="8"/>
        <v>226.19247338731083</v>
      </c>
      <c r="B207">
        <v>2261.9247338731084</v>
      </c>
      <c r="C207">
        <v>15774.641650000063</v>
      </c>
      <c r="D207">
        <f t="shared" si="9"/>
        <v>157.74641650000063</v>
      </c>
    </row>
    <row r="208" spans="1:4">
      <c r="A208">
        <f t="shared" si="8"/>
        <v>227.29585130627328</v>
      </c>
      <c r="B208">
        <v>2272.9585130627329</v>
      </c>
      <c r="C208">
        <v>15639.539380000064</v>
      </c>
      <c r="D208">
        <f t="shared" si="9"/>
        <v>156.39539380000065</v>
      </c>
    </row>
    <row r="209" spans="1:4">
      <c r="A209">
        <f t="shared" si="8"/>
        <v>228.39922922523579</v>
      </c>
      <c r="B209">
        <v>2283.9922922523579</v>
      </c>
      <c r="C209">
        <v>15504.437110000064</v>
      </c>
      <c r="D209">
        <f t="shared" si="9"/>
        <v>155.04437110000063</v>
      </c>
    </row>
    <row r="210" spans="1:4">
      <c r="A210">
        <f t="shared" si="8"/>
        <v>229.50260714419829</v>
      </c>
      <c r="B210">
        <v>2295.0260714419828</v>
      </c>
      <c r="C210">
        <v>15369.334840000065</v>
      </c>
      <c r="D210">
        <f t="shared" si="9"/>
        <v>153.69334840000064</v>
      </c>
    </row>
    <row r="211" spans="1:4">
      <c r="A211">
        <f t="shared" si="8"/>
        <v>230.60598506316077</v>
      </c>
      <c r="B211">
        <v>2306.0598506316078</v>
      </c>
      <c r="C211">
        <v>15234.232570000066</v>
      </c>
      <c r="D211">
        <f t="shared" si="9"/>
        <v>152.34232570000066</v>
      </c>
    </row>
    <row r="212" spans="1:4">
      <c r="A212">
        <f t="shared" si="8"/>
        <v>231.70936298212328</v>
      </c>
      <c r="B212">
        <v>2317.0936298212328</v>
      </c>
      <c r="C212">
        <v>15099.130300000066</v>
      </c>
      <c r="D212">
        <f t="shared" si="9"/>
        <v>150.99130300000067</v>
      </c>
    </row>
    <row r="213" spans="1:4">
      <c r="A213">
        <f t="shared" si="8"/>
        <v>232.81274090108576</v>
      </c>
      <c r="B213">
        <v>2328.1274090108577</v>
      </c>
      <c r="C213">
        <v>14964.028030000067</v>
      </c>
      <c r="D213">
        <f t="shared" si="9"/>
        <v>149.64028030000065</v>
      </c>
    </row>
    <row r="214" spans="1:4">
      <c r="A214">
        <f t="shared" si="8"/>
        <v>233.91611882004827</v>
      </c>
      <c r="B214">
        <v>2339.1611882004827</v>
      </c>
      <c r="C214">
        <v>14828.925760000067</v>
      </c>
      <c r="D214">
        <f t="shared" si="9"/>
        <v>148.28925760000067</v>
      </c>
    </row>
    <row r="215" spans="1:4">
      <c r="A215">
        <f t="shared" si="8"/>
        <v>235.01949673901078</v>
      </c>
      <c r="B215">
        <v>2350.1949673901076</v>
      </c>
      <c r="C215">
        <v>14693.823490000068</v>
      </c>
      <c r="D215">
        <f t="shared" si="9"/>
        <v>146.93823490000068</v>
      </c>
    </row>
    <row r="216" spans="1:4">
      <c r="A216">
        <f t="shared" si="8"/>
        <v>236.12287465797326</v>
      </c>
      <c r="B216">
        <v>2361.2287465797326</v>
      </c>
      <c r="C216">
        <v>14558.721220000069</v>
      </c>
      <c r="D216">
        <f t="shared" si="9"/>
        <v>145.58721220000069</v>
      </c>
    </row>
    <row r="217" spans="1:4">
      <c r="A217">
        <f t="shared" si="8"/>
        <v>237.22625257693571</v>
      </c>
      <c r="B217">
        <v>2372.2625257693571</v>
      </c>
      <c r="C217">
        <v>14423.618950000069</v>
      </c>
      <c r="D217">
        <f t="shared" si="9"/>
        <v>144.23618950000071</v>
      </c>
    </row>
    <row r="218" spans="1:4">
      <c r="A218">
        <f t="shared" si="8"/>
        <v>238.32963049589821</v>
      </c>
      <c r="B218">
        <v>2383.2963049589821</v>
      </c>
      <c r="C218">
        <v>14288.51668000007</v>
      </c>
      <c r="D218">
        <f t="shared" si="9"/>
        <v>142.88516680000069</v>
      </c>
    </row>
    <row r="219" spans="1:4">
      <c r="A219">
        <f t="shared" si="8"/>
        <v>239.43300841486069</v>
      </c>
      <c r="B219">
        <v>2394.3300841486071</v>
      </c>
      <c r="C219">
        <v>14153.41441000007</v>
      </c>
      <c r="D219">
        <f t="shared" si="9"/>
        <v>141.5341441000007</v>
      </c>
    </row>
    <row r="220" spans="1:4">
      <c r="A220">
        <f t="shared" si="8"/>
        <v>240.5363863338232</v>
      </c>
      <c r="B220">
        <v>2405.363863338232</v>
      </c>
      <c r="C220">
        <v>14018.312140000071</v>
      </c>
      <c r="D220">
        <f t="shared" si="9"/>
        <v>140.18312140000072</v>
      </c>
    </row>
    <row r="221" spans="1:4">
      <c r="A221">
        <f t="shared" si="8"/>
        <v>241.63976425278571</v>
      </c>
      <c r="B221">
        <v>2416.397642527857</v>
      </c>
      <c r="C221">
        <v>13883.209870000072</v>
      </c>
      <c r="D221">
        <f t="shared" si="9"/>
        <v>138.83209870000073</v>
      </c>
    </row>
    <row r="222" spans="1:4">
      <c r="A222">
        <f t="shared" si="8"/>
        <v>242.74314217174819</v>
      </c>
      <c r="B222">
        <v>2427.431421717482</v>
      </c>
      <c r="C222">
        <v>13748.107600000072</v>
      </c>
      <c r="D222">
        <f t="shared" si="9"/>
        <v>137.48107600000071</v>
      </c>
    </row>
    <row r="223" spans="1:4">
      <c r="A223">
        <f t="shared" si="8"/>
        <v>243.8465200907107</v>
      </c>
      <c r="B223">
        <v>2438.4652009071069</v>
      </c>
      <c r="C223">
        <v>13613.005330000073</v>
      </c>
      <c r="D223">
        <f t="shared" si="9"/>
        <v>136.13005330000072</v>
      </c>
    </row>
    <row r="224" spans="1:4">
      <c r="A224">
        <f t="shared" si="8"/>
        <v>244.94989800967318</v>
      </c>
      <c r="B224">
        <v>2449.4989800967319</v>
      </c>
      <c r="C224">
        <v>13477.903060000073</v>
      </c>
      <c r="D224">
        <f t="shared" si="9"/>
        <v>134.77903060000074</v>
      </c>
    </row>
    <row r="225" spans="1:4">
      <c r="A225">
        <f t="shared" si="8"/>
        <v>246.05327592863568</v>
      </c>
      <c r="B225">
        <v>2460.5327592863568</v>
      </c>
      <c r="C225">
        <v>13342.800790000074</v>
      </c>
      <c r="D225">
        <f t="shared" si="9"/>
        <v>133.42800790000075</v>
      </c>
    </row>
    <row r="226" spans="1:4">
      <c r="A226">
        <f t="shared" si="8"/>
        <v>247.15665384759819</v>
      </c>
      <c r="B226">
        <v>2471.5665384759818</v>
      </c>
      <c r="C226">
        <v>13207.698520000074</v>
      </c>
      <c r="D226">
        <f t="shared" si="9"/>
        <v>132.07698520000073</v>
      </c>
    </row>
    <row r="227" spans="1:4">
      <c r="A227">
        <f t="shared" si="8"/>
        <v>248.26003176656064</v>
      </c>
      <c r="B227">
        <v>2482.6003176656063</v>
      </c>
      <c r="C227">
        <v>13072.596250000075</v>
      </c>
      <c r="D227">
        <f t="shared" si="9"/>
        <v>130.72596250000075</v>
      </c>
    </row>
    <row r="228" spans="1:4">
      <c r="A228">
        <f t="shared" si="8"/>
        <v>249.36340968552312</v>
      </c>
      <c r="B228">
        <v>2493.6340968552313</v>
      </c>
      <c r="C228">
        <v>12937.493980000076</v>
      </c>
      <c r="D228">
        <f t="shared" si="9"/>
        <v>129.37493980000076</v>
      </c>
    </row>
    <row r="229" spans="1:4">
      <c r="A229">
        <f t="shared" si="8"/>
        <v>250.46678760448563</v>
      </c>
      <c r="B229">
        <v>2504.6678760448563</v>
      </c>
      <c r="C229">
        <v>12802.391710000076</v>
      </c>
      <c r="D229">
        <f t="shared" si="9"/>
        <v>128.02391710000077</v>
      </c>
    </row>
    <row r="230" spans="1:4">
      <c r="A230">
        <f t="shared" si="8"/>
        <v>251.57016552344811</v>
      </c>
      <c r="B230">
        <v>2515.7016552344812</v>
      </c>
      <c r="C230">
        <v>12667.289440000077</v>
      </c>
      <c r="D230">
        <f t="shared" si="9"/>
        <v>126.67289440000077</v>
      </c>
    </row>
    <row r="231" spans="1:4">
      <c r="A231">
        <f t="shared" si="8"/>
        <v>252.67354344241062</v>
      </c>
      <c r="B231">
        <v>2526.7354344241062</v>
      </c>
      <c r="C231">
        <v>12532.187170000077</v>
      </c>
      <c r="D231">
        <f t="shared" si="9"/>
        <v>125.32187170000077</v>
      </c>
    </row>
    <row r="232" spans="1:4">
      <c r="A232">
        <f t="shared" si="8"/>
        <v>253.77692136137313</v>
      </c>
      <c r="B232">
        <v>2537.7692136137312</v>
      </c>
      <c r="C232">
        <v>12397.084900000078</v>
      </c>
      <c r="D232">
        <f t="shared" si="9"/>
        <v>123.97084900000078</v>
      </c>
    </row>
    <row r="233" spans="1:4">
      <c r="A233">
        <f t="shared" si="8"/>
        <v>254.88029928033561</v>
      </c>
      <c r="B233">
        <v>2548.8029928033561</v>
      </c>
      <c r="C233">
        <v>12261.982630000079</v>
      </c>
      <c r="D233">
        <f t="shared" si="9"/>
        <v>122.61982630000078</v>
      </c>
    </row>
    <row r="234" spans="1:4">
      <c r="A234">
        <f t="shared" si="8"/>
        <v>255.98367719929811</v>
      </c>
      <c r="B234">
        <v>2559.8367719929811</v>
      </c>
      <c r="C234">
        <v>12126.880360000079</v>
      </c>
      <c r="D234">
        <f t="shared" si="9"/>
        <v>121.26880360000079</v>
      </c>
    </row>
    <row r="235" spans="1:4">
      <c r="A235">
        <f t="shared" si="8"/>
        <v>257.08705511826059</v>
      </c>
      <c r="B235">
        <v>2570.8705511826061</v>
      </c>
      <c r="C235">
        <v>11991.77809000008</v>
      </c>
      <c r="D235">
        <f t="shared" si="9"/>
        <v>119.91778090000079</v>
      </c>
    </row>
    <row r="236" spans="1:4">
      <c r="A236">
        <f t="shared" si="8"/>
        <v>258.19043303722304</v>
      </c>
      <c r="B236">
        <v>2581.9043303722306</v>
      </c>
      <c r="C236">
        <v>11856.67582000008</v>
      </c>
      <c r="D236">
        <f t="shared" si="9"/>
        <v>118.56675820000081</v>
      </c>
    </row>
    <row r="237" spans="1:4">
      <c r="A237">
        <f t="shared" si="8"/>
        <v>259.29381095618555</v>
      </c>
      <c r="B237">
        <v>2592.9381095618555</v>
      </c>
      <c r="C237">
        <v>11721.573550000081</v>
      </c>
      <c r="D237">
        <f t="shared" si="9"/>
        <v>117.2157355000008</v>
      </c>
    </row>
    <row r="238" spans="1:4">
      <c r="A238">
        <f t="shared" si="8"/>
        <v>260.39718887514806</v>
      </c>
      <c r="B238">
        <v>2603.9718887514805</v>
      </c>
      <c r="C238">
        <v>11586.471280000082</v>
      </c>
      <c r="D238">
        <f t="shared" si="9"/>
        <v>115.86471280000082</v>
      </c>
    </row>
    <row r="239" spans="1:4">
      <c r="A239">
        <f t="shared" si="8"/>
        <v>261.50056679411057</v>
      </c>
      <c r="B239">
        <v>2615.0056679411055</v>
      </c>
      <c r="C239">
        <v>11451.369010000082</v>
      </c>
      <c r="D239">
        <f t="shared" si="9"/>
        <v>114.51369010000082</v>
      </c>
    </row>
    <row r="240" spans="1:4">
      <c r="A240">
        <f t="shared" si="8"/>
        <v>262.60394471307302</v>
      </c>
      <c r="B240">
        <v>2626.0394471307304</v>
      </c>
      <c r="C240">
        <v>11316.266740000083</v>
      </c>
      <c r="D240">
        <f t="shared" si="9"/>
        <v>113.16266740000083</v>
      </c>
    </row>
    <row r="241" spans="1:4">
      <c r="A241">
        <f t="shared" si="8"/>
        <v>263.70732263203553</v>
      </c>
      <c r="B241">
        <v>2637.0732263203554</v>
      </c>
      <c r="C241">
        <v>11181.164470000083</v>
      </c>
      <c r="D241">
        <f t="shared" si="9"/>
        <v>111.81164470000084</v>
      </c>
    </row>
    <row r="242" spans="1:4">
      <c r="A242">
        <f t="shared" si="8"/>
        <v>264.81070055099804</v>
      </c>
      <c r="B242">
        <v>2648.1070055099804</v>
      </c>
      <c r="C242">
        <v>11046.062200000084</v>
      </c>
      <c r="D242">
        <f t="shared" si="9"/>
        <v>110.46062200000084</v>
      </c>
    </row>
    <row r="243" spans="1:4">
      <c r="A243">
        <f t="shared" si="8"/>
        <v>265.91407846996054</v>
      </c>
      <c r="B243">
        <v>2659.1407846996053</v>
      </c>
      <c r="C243">
        <v>10910.959930000085</v>
      </c>
      <c r="D243">
        <f t="shared" si="9"/>
        <v>109.10959930000085</v>
      </c>
    </row>
    <row r="244" spans="1:4">
      <c r="A244">
        <f t="shared" si="8"/>
        <v>267.01745638892305</v>
      </c>
      <c r="B244">
        <v>2670.1745638892303</v>
      </c>
      <c r="C244">
        <v>10775.857660000085</v>
      </c>
      <c r="D244">
        <f t="shared" si="9"/>
        <v>107.75857660000085</v>
      </c>
    </row>
    <row r="245" spans="1:4">
      <c r="A245">
        <f t="shared" si="8"/>
        <v>268.1208343078855</v>
      </c>
      <c r="B245">
        <v>2681.2083430788553</v>
      </c>
      <c r="C245">
        <v>10640.755390000086</v>
      </c>
      <c r="D245">
        <f t="shared" si="9"/>
        <v>106.40755390000086</v>
      </c>
    </row>
    <row r="246" spans="1:4">
      <c r="A246">
        <f t="shared" si="8"/>
        <v>269.22421222684795</v>
      </c>
      <c r="B246">
        <v>2692.2421222684798</v>
      </c>
      <c r="C246">
        <v>10505.653120000086</v>
      </c>
      <c r="D246">
        <f t="shared" si="9"/>
        <v>105.05653120000086</v>
      </c>
    </row>
    <row r="247" spans="1:4">
      <c r="A247">
        <f t="shared" si="8"/>
        <v>270.32759014581046</v>
      </c>
      <c r="B247">
        <v>2703.2759014581047</v>
      </c>
      <c r="C247">
        <v>10370.550850000087</v>
      </c>
      <c r="D247">
        <f t="shared" si="9"/>
        <v>103.70550850000087</v>
      </c>
    </row>
    <row r="248" spans="1:4">
      <c r="A248">
        <f t="shared" si="8"/>
        <v>271.43096806477297</v>
      </c>
      <c r="B248">
        <v>2714.3096806477297</v>
      </c>
      <c r="C248">
        <v>10235.448580000088</v>
      </c>
      <c r="D248">
        <f t="shared" si="9"/>
        <v>102.35448580000087</v>
      </c>
    </row>
    <row r="249" spans="1:4">
      <c r="A249">
        <f t="shared" si="8"/>
        <v>272.53434598373548</v>
      </c>
      <c r="B249">
        <v>2725.3434598373547</v>
      </c>
      <c r="C249">
        <v>10100.346310000088</v>
      </c>
      <c r="D249">
        <f t="shared" si="9"/>
        <v>101.00346310000089</v>
      </c>
    </row>
    <row r="250" spans="1:4">
      <c r="A250">
        <f t="shared" si="8"/>
        <v>273.63772390269799</v>
      </c>
      <c r="B250">
        <v>2736.3772390269796</v>
      </c>
      <c r="C250">
        <v>9965.2440400000887</v>
      </c>
      <c r="D250">
        <f t="shared" si="9"/>
        <v>99.652440400000884</v>
      </c>
    </row>
    <row r="251" spans="1:4">
      <c r="A251">
        <f t="shared" si="8"/>
        <v>274.74110182166044</v>
      </c>
      <c r="B251">
        <v>2747.4110182166046</v>
      </c>
      <c r="C251">
        <v>9830.1417700000893</v>
      </c>
      <c r="D251">
        <f t="shared" si="9"/>
        <v>98.301417700000897</v>
      </c>
    </row>
    <row r="252" spans="1:4">
      <c r="A252">
        <f t="shared" si="8"/>
        <v>275.84447974062294</v>
      </c>
      <c r="B252">
        <v>2758.4447974062296</v>
      </c>
      <c r="C252">
        <v>9695.0395000000899</v>
      </c>
      <c r="D252">
        <f t="shared" si="9"/>
        <v>96.950395000000896</v>
      </c>
    </row>
    <row r="253" spans="1:4">
      <c r="A253">
        <f t="shared" si="8"/>
        <v>276.94785765958545</v>
      </c>
      <c r="B253">
        <v>2769.4785765958545</v>
      </c>
      <c r="C253">
        <v>9559.9372300000905</v>
      </c>
      <c r="D253">
        <f t="shared" si="9"/>
        <v>95.599372300000908</v>
      </c>
    </row>
    <row r="254" spans="1:4">
      <c r="A254">
        <f t="shared" si="8"/>
        <v>278.05123557854796</v>
      </c>
      <c r="B254">
        <v>2780.5123557854795</v>
      </c>
      <c r="C254">
        <v>9424.8349600000911</v>
      </c>
      <c r="D254">
        <f t="shared" si="9"/>
        <v>94.248349600000907</v>
      </c>
    </row>
    <row r="255" spans="1:4">
      <c r="A255">
        <f t="shared" si="8"/>
        <v>279.15461349751047</v>
      </c>
      <c r="B255">
        <v>2791.5461349751045</v>
      </c>
      <c r="C255">
        <v>9289.7326900000917</v>
      </c>
      <c r="D255">
        <f t="shared" si="9"/>
        <v>92.89732690000092</v>
      </c>
    </row>
    <row r="256" spans="1:4">
      <c r="A256">
        <f t="shared" si="8"/>
        <v>280.25799141647292</v>
      </c>
      <c r="B256">
        <v>2802.579914164729</v>
      </c>
      <c r="C256">
        <v>9154.6304200000923</v>
      </c>
      <c r="D256">
        <f t="shared" si="9"/>
        <v>91.546304200000918</v>
      </c>
    </row>
    <row r="257" spans="1:4">
      <c r="A257">
        <f t="shared" si="8"/>
        <v>281.36136933543537</v>
      </c>
      <c r="B257">
        <v>2813.6136933543539</v>
      </c>
      <c r="C257">
        <v>9019.5281500000929</v>
      </c>
      <c r="D257">
        <f t="shared" si="9"/>
        <v>90.195281500000931</v>
      </c>
    </row>
    <row r="258" spans="1:4">
      <c r="A258">
        <f t="shared" si="8"/>
        <v>282.46474725439788</v>
      </c>
      <c r="B258">
        <v>2824.6474725439789</v>
      </c>
      <c r="C258">
        <v>8884.4258800000935</v>
      </c>
      <c r="D258">
        <f t="shared" si="9"/>
        <v>88.844258800000929</v>
      </c>
    </row>
    <row r="259" spans="1:4">
      <c r="A259">
        <f t="shared" ref="A259:A322" si="10">B259/10</f>
        <v>283.56812517336039</v>
      </c>
      <c r="B259">
        <v>2835.6812517336039</v>
      </c>
      <c r="C259">
        <v>8749.323610000094</v>
      </c>
      <c r="D259">
        <f t="shared" ref="D259:D322" si="11">C259/100</f>
        <v>87.493236100000942</v>
      </c>
    </row>
    <row r="260" spans="1:4">
      <c r="A260">
        <f t="shared" si="10"/>
        <v>284.67150309232289</v>
      </c>
      <c r="B260">
        <v>2846.7150309232288</v>
      </c>
      <c r="C260">
        <v>8614.2213400000946</v>
      </c>
      <c r="D260">
        <f t="shared" si="11"/>
        <v>86.142213400000941</v>
      </c>
    </row>
    <row r="261" spans="1:4">
      <c r="A261">
        <f t="shared" si="10"/>
        <v>285.7748810112854</v>
      </c>
      <c r="B261">
        <v>2857.7488101128538</v>
      </c>
      <c r="C261">
        <v>8479.1190700000952</v>
      </c>
      <c r="D261">
        <f t="shared" si="11"/>
        <v>84.791190700000953</v>
      </c>
    </row>
    <row r="262" spans="1:4">
      <c r="A262">
        <f t="shared" si="10"/>
        <v>286.87825893024785</v>
      </c>
      <c r="B262">
        <v>2868.7825893024788</v>
      </c>
      <c r="C262">
        <v>8344.0168000000958</v>
      </c>
      <c r="D262">
        <f t="shared" si="11"/>
        <v>83.440168000000952</v>
      </c>
    </row>
    <row r="263" spans="1:4">
      <c r="A263">
        <f t="shared" si="10"/>
        <v>287.98163684921036</v>
      </c>
      <c r="B263">
        <v>2879.8163684921037</v>
      </c>
      <c r="C263">
        <v>8208.9145300000964</v>
      </c>
      <c r="D263">
        <f t="shared" si="11"/>
        <v>82.089145300000965</v>
      </c>
    </row>
    <row r="264" spans="1:4">
      <c r="A264">
        <f t="shared" si="10"/>
        <v>289.08501476817287</v>
      </c>
      <c r="B264">
        <v>2890.8501476817287</v>
      </c>
      <c r="C264">
        <v>8073.8122600000961</v>
      </c>
      <c r="D264">
        <f t="shared" si="11"/>
        <v>80.738122600000963</v>
      </c>
    </row>
    <row r="265" spans="1:4">
      <c r="A265">
        <f t="shared" si="10"/>
        <v>290.18839268713532</v>
      </c>
      <c r="B265">
        <v>2901.8839268713532</v>
      </c>
      <c r="C265">
        <v>7938.7099900000958</v>
      </c>
      <c r="D265">
        <f t="shared" si="11"/>
        <v>79.387099900000962</v>
      </c>
    </row>
    <row r="266" spans="1:4">
      <c r="A266">
        <f t="shared" si="10"/>
        <v>291.29177060609783</v>
      </c>
      <c r="B266">
        <v>2912.9177060609782</v>
      </c>
      <c r="C266">
        <v>7803.6077200000955</v>
      </c>
      <c r="D266">
        <f t="shared" si="11"/>
        <v>78.03607720000096</v>
      </c>
    </row>
    <row r="267" spans="1:4">
      <c r="A267">
        <f t="shared" si="10"/>
        <v>292.39514852506034</v>
      </c>
      <c r="B267">
        <v>2923.9514852506031</v>
      </c>
      <c r="C267">
        <v>7668.5054500000952</v>
      </c>
      <c r="D267">
        <f t="shared" si="11"/>
        <v>76.685054500000945</v>
      </c>
    </row>
    <row r="268" spans="1:4">
      <c r="A268">
        <f t="shared" si="10"/>
        <v>293.49852644402279</v>
      </c>
      <c r="B268">
        <v>2934.9852644402281</v>
      </c>
      <c r="C268">
        <v>7533.4031800000948</v>
      </c>
      <c r="D268">
        <f t="shared" si="11"/>
        <v>75.334031800000943</v>
      </c>
    </row>
    <row r="269" spans="1:4">
      <c r="A269">
        <f t="shared" si="10"/>
        <v>294.60190436298529</v>
      </c>
      <c r="B269">
        <v>2946.0190436298531</v>
      </c>
      <c r="C269">
        <v>7398.3009100000945</v>
      </c>
      <c r="D269">
        <f t="shared" si="11"/>
        <v>73.983009100000942</v>
      </c>
    </row>
    <row r="270" spans="1:4">
      <c r="A270">
        <f t="shared" si="10"/>
        <v>295.7052822819478</v>
      </c>
      <c r="B270">
        <v>2957.052822819478</v>
      </c>
      <c r="C270">
        <v>7263.1986400000942</v>
      </c>
      <c r="D270">
        <f t="shared" si="11"/>
        <v>72.63198640000094</v>
      </c>
    </row>
    <row r="271" spans="1:4">
      <c r="A271">
        <f t="shared" si="10"/>
        <v>296.80866020091031</v>
      </c>
      <c r="B271">
        <v>2968.086602009103</v>
      </c>
      <c r="C271">
        <v>7128.0963700000939</v>
      </c>
      <c r="D271">
        <f t="shared" si="11"/>
        <v>71.280963700000939</v>
      </c>
    </row>
    <row r="272" spans="1:4">
      <c r="A272">
        <f t="shared" si="10"/>
        <v>297.91203811987282</v>
      </c>
      <c r="B272">
        <v>2979.120381198728</v>
      </c>
      <c r="C272">
        <v>6992.9941000000936</v>
      </c>
      <c r="D272">
        <f t="shared" si="11"/>
        <v>69.929941000000937</v>
      </c>
    </row>
    <row r="273" spans="1:4">
      <c r="A273">
        <f t="shared" si="10"/>
        <v>299.01541603883527</v>
      </c>
      <c r="B273">
        <v>2990.1541603883529</v>
      </c>
      <c r="C273">
        <v>6857.8918300000933</v>
      </c>
      <c r="D273">
        <f t="shared" si="11"/>
        <v>68.578918300000936</v>
      </c>
    </row>
    <row r="274" spans="1:4">
      <c r="A274">
        <f t="shared" si="10"/>
        <v>300.11879395779778</v>
      </c>
      <c r="B274">
        <v>3001.1879395779779</v>
      </c>
      <c r="C274">
        <v>6722.7895600000929</v>
      </c>
      <c r="D274">
        <f t="shared" si="11"/>
        <v>67.227895600000934</v>
      </c>
    </row>
    <row r="275" spans="1:4">
      <c r="A275">
        <f t="shared" si="10"/>
        <v>301.22217187676023</v>
      </c>
      <c r="B275">
        <v>3012.2217187676024</v>
      </c>
      <c r="C275">
        <v>6587.6872900000926</v>
      </c>
      <c r="D275">
        <f t="shared" si="11"/>
        <v>65.876872900000933</v>
      </c>
    </row>
    <row r="276" spans="1:4">
      <c r="A276">
        <f t="shared" si="10"/>
        <v>302.32554979572274</v>
      </c>
      <c r="B276">
        <v>3023.2554979572274</v>
      </c>
      <c r="C276">
        <v>6452.5850200000923</v>
      </c>
      <c r="D276">
        <f t="shared" si="11"/>
        <v>64.525850200000917</v>
      </c>
    </row>
    <row r="277" spans="1:4">
      <c r="A277">
        <f t="shared" si="10"/>
        <v>303.42892771468524</v>
      </c>
      <c r="B277">
        <v>3034.2892771468523</v>
      </c>
      <c r="C277">
        <v>6317.482750000092</v>
      </c>
      <c r="D277">
        <f t="shared" si="11"/>
        <v>63.174827500000923</v>
      </c>
    </row>
    <row r="278" spans="1:4">
      <c r="A278">
        <f t="shared" si="10"/>
        <v>304.53230563364775</v>
      </c>
      <c r="B278">
        <v>3045.3230563364773</v>
      </c>
      <c r="C278">
        <v>6182.3804800000917</v>
      </c>
      <c r="D278">
        <f t="shared" si="11"/>
        <v>61.823804800000914</v>
      </c>
    </row>
    <row r="279" spans="1:4">
      <c r="A279">
        <f t="shared" si="10"/>
        <v>305.6356835526102</v>
      </c>
      <c r="B279">
        <v>3056.3568355261023</v>
      </c>
      <c r="C279">
        <v>6047.2782100000913</v>
      </c>
      <c r="D279">
        <f t="shared" si="11"/>
        <v>60.472782100000913</v>
      </c>
    </row>
    <row r="280" spans="1:4">
      <c r="A280">
        <f t="shared" si="10"/>
        <v>306.73906147157271</v>
      </c>
      <c r="B280">
        <v>3067.3906147157272</v>
      </c>
      <c r="C280">
        <v>5912.175940000091</v>
      </c>
      <c r="D280">
        <f t="shared" si="11"/>
        <v>59.121759400000911</v>
      </c>
    </row>
    <row r="281" spans="1:4">
      <c r="A281">
        <f t="shared" si="10"/>
        <v>307.84243939053522</v>
      </c>
      <c r="B281">
        <v>3078.4243939053522</v>
      </c>
      <c r="C281" s="25">
        <v>5777.0736700000907</v>
      </c>
      <c r="D281">
        <f t="shared" si="11"/>
        <v>57.77073670000091</v>
      </c>
    </row>
    <row r="282" spans="1:4">
      <c r="A282">
        <f t="shared" si="10"/>
        <v>308.94581730949773</v>
      </c>
      <c r="B282">
        <v>3089.4581730949772</v>
      </c>
      <c r="C282" s="25">
        <v>5641.9714000000904</v>
      </c>
      <c r="D282">
        <f t="shared" si="11"/>
        <v>56.419714000000901</v>
      </c>
    </row>
    <row r="283" spans="1:4">
      <c r="A283">
        <f t="shared" si="10"/>
        <v>310.04919522846023</v>
      </c>
      <c r="B283">
        <v>3100.4919522846021</v>
      </c>
      <c r="C283" s="25">
        <v>5506.8691300000901</v>
      </c>
      <c r="D283">
        <f t="shared" si="11"/>
        <v>55.0686913000009</v>
      </c>
    </row>
    <row r="284" spans="1:4">
      <c r="A284">
        <f t="shared" si="10"/>
        <v>311.15257314742269</v>
      </c>
      <c r="B284">
        <v>3111.5257314742266</v>
      </c>
      <c r="C284" s="25">
        <v>5371.7668600000898</v>
      </c>
      <c r="D284">
        <f t="shared" si="11"/>
        <v>53.717668600000898</v>
      </c>
    </row>
    <row r="285" spans="1:4">
      <c r="A285">
        <f t="shared" si="10"/>
        <v>312.25595106638514</v>
      </c>
      <c r="B285">
        <v>3122.5595106638516</v>
      </c>
      <c r="C285" s="25">
        <v>5236.6645900000894</v>
      </c>
      <c r="D285">
        <f t="shared" si="11"/>
        <v>52.366645900000897</v>
      </c>
    </row>
    <row r="286" spans="1:4">
      <c r="A286">
        <f t="shared" si="10"/>
        <v>313.35932898534764</v>
      </c>
      <c r="B286">
        <v>3133.5932898534766</v>
      </c>
      <c r="C286" s="25">
        <v>5101.5623200000891</v>
      </c>
      <c r="D286">
        <f t="shared" si="11"/>
        <v>51.015623200000888</v>
      </c>
    </row>
    <row r="287" spans="1:4">
      <c r="A287">
        <f t="shared" si="10"/>
        <v>314.46270690431015</v>
      </c>
      <c r="B287">
        <v>3144.6270690431015</v>
      </c>
      <c r="C287" s="25">
        <v>4966.4600500000888</v>
      </c>
      <c r="D287">
        <f t="shared" si="11"/>
        <v>49.664600500000887</v>
      </c>
    </row>
    <row r="288" spans="1:4">
      <c r="A288">
        <f t="shared" si="10"/>
        <v>315.56608482327266</v>
      </c>
      <c r="B288">
        <v>3155.6608482327265</v>
      </c>
      <c r="C288" s="25">
        <v>4831.3577800000885</v>
      </c>
      <c r="D288">
        <f t="shared" si="11"/>
        <v>48.313577800000886</v>
      </c>
    </row>
    <row r="289" spans="1:4">
      <c r="A289">
        <f t="shared" si="10"/>
        <v>316.66946274223517</v>
      </c>
      <c r="B289">
        <v>3166.6946274223515</v>
      </c>
      <c r="C289" s="25">
        <v>4696.2555100000882</v>
      </c>
      <c r="D289">
        <f t="shared" si="11"/>
        <v>46.962555100000884</v>
      </c>
    </row>
    <row r="290" spans="1:4">
      <c r="A290">
        <f t="shared" si="10"/>
        <v>317.77284066119762</v>
      </c>
      <c r="B290">
        <v>3177.7284066119764</v>
      </c>
      <c r="C290" s="25">
        <v>4561.1532400000879</v>
      </c>
      <c r="D290">
        <f t="shared" si="11"/>
        <v>45.611532400000875</v>
      </c>
    </row>
    <row r="291" spans="1:4">
      <c r="A291">
        <f t="shared" si="10"/>
        <v>318.87621858016013</v>
      </c>
      <c r="B291">
        <v>3188.7621858016014</v>
      </c>
      <c r="C291" s="25">
        <v>4426.0509700000875</v>
      </c>
      <c r="D291">
        <f t="shared" si="11"/>
        <v>44.260509700000874</v>
      </c>
    </row>
    <row r="292" spans="1:4">
      <c r="A292">
        <f t="shared" si="10"/>
        <v>319.97959649912264</v>
      </c>
      <c r="B292">
        <v>3199.7959649912264</v>
      </c>
      <c r="C292" s="25">
        <v>4290.9487000000872</v>
      </c>
      <c r="D292">
        <f t="shared" si="11"/>
        <v>42.909487000000873</v>
      </c>
    </row>
    <row r="293" spans="1:4">
      <c r="A293">
        <f t="shared" si="10"/>
        <v>321.08297441808514</v>
      </c>
      <c r="B293">
        <v>3210.8297441808513</v>
      </c>
      <c r="C293" s="25">
        <v>4155.8464300000869</v>
      </c>
      <c r="D293">
        <f t="shared" si="11"/>
        <v>41.558464300000871</v>
      </c>
    </row>
    <row r="294" spans="1:4">
      <c r="A294">
        <f t="shared" si="10"/>
        <v>322.18635233704759</v>
      </c>
      <c r="B294">
        <v>3221.8635233704758</v>
      </c>
      <c r="C294" s="25">
        <v>4020.744160000087</v>
      </c>
      <c r="D294">
        <f t="shared" si="11"/>
        <v>40.20744160000087</v>
      </c>
    </row>
    <row r="295" spans="1:4">
      <c r="A295">
        <f t="shared" si="10"/>
        <v>323.2897302560101</v>
      </c>
      <c r="B295">
        <v>3232.8973025601008</v>
      </c>
      <c r="C295" s="25">
        <v>3885.6418900000872</v>
      </c>
      <c r="D295">
        <f t="shared" si="11"/>
        <v>38.856418900000875</v>
      </c>
    </row>
    <row r="296" spans="1:4">
      <c r="A296">
        <f t="shared" si="10"/>
        <v>324.39310817497255</v>
      </c>
      <c r="B296">
        <v>3243.9310817497258</v>
      </c>
      <c r="C296" s="25">
        <v>3750.5396200000873</v>
      </c>
      <c r="D296">
        <f t="shared" si="11"/>
        <v>37.505396200000874</v>
      </c>
    </row>
    <row r="297" spans="1:4">
      <c r="A297">
        <f t="shared" si="10"/>
        <v>325.49648609393506</v>
      </c>
      <c r="B297">
        <v>3254.9648609393507</v>
      </c>
      <c r="C297" s="25">
        <v>3615.4373500000875</v>
      </c>
      <c r="D297">
        <f t="shared" si="11"/>
        <v>36.154373500000872</v>
      </c>
    </row>
    <row r="298" spans="1:4">
      <c r="A298">
        <f t="shared" si="10"/>
        <v>326.59986401289757</v>
      </c>
      <c r="B298">
        <v>3265.9986401289757</v>
      </c>
      <c r="C298" s="25">
        <v>3480.3350800000876</v>
      </c>
      <c r="D298">
        <f t="shared" si="11"/>
        <v>34.803350800000878</v>
      </c>
    </row>
    <row r="299" spans="1:4">
      <c r="A299">
        <f t="shared" si="10"/>
        <v>327.70324193186008</v>
      </c>
      <c r="B299">
        <v>3277.0324193186007</v>
      </c>
      <c r="C299" s="25">
        <v>3345.2328100000877</v>
      </c>
      <c r="D299">
        <f t="shared" si="11"/>
        <v>33.452328100000877</v>
      </c>
    </row>
    <row r="300" spans="1:4">
      <c r="A300">
        <f t="shared" si="10"/>
        <v>328.80661985082259</v>
      </c>
      <c r="B300">
        <v>3288.0661985082256</v>
      </c>
      <c r="C300" s="25">
        <v>3210.1305400000879</v>
      </c>
      <c r="D300">
        <f t="shared" si="11"/>
        <v>32.101305400000882</v>
      </c>
    </row>
    <row r="301" spans="1:4">
      <c r="A301">
        <f t="shared" si="10"/>
        <v>329.90999776978504</v>
      </c>
      <c r="B301">
        <v>3299.0999776978506</v>
      </c>
      <c r="C301" s="25">
        <v>3075.028270000088</v>
      </c>
      <c r="D301">
        <f t="shared" si="11"/>
        <v>30.750282700000881</v>
      </c>
    </row>
    <row r="302" spans="1:4">
      <c r="A302">
        <f t="shared" si="10"/>
        <v>331.01337568874754</v>
      </c>
      <c r="B302">
        <v>3310.1337568874756</v>
      </c>
      <c r="C302" s="25">
        <v>2939.9260000000882</v>
      </c>
      <c r="D302">
        <f t="shared" si="11"/>
        <v>29.399260000000883</v>
      </c>
    </row>
    <row r="303" spans="1:4">
      <c r="A303">
        <f t="shared" si="10"/>
        <v>332.11675360771</v>
      </c>
      <c r="B303">
        <v>3321.1675360771001</v>
      </c>
      <c r="C303" s="25">
        <v>2804.8237300000883</v>
      </c>
      <c r="D303">
        <f t="shared" si="11"/>
        <v>28.048237300000881</v>
      </c>
    </row>
    <row r="304" spans="1:4">
      <c r="A304">
        <f t="shared" si="10"/>
        <v>333.2201315266725</v>
      </c>
      <c r="B304">
        <v>3332.201315266725</v>
      </c>
      <c r="C304" s="25">
        <v>2669.7214600000884</v>
      </c>
      <c r="D304">
        <f t="shared" si="11"/>
        <v>26.697214600000883</v>
      </c>
    </row>
    <row r="305" spans="1:4">
      <c r="A305">
        <f t="shared" si="10"/>
        <v>334.32350944563501</v>
      </c>
      <c r="B305">
        <v>3343.23509445635</v>
      </c>
      <c r="C305" s="25">
        <v>2534.6191900000886</v>
      </c>
      <c r="D305">
        <f t="shared" si="11"/>
        <v>25.346191900000886</v>
      </c>
    </row>
    <row r="306" spans="1:4">
      <c r="A306">
        <f t="shared" si="10"/>
        <v>335.42688736459752</v>
      </c>
      <c r="B306">
        <v>3354.268873645975</v>
      </c>
      <c r="C306" s="25">
        <v>2399.5169200000887</v>
      </c>
      <c r="D306">
        <f t="shared" si="11"/>
        <v>23.995169200000888</v>
      </c>
    </row>
    <row r="307" spans="1:4">
      <c r="A307">
        <f t="shared" si="10"/>
        <v>336.53026528355997</v>
      </c>
      <c r="B307">
        <v>3365.3026528355999</v>
      </c>
      <c r="C307" s="25">
        <v>2264.4146500000888</v>
      </c>
      <c r="D307">
        <f t="shared" si="11"/>
        <v>22.64414650000089</v>
      </c>
    </row>
    <row r="308" spans="1:4">
      <c r="A308">
        <f t="shared" si="10"/>
        <v>337.63364320252248</v>
      </c>
      <c r="B308">
        <v>3376.3364320252249</v>
      </c>
      <c r="C308" s="25">
        <v>2129.312380000089</v>
      </c>
      <c r="D308">
        <f t="shared" si="11"/>
        <v>21.293123800000888</v>
      </c>
    </row>
    <row r="309" spans="1:4">
      <c r="A309">
        <f t="shared" si="10"/>
        <v>338.73702112148499</v>
      </c>
      <c r="B309">
        <v>3387.3702112148499</v>
      </c>
      <c r="C309" s="25">
        <v>1994.2101100000889</v>
      </c>
      <c r="D309">
        <f t="shared" si="11"/>
        <v>19.94210110000089</v>
      </c>
    </row>
    <row r="310" spans="1:4">
      <c r="A310">
        <f t="shared" si="10"/>
        <v>339.84039904044749</v>
      </c>
      <c r="B310">
        <v>3398.4039904044748</v>
      </c>
      <c r="C310" s="25">
        <v>1859.1078400000888</v>
      </c>
      <c r="D310">
        <f t="shared" si="11"/>
        <v>18.591078400000889</v>
      </c>
    </row>
    <row r="311" spans="1:4">
      <c r="A311">
        <f t="shared" si="10"/>
        <v>340.94377695941</v>
      </c>
      <c r="B311">
        <v>3409.4377695940998</v>
      </c>
      <c r="C311" s="25">
        <v>1724.0055700000887</v>
      </c>
      <c r="D311">
        <f t="shared" si="11"/>
        <v>17.240055700000887</v>
      </c>
    </row>
    <row r="312" spans="1:4">
      <c r="A312">
        <f t="shared" si="10"/>
        <v>342.04715487837245</v>
      </c>
      <c r="B312">
        <v>3420.4715487837248</v>
      </c>
      <c r="C312" s="25">
        <v>1589</v>
      </c>
      <c r="D312">
        <f t="shared" si="11"/>
        <v>15.89</v>
      </c>
    </row>
    <row r="313" spans="1:4">
      <c r="A313">
        <f t="shared" si="10"/>
        <v>343.1505327973349</v>
      </c>
      <c r="B313">
        <v>3431.5053279733493</v>
      </c>
      <c r="C313" s="25">
        <v>1461.991</v>
      </c>
      <c r="D313">
        <f t="shared" si="11"/>
        <v>14.619909999999999</v>
      </c>
    </row>
    <row r="314" spans="1:4">
      <c r="A314">
        <f t="shared" si="10"/>
        <v>344.25391071629741</v>
      </c>
      <c r="B314">
        <v>3442.5391071629742</v>
      </c>
      <c r="C314" s="25">
        <v>1334.982</v>
      </c>
      <c r="D314">
        <f t="shared" si="11"/>
        <v>13.349819999999999</v>
      </c>
    </row>
    <row r="315" spans="1:4">
      <c r="A315">
        <f t="shared" si="10"/>
        <v>345.35728863525992</v>
      </c>
      <c r="B315">
        <v>3453.5728863525992</v>
      </c>
      <c r="C315" s="25">
        <v>1207.973</v>
      </c>
      <c r="D315">
        <f t="shared" si="11"/>
        <v>12.07973</v>
      </c>
    </row>
    <row r="316" spans="1:4">
      <c r="A316">
        <f t="shared" si="10"/>
        <v>346.46066655422243</v>
      </c>
      <c r="B316">
        <v>3464.6066655422242</v>
      </c>
      <c r="C316" s="25">
        <v>1080.9639999999999</v>
      </c>
      <c r="D316">
        <f t="shared" si="11"/>
        <v>10.80964</v>
      </c>
    </row>
    <row r="317" spans="1:4">
      <c r="A317">
        <f t="shared" si="10"/>
        <v>347.56404447318494</v>
      </c>
      <c r="B317">
        <v>3475.6404447318491</v>
      </c>
      <c r="C317" s="25">
        <v>953.95499999999993</v>
      </c>
      <c r="D317">
        <f t="shared" si="11"/>
        <v>9.5395499999999984</v>
      </c>
    </row>
    <row r="318" spans="1:4">
      <c r="A318">
        <f t="shared" si="10"/>
        <v>348.66742239214739</v>
      </c>
      <c r="B318">
        <v>3486.6742239214741</v>
      </c>
      <c r="C318" s="25">
        <v>826.94599999999991</v>
      </c>
      <c r="D318">
        <f t="shared" si="11"/>
        <v>8.2694599999999987</v>
      </c>
    </row>
    <row r="319" spans="1:4">
      <c r="A319">
        <f t="shared" si="10"/>
        <v>349.77080031110989</v>
      </c>
      <c r="B319">
        <v>3497.7080031110991</v>
      </c>
      <c r="C319" s="25">
        <v>699.9369999999999</v>
      </c>
      <c r="D319">
        <f t="shared" si="11"/>
        <v>6.999369999999999</v>
      </c>
    </row>
    <row r="320" spans="1:4">
      <c r="A320">
        <f t="shared" si="10"/>
        <v>350.8741782300724</v>
      </c>
      <c r="B320">
        <v>3508.741782300724</v>
      </c>
      <c r="C320" s="25">
        <v>572.92799999999988</v>
      </c>
      <c r="D320">
        <f t="shared" si="11"/>
        <v>5.7292799999999993</v>
      </c>
    </row>
    <row r="321" spans="1:4">
      <c r="A321">
        <f t="shared" si="10"/>
        <v>351.97755614903491</v>
      </c>
      <c r="B321">
        <v>3519.775561490349</v>
      </c>
      <c r="C321">
        <v>445.91899999999987</v>
      </c>
      <c r="D321">
        <f t="shared" si="11"/>
        <v>4.4591899999999987</v>
      </c>
    </row>
    <row r="322" spans="1:4">
      <c r="A322">
        <f t="shared" si="10"/>
        <v>353.08093406799736</v>
      </c>
      <c r="B322">
        <v>3530.8093406799735</v>
      </c>
      <c r="C322">
        <v>318.91000000000003</v>
      </c>
      <c r="D322">
        <f t="shared" si="11"/>
        <v>3.1891000000000003</v>
      </c>
    </row>
    <row r="323" spans="1:4">
      <c r="A323">
        <f t="shared" ref="A323:A326" si="12">B323/10</f>
        <v>354.18431198695987</v>
      </c>
      <c r="B323">
        <v>3541.8431198695985</v>
      </c>
      <c r="C323">
        <v>233.93</v>
      </c>
      <c r="D323">
        <f t="shared" ref="D323:D326" si="13">C323/100</f>
        <v>2.3393000000000002</v>
      </c>
    </row>
    <row r="324" spans="1:4">
      <c r="A324">
        <f t="shared" si="12"/>
        <v>355.28768990592232</v>
      </c>
      <c r="B324">
        <v>3552.8768990592234</v>
      </c>
      <c r="C324">
        <v>162.65</v>
      </c>
      <c r="D324">
        <f t="shared" si="13"/>
        <v>1.6265000000000001</v>
      </c>
    </row>
    <row r="325" spans="1:4">
      <c r="A325">
        <f t="shared" si="12"/>
        <v>356.39106782488483</v>
      </c>
      <c r="B325">
        <v>3563.9106782488484</v>
      </c>
      <c r="C325">
        <v>105</v>
      </c>
      <c r="D325">
        <f t="shared" si="13"/>
        <v>1.05</v>
      </c>
    </row>
    <row r="326" spans="1:4">
      <c r="A326">
        <f t="shared" si="12"/>
        <v>357.49444574384734</v>
      </c>
      <c r="B326">
        <v>3574.9444574384734</v>
      </c>
      <c r="C326">
        <v>61</v>
      </c>
      <c r="D326">
        <f t="shared" si="13"/>
        <v>0.61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rgb="FFFF0000"/>
  </sheetPr>
  <dimension ref="A1:D602"/>
  <sheetViews>
    <sheetView workbookViewId="0">
      <selection activeCell="C3" sqref="C3"/>
    </sheetView>
  </sheetViews>
  <sheetFormatPr baseColWidth="10" defaultColWidth="11.3984375" defaultRowHeight="14.25"/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 s="22">
        <f>$B2/10</f>
        <v>0</v>
      </c>
      <c r="B2" s="22">
        <v>0</v>
      </c>
      <c r="C2" s="22">
        <v>45638.42</v>
      </c>
      <c r="D2" s="23">
        <f>$C2/100</f>
        <v>456.38419999999996</v>
      </c>
    </row>
    <row r="3" spans="1:4">
      <c r="A3" s="22">
        <f t="shared" ref="A3:A66" si="0">$B3/10</f>
        <v>1.132570050689039</v>
      </c>
      <c r="B3" s="22">
        <v>11.32570050689039</v>
      </c>
      <c r="C3" s="22">
        <v>45636.4568</v>
      </c>
      <c r="D3" s="23">
        <f t="shared" ref="D3:D66" si="1">$C3/100</f>
        <v>456.36456800000002</v>
      </c>
    </row>
    <row r="4" spans="1:4">
      <c r="A4" s="22">
        <f t="shared" si="0"/>
        <v>2.2651401013780781</v>
      </c>
      <c r="B4" s="22">
        <v>22.651401013780781</v>
      </c>
      <c r="C4" s="22">
        <v>45634.493600000002</v>
      </c>
      <c r="D4" s="23">
        <f t="shared" si="1"/>
        <v>456.34493600000002</v>
      </c>
    </row>
    <row r="5" spans="1:4">
      <c r="A5" s="22">
        <f t="shared" si="0"/>
        <v>3.3977101520671176</v>
      </c>
      <c r="B5" s="22">
        <v>33.977101520671177</v>
      </c>
      <c r="C5" s="22">
        <v>45632.530400000003</v>
      </c>
      <c r="D5" s="23">
        <f t="shared" si="1"/>
        <v>456.32530400000002</v>
      </c>
    </row>
    <row r="6" spans="1:4">
      <c r="A6" s="22">
        <f t="shared" si="0"/>
        <v>4.5302802027561562</v>
      </c>
      <c r="B6" s="22">
        <v>45.302802027561562</v>
      </c>
      <c r="C6" s="22">
        <v>45630.567200000005</v>
      </c>
      <c r="D6" s="23">
        <f t="shared" si="1"/>
        <v>456.30567200000007</v>
      </c>
    </row>
    <row r="7" spans="1:4">
      <c r="A7" s="22">
        <f t="shared" si="0"/>
        <v>5.6628502534451952</v>
      </c>
      <c r="B7" s="22">
        <v>56.628502534451954</v>
      </c>
      <c r="C7" s="22">
        <v>45628.604000000007</v>
      </c>
      <c r="D7" s="23">
        <f t="shared" si="1"/>
        <v>456.28604000000007</v>
      </c>
    </row>
    <row r="8" spans="1:4">
      <c r="A8" s="22">
        <f t="shared" si="0"/>
        <v>6.7954203041342351</v>
      </c>
      <c r="B8" s="22">
        <v>67.954203041342353</v>
      </c>
      <c r="C8" s="22">
        <v>45626.640800000008</v>
      </c>
      <c r="D8" s="23">
        <f t="shared" si="1"/>
        <v>456.26640800000007</v>
      </c>
    </row>
    <row r="9" spans="1:4">
      <c r="A9" s="22">
        <f t="shared" si="0"/>
        <v>7.9279903548232742</v>
      </c>
      <c r="B9" s="22">
        <v>79.279903548232738</v>
      </c>
      <c r="C9" s="22">
        <v>45624.67760000001</v>
      </c>
      <c r="D9" s="23">
        <f t="shared" si="1"/>
        <v>456.24677600000012</v>
      </c>
    </row>
    <row r="10" spans="1:4">
      <c r="A10" s="22">
        <f t="shared" si="0"/>
        <v>9.0605604055123123</v>
      </c>
      <c r="B10" s="22">
        <v>90.605604055123123</v>
      </c>
      <c r="C10" s="22">
        <v>45622.714400000012</v>
      </c>
      <c r="D10" s="23">
        <f t="shared" si="1"/>
        <v>456.22714400000012</v>
      </c>
    </row>
    <row r="11" spans="1:4">
      <c r="A11" s="22">
        <f t="shared" si="0"/>
        <v>10.193130456201352</v>
      </c>
      <c r="B11" s="22">
        <v>101.93130456201352</v>
      </c>
      <c r="C11" s="22">
        <v>45620.751200000013</v>
      </c>
      <c r="D11" s="23">
        <f t="shared" si="1"/>
        <v>456.20751200000012</v>
      </c>
    </row>
    <row r="12" spans="1:4">
      <c r="A12" s="22">
        <f t="shared" si="0"/>
        <v>11.32570050689039</v>
      </c>
      <c r="B12" s="22">
        <v>113.25700506890391</v>
      </c>
      <c r="C12" s="22">
        <v>45618.788</v>
      </c>
      <c r="D12" s="23">
        <f t="shared" si="1"/>
        <v>456.18788000000001</v>
      </c>
    </row>
    <row r="13" spans="1:4">
      <c r="A13" s="22">
        <f t="shared" si="0"/>
        <v>12.45827055757943</v>
      </c>
      <c r="B13" s="22">
        <v>124.58270557579431</v>
      </c>
      <c r="C13" s="22">
        <v>45616.824200000003</v>
      </c>
      <c r="D13" s="23">
        <f t="shared" si="1"/>
        <v>456.16824200000002</v>
      </c>
    </row>
    <row r="14" spans="1:4">
      <c r="A14" s="22">
        <f t="shared" si="0"/>
        <v>13.59084060826847</v>
      </c>
      <c r="B14" s="22">
        <v>135.90840608268471</v>
      </c>
      <c r="C14" s="22">
        <v>45614.860400000005</v>
      </c>
      <c r="D14" s="23">
        <f t="shared" si="1"/>
        <v>456.14860400000003</v>
      </c>
    </row>
    <row r="15" spans="1:4">
      <c r="A15" s="22">
        <f t="shared" si="0"/>
        <v>14.723410658957508</v>
      </c>
      <c r="B15" s="22">
        <v>147.23410658957508</v>
      </c>
      <c r="C15" s="22">
        <v>45612.896600000007</v>
      </c>
      <c r="D15" s="23">
        <f t="shared" si="1"/>
        <v>456.12896600000005</v>
      </c>
    </row>
    <row r="16" spans="1:4">
      <c r="A16" s="22">
        <f t="shared" si="0"/>
        <v>15.855980709646548</v>
      </c>
      <c r="B16" s="22">
        <v>158.55980709646548</v>
      </c>
      <c r="C16" s="22">
        <v>45610.93280000001</v>
      </c>
      <c r="D16" s="23">
        <f t="shared" si="1"/>
        <v>456.10932800000012</v>
      </c>
    </row>
    <row r="17" spans="1:4">
      <c r="A17" s="22">
        <f t="shared" si="0"/>
        <v>16.988550760335588</v>
      </c>
      <c r="B17" s="22">
        <v>169.88550760335588</v>
      </c>
      <c r="C17" s="22">
        <v>45608.969000000012</v>
      </c>
      <c r="D17" s="23">
        <f t="shared" si="1"/>
        <v>456.08969000000013</v>
      </c>
    </row>
    <row r="18" spans="1:4">
      <c r="A18" s="22">
        <f t="shared" si="0"/>
        <v>18.121120811024625</v>
      </c>
      <c r="B18" s="22">
        <v>181.21120811024625</v>
      </c>
      <c r="C18" s="22">
        <v>45607.005200000014</v>
      </c>
      <c r="D18" s="23">
        <f t="shared" si="1"/>
        <v>456.07005200000015</v>
      </c>
    </row>
    <row r="19" spans="1:4">
      <c r="A19" s="22">
        <f t="shared" si="0"/>
        <v>19.253690861713665</v>
      </c>
      <c r="B19" s="22">
        <v>192.53690861713665</v>
      </c>
      <c r="C19" s="22">
        <v>45605.041400000016</v>
      </c>
      <c r="D19" s="23">
        <f t="shared" si="1"/>
        <v>456.05041400000016</v>
      </c>
    </row>
    <row r="20" spans="1:4">
      <c r="A20" s="22">
        <f t="shared" si="0"/>
        <v>20.386260912402705</v>
      </c>
      <c r="B20" s="22">
        <v>203.86260912402705</v>
      </c>
      <c r="C20" s="22">
        <v>45603.077600000019</v>
      </c>
      <c r="D20" s="23">
        <f t="shared" si="1"/>
        <v>456.03077600000017</v>
      </c>
    </row>
    <row r="21" spans="1:4">
      <c r="A21" s="22">
        <f t="shared" si="0"/>
        <v>21.518830963091741</v>
      </c>
      <c r="B21" s="22">
        <v>215.18830963091742</v>
      </c>
      <c r="C21" s="22">
        <v>45601.113800000014</v>
      </c>
      <c r="D21" s="23">
        <f t="shared" si="1"/>
        <v>456.01113800000013</v>
      </c>
    </row>
    <row r="22" spans="1:4">
      <c r="A22" s="22">
        <f t="shared" si="0"/>
        <v>22.651401013780781</v>
      </c>
      <c r="B22" s="22">
        <v>226.51401013780782</v>
      </c>
      <c r="C22" s="22">
        <v>45599.15</v>
      </c>
      <c r="D22" s="23">
        <f t="shared" si="1"/>
        <v>455.99150000000003</v>
      </c>
    </row>
    <row r="23" spans="1:4">
      <c r="A23" s="22">
        <f t="shared" si="0"/>
        <v>23.783971064469821</v>
      </c>
      <c r="B23" s="22">
        <v>237.83971064469821</v>
      </c>
      <c r="C23" s="22">
        <v>45597.061000000002</v>
      </c>
      <c r="D23" s="23">
        <f t="shared" si="1"/>
        <v>455.97061000000002</v>
      </c>
    </row>
    <row r="24" spans="1:4">
      <c r="A24" s="22">
        <f t="shared" si="0"/>
        <v>24.916541115158861</v>
      </c>
      <c r="B24" s="22">
        <v>249.16541115158861</v>
      </c>
      <c r="C24" s="22">
        <v>45594.972000000002</v>
      </c>
      <c r="D24" s="23">
        <f t="shared" si="1"/>
        <v>455.94972000000001</v>
      </c>
    </row>
    <row r="25" spans="1:4">
      <c r="A25" s="22">
        <f t="shared" si="0"/>
        <v>26.049111165847897</v>
      </c>
      <c r="B25" s="22">
        <v>260.49111165847899</v>
      </c>
      <c r="C25" s="22">
        <v>45592.883000000002</v>
      </c>
      <c r="D25" s="23">
        <f t="shared" si="1"/>
        <v>455.92883</v>
      </c>
    </row>
    <row r="26" spans="1:4">
      <c r="A26" s="22">
        <f t="shared" si="0"/>
        <v>27.181681216536941</v>
      </c>
      <c r="B26" s="22">
        <v>271.81681216536941</v>
      </c>
      <c r="C26" s="22">
        <v>45590.794000000002</v>
      </c>
      <c r="D26" s="23">
        <f t="shared" si="1"/>
        <v>455.90794</v>
      </c>
    </row>
    <row r="27" spans="1:4">
      <c r="A27" s="22">
        <f t="shared" si="0"/>
        <v>28.314251267225977</v>
      </c>
      <c r="B27" s="22">
        <v>283.14251267225978</v>
      </c>
      <c r="C27" s="22">
        <v>45588.705000000002</v>
      </c>
      <c r="D27" s="23">
        <f t="shared" si="1"/>
        <v>455.88705000000004</v>
      </c>
    </row>
    <row r="28" spans="1:4">
      <c r="A28" s="22">
        <f t="shared" si="0"/>
        <v>29.446821317915017</v>
      </c>
      <c r="B28" s="22">
        <v>294.46821317915015</v>
      </c>
      <c r="C28" s="22">
        <v>45586.616000000002</v>
      </c>
      <c r="D28" s="23">
        <f t="shared" si="1"/>
        <v>455.86616000000004</v>
      </c>
    </row>
    <row r="29" spans="1:4">
      <c r="A29" s="22">
        <f t="shared" si="0"/>
        <v>30.579391368604057</v>
      </c>
      <c r="B29" s="22">
        <v>305.79391368604058</v>
      </c>
      <c r="C29" s="22">
        <v>45584.527000000002</v>
      </c>
      <c r="D29" s="23">
        <f t="shared" si="1"/>
        <v>455.84527000000003</v>
      </c>
    </row>
    <row r="30" spans="1:4">
      <c r="A30" s="22">
        <f t="shared" si="0"/>
        <v>31.711961419293097</v>
      </c>
      <c r="B30" s="22">
        <v>317.11961419293095</v>
      </c>
      <c r="C30" s="22">
        <v>45582.438000000002</v>
      </c>
      <c r="D30" s="23">
        <f t="shared" si="1"/>
        <v>455.82438000000002</v>
      </c>
    </row>
    <row r="31" spans="1:4">
      <c r="A31" s="22">
        <f t="shared" si="0"/>
        <v>32.84453146998213</v>
      </c>
      <c r="B31" s="22">
        <v>328.44531469982132</v>
      </c>
      <c r="C31" s="22">
        <v>45580.349000000002</v>
      </c>
      <c r="D31" s="23">
        <f t="shared" si="1"/>
        <v>455.80349000000001</v>
      </c>
    </row>
    <row r="32" spans="1:4">
      <c r="A32" s="22">
        <f t="shared" si="0"/>
        <v>33.977101520671177</v>
      </c>
      <c r="B32" s="22">
        <v>339.77101520671175</v>
      </c>
      <c r="C32" s="22">
        <v>45578.26</v>
      </c>
      <c r="D32" s="23">
        <f t="shared" si="1"/>
        <v>455.7826</v>
      </c>
    </row>
    <row r="33" spans="1:4">
      <c r="A33" s="22">
        <f t="shared" si="0"/>
        <v>35.109671571360209</v>
      </c>
      <c r="B33" s="22">
        <v>351.09671571360212</v>
      </c>
      <c r="C33" s="22">
        <v>45574.845000000001</v>
      </c>
      <c r="D33" s="23">
        <f t="shared" si="1"/>
        <v>455.74844999999999</v>
      </c>
    </row>
    <row r="34" spans="1:4">
      <c r="A34" s="22">
        <f t="shared" si="0"/>
        <v>36.242241622049249</v>
      </c>
      <c r="B34" s="22">
        <v>362.42241622049249</v>
      </c>
      <c r="C34" s="22">
        <v>45571.43</v>
      </c>
      <c r="D34" s="23">
        <f t="shared" si="1"/>
        <v>455.71429999999998</v>
      </c>
    </row>
    <row r="35" spans="1:4">
      <c r="A35" s="22">
        <f t="shared" si="0"/>
        <v>37.374811672738289</v>
      </c>
      <c r="B35" s="22">
        <v>373.74811672738292</v>
      </c>
      <c r="C35" s="22">
        <v>45568.014999999999</v>
      </c>
      <c r="D35" s="23">
        <f t="shared" si="1"/>
        <v>455.68014999999997</v>
      </c>
    </row>
    <row r="36" spans="1:4">
      <c r="A36" s="22">
        <f t="shared" si="0"/>
        <v>38.507381723427329</v>
      </c>
      <c r="B36" s="22">
        <v>385.07381723427329</v>
      </c>
      <c r="C36" s="22">
        <v>45564.6</v>
      </c>
      <c r="D36" s="23">
        <f t="shared" si="1"/>
        <v>455.64599999999996</v>
      </c>
    </row>
    <row r="37" spans="1:4">
      <c r="A37" s="22">
        <f t="shared" si="0"/>
        <v>39.639951774116369</v>
      </c>
      <c r="B37" s="22">
        <v>396.39951774116366</v>
      </c>
      <c r="C37" s="22">
        <v>45561.184999999998</v>
      </c>
      <c r="D37" s="23">
        <f t="shared" si="1"/>
        <v>455.61185</v>
      </c>
    </row>
    <row r="38" spans="1:4">
      <c r="A38" s="22">
        <f t="shared" si="0"/>
        <v>40.772521824805409</v>
      </c>
      <c r="B38" s="22">
        <v>407.72521824805409</v>
      </c>
      <c r="C38" s="22">
        <v>45557.77</v>
      </c>
      <c r="D38" s="23">
        <f t="shared" si="1"/>
        <v>455.57769999999999</v>
      </c>
    </row>
    <row r="39" spans="1:4">
      <c r="A39" s="22">
        <f t="shared" si="0"/>
        <v>41.905091875494449</v>
      </c>
      <c r="B39" s="22">
        <v>419.05091875494446</v>
      </c>
      <c r="C39" s="22">
        <v>45554.354999999996</v>
      </c>
      <c r="D39" s="23">
        <f t="shared" si="1"/>
        <v>455.54354999999998</v>
      </c>
    </row>
    <row r="40" spans="1:4">
      <c r="A40" s="22">
        <f t="shared" si="0"/>
        <v>43.037661926183482</v>
      </c>
      <c r="B40" s="22">
        <v>430.37661926183483</v>
      </c>
      <c r="C40" s="22">
        <v>45550.939999999995</v>
      </c>
      <c r="D40" s="23">
        <f t="shared" si="1"/>
        <v>455.50939999999997</v>
      </c>
    </row>
    <row r="41" spans="1:4">
      <c r="A41" s="22">
        <f t="shared" si="0"/>
        <v>44.170231976872529</v>
      </c>
      <c r="B41" s="22">
        <v>441.70231976872526</v>
      </c>
      <c r="C41" s="22">
        <v>45547.524999999994</v>
      </c>
      <c r="D41" s="23">
        <f t="shared" si="1"/>
        <v>455.47524999999996</v>
      </c>
    </row>
    <row r="42" spans="1:4">
      <c r="A42" s="22">
        <f t="shared" si="0"/>
        <v>45.302802027561562</v>
      </c>
      <c r="B42" s="22">
        <v>453.02802027561563</v>
      </c>
      <c r="C42" s="22">
        <v>45544.11</v>
      </c>
      <c r="D42" s="23">
        <f t="shared" si="1"/>
        <v>455.44110000000001</v>
      </c>
    </row>
    <row r="43" spans="1:4">
      <c r="A43" s="22">
        <f t="shared" si="0"/>
        <v>46.435372078250609</v>
      </c>
      <c r="B43" s="22">
        <v>464.35372078250606</v>
      </c>
      <c r="C43" s="22">
        <v>45537.749000000003</v>
      </c>
      <c r="D43" s="23">
        <f t="shared" si="1"/>
        <v>455.37749000000002</v>
      </c>
    </row>
    <row r="44" spans="1:4">
      <c r="A44" s="22">
        <f t="shared" si="0"/>
        <v>47.567942128939642</v>
      </c>
      <c r="B44" s="22">
        <v>475.67942128939643</v>
      </c>
      <c r="C44" s="22">
        <v>45531.388000000006</v>
      </c>
      <c r="D44" s="23">
        <f t="shared" si="1"/>
        <v>455.31388000000004</v>
      </c>
    </row>
    <row r="45" spans="1:4">
      <c r="A45" s="22">
        <f t="shared" si="0"/>
        <v>48.700512179628682</v>
      </c>
      <c r="B45" s="22">
        <v>487.0051217962868</v>
      </c>
      <c r="C45" s="22">
        <v>45525.027000000009</v>
      </c>
      <c r="D45" s="23">
        <f t="shared" si="1"/>
        <v>455.25027000000011</v>
      </c>
    </row>
    <row r="46" spans="1:4">
      <c r="A46" s="22">
        <f t="shared" si="0"/>
        <v>49.833082230317721</v>
      </c>
      <c r="B46" s="22">
        <v>498.33082230317723</v>
      </c>
      <c r="C46" s="22">
        <v>45518.666000000012</v>
      </c>
      <c r="D46" s="23">
        <f t="shared" si="1"/>
        <v>455.18666000000013</v>
      </c>
    </row>
    <row r="47" spans="1:4">
      <c r="A47" s="22">
        <f t="shared" si="0"/>
        <v>50.965652281006761</v>
      </c>
      <c r="B47" s="22">
        <v>509.6565228100676</v>
      </c>
      <c r="C47" s="22">
        <v>45512.305000000015</v>
      </c>
      <c r="D47" s="23">
        <f t="shared" si="1"/>
        <v>455.12305000000015</v>
      </c>
    </row>
    <row r="48" spans="1:4">
      <c r="A48" s="22">
        <f t="shared" si="0"/>
        <v>52.098222331695794</v>
      </c>
      <c r="B48" s="22">
        <v>520.98222331695797</v>
      </c>
      <c r="C48" s="22">
        <v>45505.944000000018</v>
      </c>
      <c r="D48" s="23">
        <f t="shared" si="1"/>
        <v>455.05944000000017</v>
      </c>
    </row>
    <row r="49" spans="1:4">
      <c r="A49" s="22">
        <f t="shared" si="0"/>
        <v>53.230792382384834</v>
      </c>
      <c r="B49" s="22">
        <v>532.30792382384834</v>
      </c>
      <c r="C49" s="22">
        <v>45499.583000000021</v>
      </c>
      <c r="D49" s="23">
        <f t="shared" si="1"/>
        <v>454.99583000000018</v>
      </c>
    </row>
    <row r="50" spans="1:4">
      <c r="A50" s="22">
        <f t="shared" si="0"/>
        <v>54.363362433073881</v>
      </c>
      <c r="B50" s="22">
        <v>543.63362433073883</v>
      </c>
      <c r="C50" s="22">
        <v>45493.222000000023</v>
      </c>
      <c r="D50" s="23">
        <f t="shared" si="1"/>
        <v>454.93222000000026</v>
      </c>
    </row>
    <row r="51" spans="1:4">
      <c r="A51" s="22">
        <f t="shared" si="0"/>
        <v>55.495932483762921</v>
      </c>
      <c r="B51" s="22">
        <v>554.9593248376292</v>
      </c>
      <c r="C51" s="22">
        <v>45486.861000000026</v>
      </c>
      <c r="D51" s="23">
        <f t="shared" si="1"/>
        <v>454.86861000000027</v>
      </c>
    </row>
    <row r="52" spans="1:4">
      <c r="A52" s="22">
        <f t="shared" si="0"/>
        <v>56.628502534451954</v>
      </c>
      <c r="B52" s="22">
        <v>566.28502534451957</v>
      </c>
      <c r="C52" s="22">
        <v>45480.5</v>
      </c>
      <c r="D52" s="23">
        <f t="shared" si="1"/>
        <v>454.80500000000001</v>
      </c>
    </row>
    <row r="53" spans="1:4">
      <c r="A53" s="22">
        <f t="shared" si="0"/>
        <v>57.761072585140994</v>
      </c>
      <c r="B53" s="22">
        <v>577.61072585140994</v>
      </c>
      <c r="C53" s="22">
        <v>45496.29</v>
      </c>
      <c r="D53" s="23">
        <f t="shared" si="1"/>
        <v>454.96289999999999</v>
      </c>
    </row>
    <row r="54" spans="1:4">
      <c r="A54" s="22">
        <f t="shared" si="0"/>
        <v>58.893642635830034</v>
      </c>
      <c r="B54" s="22">
        <v>588.93642635830031</v>
      </c>
      <c r="C54" s="22">
        <v>45512.08</v>
      </c>
      <c r="D54" s="23">
        <f t="shared" si="1"/>
        <v>455.12080000000003</v>
      </c>
    </row>
    <row r="55" spans="1:4">
      <c r="A55" s="22">
        <f t="shared" si="0"/>
        <v>60.026212686519067</v>
      </c>
      <c r="B55" s="22">
        <v>600.26212686519068</v>
      </c>
      <c r="C55" s="22">
        <v>45527.87</v>
      </c>
      <c r="D55" s="23">
        <f t="shared" si="1"/>
        <v>455.27870000000001</v>
      </c>
    </row>
    <row r="56" spans="1:4">
      <c r="A56" s="22">
        <f t="shared" si="0"/>
        <v>61.158782737208114</v>
      </c>
      <c r="B56" s="22">
        <v>611.58782737208116</v>
      </c>
      <c r="C56" s="22">
        <v>45543.66</v>
      </c>
      <c r="D56" s="23">
        <f t="shared" si="1"/>
        <v>455.43660000000006</v>
      </c>
    </row>
    <row r="57" spans="1:4">
      <c r="A57" s="22">
        <f t="shared" si="0"/>
        <v>62.291352787897154</v>
      </c>
      <c r="B57" s="22">
        <v>622.91352787897154</v>
      </c>
      <c r="C57" s="22">
        <v>45559.450000000004</v>
      </c>
      <c r="D57" s="23">
        <f t="shared" si="1"/>
        <v>455.59450000000004</v>
      </c>
    </row>
    <row r="58" spans="1:4">
      <c r="A58" s="22">
        <f t="shared" si="0"/>
        <v>63.423922838586194</v>
      </c>
      <c r="B58" s="22">
        <v>634.23922838586191</v>
      </c>
      <c r="C58" s="22">
        <v>45575.240000000005</v>
      </c>
      <c r="D58" s="23">
        <f t="shared" si="1"/>
        <v>455.75240000000008</v>
      </c>
    </row>
    <row r="59" spans="1:4">
      <c r="A59" s="22">
        <f t="shared" si="0"/>
        <v>64.556492889275233</v>
      </c>
      <c r="B59" s="22">
        <v>645.56492889275228</v>
      </c>
      <c r="C59" s="22">
        <v>45591.030000000006</v>
      </c>
      <c r="D59" s="23">
        <f t="shared" si="1"/>
        <v>455.91030000000006</v>
      </c>
    </row>
    <row r="60" spans="1:4">
      <c r="A60" s="22">
        <f t="shared" si="0"/>
        <v>65.689062939964259</v>
      </c>
      <c r="B60" s="22">
        <v>656.89062939964265</v>
      </c>
      <c r="C60" s="22">
        <v>45606.820000000007</v>
      </c>
      <c r="D60" s="23">
        <f t="shared" si="1"/>
        <v>456.06820000000005</v>
      </c>
    </row>
    <row r="61" spans="1:4">
      <c r="A61" s="22">
        <f t="shared" si="0"/>
        <v>66.821632990653299</v>
      </c>
      <c r="B61" s="22">
        <v>668.21632990653302</v>
      </c>
      <c r="C61" s="22">
        <v>45622.610000000008</v>
      </c>
      <c r="D61" s="23">
        <f t="shared" si="1"/>
        <v>456.22610000000009</v>
      </c>
    </row>
    <row r="62" spans="1:4">
      <c r="A62" s="22">
        <f t="shared" si="0"/>
        <v>67.954203041342353</v>
      </c>
      <c r="B62" s="22">
        <v>679.5420304134235</v>
      </c>
      <c r="C62" s="22">
        <v>45638.400000000001</v>
      </c>
      <c r="D62" s="23">
        <f t="shared" si="1"/>
        <v>456.38400000000001</v>
      </c>
    </row>
    <row r="63" spans="1:4">
      <c r="A63" s="22">
        <f t="shared" si="0"/>
        <v>69.086773092031393</v>
      </c>
      <c r="B63" s="22">
        <v>690.86773092031387</v>
      </c>
      <c r="C63" s="22">
        <v>45638.400000000001</v>
      </c>
      <c r="D63" s="23">
        <f t="shared" si="1"/>
        <v>456.38400000000001</v>
      </c>
    </row>
    <row r="64" spans="1:4">
      <c r="A64" s="22">
        <f t="shared" si="0"/>
        <v>70.219343142720419</v>
      </c>
      <c r="B64" s="22">
        <v>702.19343142720425</v>
      </c>
      <c r="C64" s="22">
        <v>45638.400000000001</v>
      </c>
      <c r="D64" s="23">
        <f t="shared" si="1"/>
        <v>456.38400000000001</v>
      </c>
    </row>
    <row r="65" spans="1:4">
      <c r="A65" s="22">
        <f t="shared" si="0"/>
        <v>71.351913193409459</v>
      </c>
      <c r="B65" s="22">
        <v>713.51913193409462</v>
      </c>
      <c r="C65" s="22">
        <v>45638.400000000001</v>
      </c>
      <c r="D65" s="23">
        <f t="shared" si="1"/>
        <v>456.38400000000001</v>
      </c>
    </row>
    <row r="66" spans="1:4">
      <c r="A66" s="22">
        <f t="shared" si="0"/>
        <v>72.484483244098499</v>
      </c>
      <c r="B66" s="22">
        <v>724.84483244098499</v>
      </c>
      <c r="C66" s="22">
        <v>45638.400000000001</v>
      </c>
      <c r="D66" s="23">
        <f t="shared" si="1"/>
        <v>456.38400000000001</v>
      </c>
    </row>
    <row r="67" spans="1:4">
      <c r="A67" s="22">
        <f t="shared" ref="A67:A130" si="2">$B67/10</f>
        <v>73.617053294787553</v>
      </c>
      <c r="B67" s="22">
        <v>736.17053294787547</v>
      </c>
      <c r="C67" s="22">
        <v>45638.400000000001</v>
      </c>
      <c r="D67" s="23">
        <f t="shared" ref="D67:D130" si="3">$C67/100</f>
        <v>456.38400000000001</v>
      </c>
    </row>
    <row r="68" spans="1:4">
      <c r="A68" s="22">
        <f t="shared" si="2"/>
        <v>74.749623345476579</v>
      </c>
      <c r="B68" s="22">
        <v>747.49623345476584</v>
      </c>
      <c r="C68" s="22">
        <v>45638.400000000001</v>
      </c>
      <c r="D68" s="23">
        <f t="shared" si="3"/>
        <v>456.38400000000001</v>
      </c>
    </row>
    <row r="69" spans="1:4">
      <c r="A69" s="22">
        <f t="shared" si="2"/>
        <v>75.882193396165619</v>
      </c>
      <c r="B69" s="22">
        <v>758.82193396165621</v>
      </c>
      <c r="C69" s="22">
        <v>45638.400000000001</v>
      </c>
      <c r="D69" s="23">
        <f t="shared" si="3"/>
        <v>456.38400000000001</v>
      </c>
    </row>
    <row r="70" spans="1:4">
      <c r="A70" s="22">
        <f t="shared" si="2"/>
        <v>77.014763446854658</v>
      </c>
      <c r="B70" s="22">
        <v>770.14763446854658</v>
      </c>
      <c r="C70" s="22">
        <v>45638.400000000001</v>
      </c>
      <c r="D70" s="23">
        <f t="shared" si="3"/>
        <v>456.38400000000001</v>
      </c>
    </row>
    <row r="71" spans="1:4">
      <c r="A71" s="22">
        <f t="shared" si="2"/>
        <v>78.147333497543698</v>
      </c>
      <c r="B71" s="22">
        <v>781.47333497543696</v>
      </c>
      <c r="C71" s="22">
        <v>45638.400000000001</v>
      </c>
      <c r="D71" s="23">
        <f t="shared" si="3"/>
        <v>456.38400000000001</v>
      </c>
    </row>
    <row r="72" spans="1:4">
      <c r="A72" s="22">
        <f t="shared" si="2"/>
        <v>79.279903548232738</v>
      </c>
      <c r="B72" s="22">
        <v>792.79903548232733</v>
      </c>
      <c r="C72" s="22">
        <v>45638.400000000001</v>
      </c>
      <c r="D72" s="23">
        <f t="shared" si="3"/>
        <v>456.38400000000001</v>
      </c>
    </row>
    <row r="73" spans="1:4">
      <c r="A73" s="22">
        <f t="shared" si="2"/>
        <v>80.412473598921778</v>
      </c>
      <c r="B73" s="22">
        <v>804.12473598921781</v>
      </c>
      <c r="C73" s="22">
        <v>45581.06</v>
      </c>
      <c r="D73" s="23">
        <f t="shared" si="3"/>
        <v>455.81059999999997</v>
      </c>
    </row>
    <row r="74" spans="1:4">
      <c r="A74" s="22">
        <f t="shared" si="2"/>
        <v>81.545043649610818</v>
      </c>
      <c r="B74" s="22">
        <v>815.45043649610818</v>
      </c>
      <c r="C74" s="22">
        <v>45523.72</v>
      </c>
      <c r="D74" s="23">
        <f t="shared" si="3"/>
        <v>455.23720000000003</v>
      </c>
    </row>
    <row r="75" spans="1:4">
      <c r="A75" s="22">
        <f t="shared" si="2"/>
        <v>82.677613700299858</v>
      </c>
      <c r="B75" s="22">
        <v>826.77613700299855</v>
      </c>
      <c r="C75" s="22">
        <v>45466.380000000005</v>
      </c>
      <c r="D75" s="23">
        <f t="shared" si="3"/>
        <v>454.66380000000004</v>
      </c>
    </row>
    <row r="76" spans="1:4">
      <c r="A76" s="22">
        <f t="shared" si="2"/>
        <v>83.810183750988898</v>
      </c>
      <c r="B76" s="22">
        <v>838.10183750988892</v>
      </c>
      <c r="C76" s="22">
        <v>45409.040000000008</v>
      </c>
      <c r="D76" s="23">
        <f t="shared" si="3"/>
        <v>454.0904000000001</v>
      </c>
    </row>
    <row r="77" spans="1:4">
      <c r="A77" s="22">
        <f t="shared" si="2"/>
        <v>84.942753801677924</v>
      </c>
      <c r="B77" s="22">
        <v>849.42753801677929</v>
      </c>
      <c r="C77" s="22">
        <v>45351.700000000012</v>
      </c>
      <c r="D77" s="23">
        <f t="shared" si="3"/>
        <v>453.51700000000011</v>
      </c>
    </row>
    <row r="78" spans="1:4">
      <c r="A78" s="22">
        <f t="shared" si="2"/>
        <v>86.075323852366964</v>
      </c>
      <c r="B78" s="22">
        <v>860.75323852366967</v>
      </c>
      <c r="C78" s="22">
        <v>45294.360000000015</v>
      </c>
      <c r="D78" s="23">
        <f t="shared" si="3"/>
        <v>452.94360000000017</v>
      </c>
    </row>
    <row r="79" spans="1:4">
      <c r="A79" s="22">
        <f t="shared" si="2"/>
        <v>87.207893903056018</v>
      </c>
      <c r="B79" s="22">
        <v>872.07893903056015</v>
      </c>
      <c r="C79" s="22">
        <v>45237.020000000019</v>
      </c>
      <c r="D79" s="23">
        <f t="shared" si="3"/>
        <v>452.37020000000018</v>
      </c>
    </row>
    <row r="80" spans="1:4">
      <c r="A80" s="22">
        <f t="shared" si="2"/>
        <v>88.340463953745058</v>
      </c>
      <c r="B80" s="22">
        <v>883.40463953745052</v>
      </c>
      <c r="C80" s="22">
        <v>45179.680000000022</v>
      </c>
      <c r="D80" s="23">
        <f t="shared" si="3"/>
        <v>451.79680000000025</v>
      </c>
    </row>
    <row r="81" spans="1:4">
      <c r="A81" s="22">
        <f t="shared" si="2"/>
        <v>89.473034004434083</v>
      </c>
      <c r="B81" s="22">
        <v>894.73034004434089</v>
      </c>
      <c r="C81" s="22">
        <v>45122.340000000026</v>
      </c>
      <c r="D81" s="23">
        <f t="shared" si="3"/>
        <v>451.22340000000025</v>
      </c>
    </row>
    <row r="82" spans="1:4">
      <c r="A82" s="22">
        <f t="shared" si="2"/>
        <v>90.605604055123123</v>
      </c>
      <c r="B82" s="22">
        <v>906.05604055123126</v>
      </c>
      <c r="C82" s="22">
        <v>45065</v>
      </c>
      <c r="D82" s="23">
        <f t="shared" si="3"/>
        <v>450.65</v>
      </c>
    </row>
    <row r="83" spans="1:4">
      <c r="A83" s="22">
        <f t="shared" si="2"/>
        <v>91.738174105812163</v>
      </c>
      <c r="B83" s="22">
        <v>917.38174105812163</v>
      </c>
      <c r="C83" s="22">
        <v>45041.457999999999</v>
      </c>
      <c r="D83" s="23">
        <f t="shared" si="3"/>
        <v>450.41458</v>
      </c>
    </row>
    <row r="84" spans="1:4">
      <c r="A84" s="22">
        <f t="shared" si="2"/>
        <v>92.870744156501218</v>
      </c>
      <c r="B84" s="22">
        <v>928.70744156501212</v>
      </c>
      <c r="C84" s="22">
        <v>45017.915999999997</v>
      </c>
      <c r="D84" s="23">
        <f t="shared" si="3"/>
        <v>450.17915999999997</v>
      </c>
    </row>
    <row r="85" spans="1:4">
      <c r="A85" s="22">
        <f t="shared" si="2"/>
        <v>94.003314207190243</v>
      </c>
      <c r="B85" s="22">
        <v>940.03314207190249</v>
      </c>
      <c r="C85" s="22">
        <v>44994.373999999996</v>
      </c>
      <c r="D85" s="23">
        <f t="shared" si="3"/>
        <v>449.94373999999993</v>
      </c>
    </row>
    <row r="86" spans="1:4">
      <c r="A86" s="22">
        <f t="shared" si="2"/>
        <v>95.135884257879283</v>
      </c>
      <c r="B86" s="22">
        <v>951.35884257879286</v>
      </c>
      <c r="C86" s="22">
        <v>44970.831999999995</v>
      </c>
      <c r="D86" s="23">
        <f t="shared" si="3"/>
        <v>449.70831999999996</v>
      </c>
    </row>
    <row r="87" spans="1:4">
      <c r="A87" s="22">
        <f t="shared" si="2"/>
        <v>96.268454308568323</v>
      </c>
      <c r="B87" s="22">
        <v>962.68454308568323</v>
      </c>
      <c r="C87" s="22">
        <v>44947.289999999994</v>
      </c>
      <c r="D87" s="23">
        <f t="shared" si="3"/>
        <v>449.47289999999992</v>
      </c>
    </row>
    <row r="88" spans="1:4">
      <c r="A88" s="22">
        <f t="shared" si="2"/>
        <v>97.401024359257363</v>
      </c>
      <c r="B88" s="22">
        <v>974.0102435925736</v>
      </c>
      <c r="C88" s="22">
        <v>44923.747999999992</v>
      </c>
      <c r="D88" s="23">
        <f t="shared" si="3"/>
        <v>449.23747999999995</v>
      </c>
    </row>
    <row r="89" spans="1:4">
      <c r="A89" s="22">
        <f t="shared" si="2"/>
        <v>98.533594409946403</v>
      </c>
      <c r="B89" s="22">
        <v>985.33594409946397</v>
      </c>
      <c r="C89" s="22">
        <v>44900.205999999991</v>
      </c>
      <c r="D89" s="23">
        <f t="shared" si="3"/>
        <v>449.00205999999991</v>
      </c>
    </row>
    <row r="90" spans="1:4">
      <c r="A90" s="22">
        <f t="shared" si="2"/>
        <v>99.666164460635443</v>
      </c>
      <c r="B90" s="22">
        <v>996.66164460635446</v>
      </c>
      <c r="C90" s="22">
        <v>44876.66399999999</v>
      </c>
      <c r="D90" s="23">
        <f t="shared" si="3"/>
        <v>448.76663999999988</v>
      </c>
    </row>
    <row r="91" spans="1:4">
      <c r="A91" s="22">
        <f t="shared" si="2"/>
        <v>100.79873451132448</v>
      </c>
      <c r="B91" s="22">
        <v>1007.9873451132448</v>
      </c>
      <c r="C91" s="22">
        <v>44853.121999999988</v>
      </c>
      <c r="D91" s="23">
        <f t="shared" si="3"/>
        <v>448.53121999999991</v>
      </c>
    </row>
    <row r="92" spans="1:4">
      <c r="A92" s="22">
        <f t="shared" si="2"/>
        <v>101.93130456201352</v>
      </c>
      <c r="B92" s="22">
        <v>1019.3130456201352</v>
      </c>
      <c r="C92" s="22">
        <v>44829.58</v>
      </c>
      <c r="D92" s="23">
        <f t="shared" si="3"/>
        <v>448.29580000000004</v>
      </c>
    </row>
    <row r="93" spans="1:4">
      <c r="A93" s="22">
        <f t="shared" si="2"/>
        <v>103.06387461270256</v>
      </c>
      <c r="B93" s="22">
        <v>1030.6387461270256</v>
      </c>
      <c r="C93" s="22">
        <v>44799.622000000003</v>
      </c>
      <c r="D93" s="23">
        <f t="shared" si="3"/>
        <v>447.99622000000005</v>
      </c>
    </row>
    <row r="94" spans="1:4">
      <c r="A94" s="22">
        <f t="shared" si="2"/>
        <v>104.19644466339159</v>
      </c>
      <c r="B94" s="22">
        <v>1041.9644466339159</v>
      </c>
      <c r="C94" s="22">
        <v>44769.664000000004</v>
      </c>
      <c r="D94" s="23">
        <f t="shared" si="3"/>
        <v>447.69664000000006</v>
      </c>
    </row>
    <row r="95" spans="1:4">
      <c r="A95" s="22">
        <f t="shared" si="2"/>
        <v>105.32901471408063</v>
      </c>
      <c r="B95" s="22">
        <v>1053.2901471408063</v>
      </c>
      <c r="C95" s="22">
        <v>44739.706000000006</v>
      </c>
      <c r="D95" s="23">
        <f t="shared" si="3"/>
        <v>447.39706000000007</v>
      </c>
    </row>
    <row r="96" spans="1:4">
      <c r="A96" s="22">
        <f t="shared" si="2"/>
        <v>106.46158476476967</v>
      </c>
      <c r="B96" s="22">
        <v>1064.6158476476967</v>
      </c>
      <c r="C96" s="22">
        <v>44709.748000000007</v>
      </c>
      <c r="D96" s="23">
        <f t="shared" si="3"/>
        <v>447.09748000000008</v>
      </c>
    </row>
    <row r="97" spans="1:4">
      <c r="A97" s="22">
        <f t="shared" si="2"/>
        <v>107.59415481545871</v>
      </c>
      <c r="B97" s="22">
        <v>1075.9415481545871</v>
      </c>
      <c r="C97" s="22">
        <v>44679.790000000008</v>
      </c>
      <c r="D97" s="23">
        <f t="shared" si="3"/>
        <v>446.79790000000008</v>
      </c>
    </row>
    <row r="98" spans="1:4">
      <c r="A98" s="22">
        <f t="shared" si="2"/>
        <v>108.72672486614776</v>
      </c>
      <c r="B98" s="22">
        <v>1087.2672486614777</v>
      </c>
      <c r="C98" s="22">
        <v>44649.832000000009</v>
      </c>
      <c r="D98" s="23">
        <f t="shared" si="3"/>
        <v>446.49832000000009</v>
      </c>
    </row>
    <row r="99" spans="1:4">
      <c r="A99" s="22">
        <f t="shared" si="2"/>
        <v>109.8592949168368</v>
      </c>
      <c r="B99" s="22">
        <v>1098.592949168368</v>
      </c>
      <c r="C99" s="22">
        <v>44619.874000000011</v>
      </c>
      <c r="D99" s="23">
        <f t="shared" si="3"/>
        <v>446.1987400000001</v>
      </c>
    </row>
    <row r="100" spans="1:4">
      <c r="A100" s="22">
        <f t="shared" si="2"/>
        <v>110.99186496752584</v>
      </c>
      <c r="B100" s="22">
        <v>1109.9186496752584</v>
      </c>
      <c r="C100" s="22">
        <v>44589.916000000012</v>
      </c>
      <c r="D100" s="23">
        <f t="shared" si="3"/>
        <v>445.89916000000011</v>
      </c>
    </row>
    <row r="101" spans="1:4">
      <c r="A101" s="22">
        <f t="shared" si="2"/>
        <v>112.12443501821488</v>
      </c>
      <c r="B101" s="22">
        <v>1121.2443501821488</v>
      </c>
      <c r="C101" s="22">
        <v>44559.958000000013</v>
      </c>
      <c r="D101" s="23">
        <f t="shared" si="3"/>
        <v>445.59958000000012</v>
      </c>
    </row>
    <row r="102" spans="1:4">
      <c r="A102" s="22">
        <f t="shared" si="2"/>
        <v>113.25700506890391</v>
      </c>
      <c r="B102" s="22">
        <v>1132.5700506890391</v>
      </c>
      <c r="C102" s="22">
        <v>44530</v>
      </c>
      <c r="D102" s="23">
        <f t="shared" si="3"/>
        <v>445.3</v>
      </c>
    </row>
    <row r="103" spans="1:4">
      <c r="A103" s="22">
        <f t="shared" si="2"/>
        <v>114.38957511959295</v>
      </c>
      <c r="B103" s="22">
        <v>1143.8957511959295</v>
      </c>
      <c r="C103" s="22">
        <v>44490.091199999995</v>
      </c>
      <c r="D103" s="23">
        <f t="shared" si="3"/>
        <v>444.90091199999995</v>
      </c>
    </row>
    <row r="104" spans="1:4">
      <c r="A104" s="22">
        <f t="shared" si="2"/>
        <v>115.52214517028199</v>
      </c>
      <c r="B104" s="22">
        <v>1155.2214517028199</v>
      </c>
      <c r="C104" s="22">
        <v>44450.182399999991</v>
      </c>
      <c r="D104" s="23">
        <f t="shared" si="3"/>
        <v>444.50182399999989</v>
      </c>
    </row>
    <row r="105" spans="1:4">
      <c r="A105" s="22">
        <f t="shared" si="2"/>
        <v>116.65471522097103</v>
      </c>
      <c r="B105" s="22">
        <v>1166.5471522097102</v>
      </c>
      <c r="C105" s="22">
        <v>44410.273599999986</v>
      </c>
      <c r="D105" s="23">
        <f t="shared" si="3"/>
        <v>444.10273599999988</v>
      </c>
    </row>
    <row r="106" spans="1:4">
      <c r="A106" s="22">
        <f t="shared" si="2"/>
        <v>117.78728527166007</v>
      </c>
      <c r="B106" s="22">
        <v>1177.8728527166006</v>
      </c>
      <c r="C106" s="22">
        <v>44370.364799999981</v>
      </c>
      <c r="D106" s="23">
        <f t="shared" si="3"/>
        <v>443.70364799999982</v>
      </c>
    </row>
    <row r="107" spans="1:4">
      <c r="A107" s="22">
        <f t="shared" si="2"/>
        <v>118.91985532234909</v>
      </c>
      <c r="B107" s="22">
        <v>1189.198553223491</v>
      </c>
      <c r="C107" s="22">
        <v>44330.455999999976</v>
      </c>
      <c r="D107" s="23">
        <f t="shared" si="3"/>
        <v>443.30455999999975</v>
      </c>
    </row>
    <row r="108" spans="1:4">
      <c r="A108" s="22">
        <f t="shared" si="2"/>
        <v>120.05242537303813</v>
      </c>
      <c r="B108" s="22">
        <v>1200.5242537303814</v>
      </c>
      <c r="C108" s="22">
        <v>44290.547199999972</v>
      </c>
      <c r="D108" s="23">
        <f t="shared" si="3"/>
        <v>442.90547199999969</v>
      </c>
    </row>
    <row r="109" spans="1:4">
      <c r="A109" s="22">
        <f t="shared" si="2"/>
        <v>121.18499542372717</v>
      </c>
      <c r="B109" s="22">
        <v>1211.8499542372717</v>
      </c>
      <c r="C109" s="22">
        <v>44250.638399999967</v>
      </c>
      <c r="D109" s="23">
        <f t="shared" si="3"/>
        <v>442.50638399999968</v>
      </c>
    </row>
    <row r="110" spans="1:4">
      <c r="A110" s="22">
        <f t="shared" si="2"/>
        <v>122.31756547441623</v>
      </c>
      <c r="B110" s="22">
        <v>1223.1756547441623</v>
      </c>
      <c r="C110" s="22">
        <v>44210.729599999962</v>
      </c>
      <c r="D110" s="23">
        <f t="shared" si="3"/>
        <v>442.10729599999962</v>
      </c>
    </row>
    <row r="111" spans="1:4">
      <c r="A111" s="22">
        <f t="shared" si="2"/>
        <v>123.45013552510527</v>
      </c>
      <c r="B111" s="22">
        <v>1234.5013552510527</v>
      </c>
      <c r="C111" s="22">
        <v>44170.820799999958</v>
      </c>
      <c r="D111" s="23">
        <f t="shared" si="3"/>
        <v>441.70820799999956</v>
      </c>
    </row>
    <row r="112" spans="1:4">
      <c r="A112" s="22">
        <f t="shared" si="2"/>
        <v>124.58270557579431</v>
      </c>
      <c r="B112" s="22">
        <v>1245.8270557579431</v>
      </c>
      <c r="C112" s="22">
        <v>44160.87</v>
      </c>
      <c r="D112" s="23">
        <f t="shared" si="3"/>
        <v>441.6087</v>
      </c>
    </row>
    <row r="113" spans="1:4">
      <c r="A113" s="22">
        <f t="shared" si="2"/>
        <v>125.71527562648335</v>
      </c>
      <c r="B113" s="22">
        <v>1257.1527562648334</v>
      </c>
      <c r="C113" s="22">
        <v>44116.600000000006</v>
      </c>
      <c r="D113" s="23">
        <f t="shared" si="3"/>
        <v>441.16600000000005</v>
      </c>
    </row>
    <row r="114" spans="1:4">
      <c r="A114" s="22">
        <f t="shared" si="2"/>
        <v>126.84784567717239</v>
      </c>
      <c r="B114" s="22">
        <v>1268.4784567717238</v>
      </c>
      <c r="C114" s="22">
        <v>44072.33</v>
      </c>
      <c r="D114" s="23">
        <f t="shared" si="3"/>
        <v>440.72329999999999</v>
      </c>
    </row>
    <row r="115" spans="1:4">
      <c r="A115" s="22">
        <f t="shared" si="2"/>
        <v>127.98041572786141</v>
      </c>
      <c r="B115" s="22">
        <v>1279.8041572786142</v>
      </c>
      <c r="C115" s="22">
        <v>44028.06</v>
      </c>
      <c r="D115" s="23">
        <f t="shared" si="3"/>
        <v>440.28059999999999</v>
      </c>
    </row>
    <row r="116" spans="1:4">
      <c r="A116" s="22">
        <f t="shared" si="2"/>
        <v>129.11298577855047</v>
      </c>
      <c r="B116" s="22">
        <v>1291.1298577855046</v>
      </c>
      <c r="C116" s="22">
        <v>43983.789999999994</v>
      </c>
      <c r="D116" s="23">
        <f t="shared" si="3"/>
        <v>439.83789999999993</v>
      </c>
    </row>
    <row r="117" spans="1:4">
      <c r="A117" s="22">
        <f t="shared" si="2"/>
        <v>130.24555582923949</v>
      </c>
      <c r="B117" s="22">
        <v>1302.4555582923949</v>
      </c>
      <c r="C117" s="22">
        <v>43939.51999999999</v>
      </c>
      <c r="D117" s="23">
        <f t="shared" si="3"/>
        <v>439.39519999999987</v>
      </c>
    </row>
    <row r="118" spans="1:4">
      <c r="A118" s="22">
        <f t="shared" si="2"/>
        <v>131.37812587992852</v>
      </c>
      <c r="B118" s="22">
        <v>1313.7812587992853</v>
      </c>
      <c r="C118" s="22">
        <v>43895.249999999985</v>
      </c>
      <c r="D118" s="23">
        <f t="shared" si="3"/>
        <v>438.95249999999987</v>
      </c>
    </row>
    <row r="119" spans="1:4">
      <c r="A119" s="22">
        <f t="shared" si="2"/>
        <v>132.51069593061757</v>
      </c>
      <c r="B119" s="22">
        <v>1325.1069593061757</v>
      </c>
      <c r="C119" s="22">
        <v>43850.979999999981</v>
      </c>
      <c r="D119" s="23">
        <f t="shared" si="3"/>
        <v>438.50979999999981</v>
      </c>
    </row>
    <row r="120" spans="1:4">
      <c r="A120" s="22">
        <f t="shared" si="2"/>
        <v>133.6432659813066</v>
      </c>
      <c r="B120" s="22">
        <v>1336.432659813066</v>
      </c>
      <c r="C120" s="22">
        <v>43806.709999999977</v>
      </c>
      <c r="D120" s="23">
        <f t="shared" si="3"/>
        <v>438.06709999999975</v>
      </c>
    </row>
    <row r="121" spans="1:4">
      <c r="A121" s="22">
        <f t="shared" si="2"/>
        <v>134.77583603199565</v>
      </c>
      <c r="B121" s="22">
        <v>1347.7583603199566</v>
      </c>
      <c r="C121" s="22">
        <v>43762.439999999973</v>
      </c>
      <c r="D121" s="23">
        <f t="shared" si="3"/>
        <v>437.62439999999975</v>
      </c>
    </row>
    <row r="122" spans="1:4">
      <c r="A122" s="22">
        <f t="shared" si="2"/>
        <v>135.90840608268471</v>
      </c>
      <c r="B122" s="22">
        <v>1359.084060826847</v>
      </c>
      <c r="C122" s="22">
        <v>43718.17</v>
      </c>
      <c r="D122" s="23">
        <f t="shared" si="3"/>
        <v>437.18169999999998</v>
      </c>
    </row>
    <row r="123" spans="1:4">
      <c r="A123" s="22">
        <f t="shared" si="2"/>
        <v>137.04097613337373</v>
      </c>
      <c r="B123" s="22">
        <v>1370.4097613337374</v>
      </c>
      <c r="C123" s="22">
        <v>43666.216</v>
      </c>
      <c r="D123" s="23">
        <f t="shared" si="3"/>
        <v>436.66216000000003</v>
      </c>
    </row>
    <row r="124" spans="1:4">
      <c r="A124" s="22">
        <f t="shared" si="2"/>
        <v>138.17354618406279</v>
      </c>
      <c r="B124" s="22">
        <v>1381.7354618406277</v>
      </c>
      <c r="C124" s="22">
        <v>43614.262000000002</v>
      </c>
      <c r="D124" s="23">
        <f t="shared" si="3"/>
        <v>436.14262000000002</v>
      </c>
    </row>
    <row r="125" spans="1:4">
      <c r="A125" s="22">
        <f t="shared" si="2"/>
        <v>139.30611623475181</v>
      </c>
      <c r="B125" s="22">
        <v>1393.0611623475181</v>
      </c>
      <c r="C125" s="22">
        <v>43562.308000000005</v>
      </c>
      <c r="D125" s="23">
        <f t="shared" si="3"/>
        <v>435.62308000000007</v>
      </c>
    </row>
    <row r="126" spans="1:4">
      <c r="A126" s="22">
        <f t="shared" si="2"/>
        <v>140.43868628544084</v>
      </c>
      <c r="B126" s="22">
        <v>1404.3868628544085</v>
      </c>
      <c r="C126" s="22">
        <v>43510.354000000007</v>
      </c>
      <c r="D126" s="23">
        <f t="shared" si="3"/>
        <v>435.10354000000007</v>
      </c>
    </row>
    <row r="127" spans="1:4">
      <c r="A127" s="22">
        <f t="shared" si="2"/>
        <v>141.57125633612989</v>
      </c>
      <c r="B127" s="22">
        <v>1415.7125633612989</v>
      </c>
      <c r="C127" s="22">
        <v>43458.400000000009</v>
      </c>
      <c r="D127" s="23">
        <f t="shared" si="3"/>
        <v>434.58400000000006</v>
      </c>
    </row>
    <row r="128" spans="1:4">
      <c r="A128" s="22">
        <f t="shared" si="2"/>
        <v>142.70382638681892</v>
      </c>
      <c r="B128" s="22">
        <v>1427.0382638681892</v>
      </c>
      <c r="C128" s="22">
        <v>43406.446000000011</v>
      </c>
      <c r="D128" s="23">
        <f t="shared" si="3"/>
        <v>434.06446000000011</v>
      </c>
    </row>
    <row r="129" spans="1:4">
      <c r="A129" s="22">
        <f t="shared" si="2"/>
        <v>143.83639643750797</v>
      </c>
      <c r="B129" s="22">
        <v>1438.3639643750796</v>
      </c>
      <c r="C129" s="22">
        <v>43354.492000000013</v>
      </c>
      <c r="D129" s="23">
        <f t="shared" si="3"/>
        <v>433.5449200000001</v>
      </c>
    </row>
    <row r="130" spans="1:4">
      <c r="A130" s="22">
        <f t="shared" si="2"/>
        <v>144.968966488197</v>
      </c>
      <c r="B130" s="22">
        <v>1449.68966488197</v>
      </c>
      <c r="C130" s="22">
        <v>43302.538000000015</v>
      </c>
      <c r="D130" s="23">
        <f t="shared" si="3"/>
        <v>433.02538000000015</v>
      </c>
    </row>
    <row r="131" spans="1:4">
      <c r="A131" s="22">
        <f t="shared" ref="A131:A194" si="4">$B131/10</f>
        <v>146.10153653888602</v>
      </c>
      <c r="B131" s="22">
        <v>1461.0153653888603</v>
      </c>
      <c r="C131" s="22">
        <v>43250.584000000017</v>
      </c>
      <c r="D131" s="23">
        <f t="shared" ref="D131:D194" si="5">$C131/100</f>
        <v>432.50584000000015</v>
      </c>
    </row>
    <row r="132" spans="1:4">
      <c r="A132" s="22">
        <f t="shared" si="4"/>
        <v>147.23410658957511</v>
      </c>
      <c r="B132" s="22">
        <v>1472.3410658957509</v>
      </c>
      <c r="C132" s="22">
        <v>43198.63</v>
      </c>
      <c r="D132" s="23">
        <f t="shared" si="5"/>
        <v>431.98629999999997</v>
      </c>
    </row>
    <row r="133" spans="1:4">
      <c r="A133" s="22">
        <f t="shared" si="4"/>
        <v>148.36667664026413</v>
      </c>
      <c r="B133" s="22">
        <v>1483.6667664026413</v>
      </c>
      <c r="C133" s="22">
        <v>43138.566999999995</v>
      </c>
      <c r="D133" s="23">
        <f t="shared" si="5"/>
        <v>431.38566999999995</v>
      </c>
    </row>
    <row r="134" spans="1:4">
      <c r="A134" s="22">
        <f t="shared" si="4"/>
        <v>149.49924669095316</v>
      </c>
      <c r="B134" s="22">
        <v>1494.9924669095317</v>
      </c>
      <c r="C134" s="22">
        <v>43078.503999999994</v>
      </c>
      <c r="D134" s="23">
        <f t="shared" si="5"/>
        <v>430.78503999999992</v>
      </c>
    </row>
    <row r="135" spans="1:4">
      <c r="A135" s="22">
        <f t="shared" si="4"/>
        <v>150.63181674164221</v>
      </c>
      <c r="B135" s="22">
        <v>1506.3181674164221</v>
      </c>
      <c r="C135" s="22">
        <v>43018.440999999992</v>
      </c>
      <c r="D135" s="23">
        <f t="shared" si="5"/>
        <v>430.1844099999999</v>
      </c>
    </row>
    <row r="136" spans="1:4">
      <c r="A136" s="22">
        <f t="shared" si="4"/>
        <v>151.76438679233124</v>
      </c>
      <c r="B136" s="22">
        <v>1517.6438679233124</v>
      </c>
      <c r="C136" s="22">
        <v>42958.37799999999</v>
      </c>
      <c r="D136" s="23">
        <f t="shared" si="5"/>
        <v>429.58377999999988</v>
      </c>
    </row>
    <row r="137" spans="1:4">
      <c r="A137" s="22">
        <f t="shared" si="4"/>
        <v>152.89695684302029</v>
      </c>
      <c r="B137" s="22">
        <v>1528.9695684302028</v>
      </c>
      <c r="C137" s="22">
        <v>42898.314999999988</v>
      </c>
      <c r="D137" s="23">
        <f t="shared" si="5"/>
        <v>428.98314999999985</v>
      </c>
    </row>
    <row r="138" spans="1:4">
      <c r="A138" s="22">
        <f t="shared" si="4"/>
        <v>154.02952689370932</v>
      </c>
      <c r="B138" s="22">
        <v>1540.2952689370932</v>
      </c>
      <c r="C138" s="22">
        <v>42838.251999999986</v>
      </c>
      <c r="D138" s="23">
        <f t="shared" si="5"/>
        <v>428.38251999999989</v>
      </c>
    </row>
    <row r="139" spans="1:4">
      <c r="A139" s="22">
        <f t="shared" si="4"/>
        <v>155.16209694439834</v>
      </c>
      <c r="B139" s="22">
        <v>1551.6209694439835</v>
      </c>
      <c r="C139" s="22">
        <v>42778.188999999984</v>
      </c>
      <c r="D139" s="23">
        <f t="shared" si="5"/>
        <v>427.78188999999986</v>
      </c>
    </row>
    <row r="140" spans="1:4">
      <c r="A140" s="22">
        <f t="shared" si="4"/>
        <v>156.2946669950874</v>
      </c>
      <c r="B140" s="22">
        <v>1562.9466699508739</v>
      </c>
      <c r="C140" s="22">
        <v>42718.125999999982</v>
      </c>
      <c r="D140" s="23">
        <f t="shared" si="5"/>
        <v>427.18125999999984</v>
      </c>
    </row>
    <row r="141" spans="1:4">
      <c r="A141" s="22">
        <f t="shared" si="4"/>
        <v>157.42723704577642</v>
      </c>
      <c r="B141" s="22">
        <v>1574.2723704577643</v>
      </c>
      <c r="C141" s="22">
        <v>42658.06299999998</v>
      </c>
      <c r="D141" s="23">
        <f t="shared" si="5"/>
        <v>426.58062999999981</v>
      </c>
    </row>
    <row r="142" spans="1:4">
      <c r="A142" s="22">
        <f t="shared" si="4"/>
        <v>158.55980709646548</v>
      </c>
      <c r="B142" s="22">
        <v>1585.5980709646547</v>
      </c>
      <c r="C142" s="22">
        <v>42598</v>
      </c>
      <c r="D142" s="23">
        <f t="shared" si="5"/>
        <v>425.98</v>
      </c>
    </row>
    <row r="143" spans="1:4">
      <c r="A143" s="22">
        <f t="shared" si="4"/>
        <v>159.6923771471545</v>
      </c>
      <c r="B143" s="22">
        <v>1596.923771471545</v>
      </c>
      <c r="C143" s="22">
        <v>42529.737999999998</v>
      </c>
      <c r="D143" s="23">
        <f t="shared" si="5"/>
        <v>425.29737999999998</v>
      </c>
    </row>
    <row r="144" spans="1:4">
      <c r="A144" s="22">
        <f t="shared" si="4"/>
        <v>160.82494719784356</v>
      </c>
      <c r="B144" s="22">
        <v>1608.2494719784356</v>
      </c>
      <c r="C144" s="22">
        <v>42461.475999999995</v>
      </c>
      <c r="D144" s="23">
        <f t="shared" si="5"/>
        <v>424.61475999999993</v>
      </c>
    </row>
    <row r="145" spans="1:4">
      <c r="A145" s="22">
        <f t="shared" si="4"/>
        <v>161.95751724853261</v>
      </c>
      <c r="B145" s="22">
        <v>1619.575172485326</v>
      </c>
      <c r="C145" s="22">
        <v>42393.213999999993</v>
      </c>
      <c r="D145" s="23">
        <f t="shared" si="5"/>
        <v>423.93213999999995</v>
      </c>
    </row>
    <row r="146" spans="1:4">
      <c r="A146" s="22">
        <f t="shared" si="4"/>
        <v>163.09008729922164</v>
      </c>
      <c r="B146" s="22">
        <v>1630.9008729922164</v>
      </c>
      <c r="C146" s="22">
        <v>42324.95199999999</v>
      </c>
      <c r="D146" s="23">
        <f t="shared" si="5"/>
        <v>423.2495199999999</v>
      </c>
    </row>
    <row r="147" spans="1:4">
      <c r="A147" s="22">
        <f t="shared" si="4"/>
        <v>164.22265734991066</v>
      </c>
      <c r="B147" s="22">
        <v>1642.2265734991067</v>
      </c>
      <c r="C147" s="22">
        <v>42256.689999999988</v>
      </c>
      <c r="D147" s="23">
        <f t="shared" si="5"/>
        <v>422.56689999999986</v>
      </c>
    </row>
    <row r="148" spans="1:4">
      <c r="A148" s="22">
        <f t="shared" si="4"/>
        <v>165.35522740059972</v>
      </c>
      <c r="B148" s="22">
        <v>1653.5522740059971</v>
      </c>
      <c r="C148" s="22">
        <v>42188.427999999985</v>
      </c>
      <c r="D148" s="23">
        <f t="shared" si="5"/>
        <v>421.88427999999988</v>
      </c>
    </row>
    <row r="149" spans="1:4">
      <c r="A149" s="22">
        <f t="shared" si="4"/>
        <v>166.48779745128874</v>
      </c>
      <c r="B149" s="22">
        <v>1664.8779745128875</v>
      </c>
      <c r="C149" s="22">
        <v>42120.165999999983</v>
      </c>
      <c r="D149" s="23">
        <f t="shared" si="5"/>
        <v>421.20165999999983</v>
      </c>
    </row>
    <row r="150" spans="1:4">
      <c r="A150" s="22">
        <f t="shared" si="4"/>
        <v>167.6203675019778</v>
      </c>
      <c r="B150" s="22">
        <v>1676.2036750197778</v>
      </c>
      <c r="C150" s="22">
        <v>42051.90399999998</v>
      </c>
      <c r="D150" s="23">
        <f t="shared" si="5"/>
        <v>420.51903999999979</v>
      </c>
    </row>
    <row r="151" spans="1:4">
      <c r="A151" s="22">
        <f t="shared" si="4"/>
        <v>168.75293755266682</v>
      </c>
      <c r="B151" s="22">
        <v>1687.5293755266682</v>
      </c>
      <c r="C151" s="22">
        <v>41983.641999999978</v>
      </c>
      <c r="D151" s="23">
        <f t="shared" si="5"/>
        <v>419.8364199999998</v>
      </c>
    </row>
    <row r="152" spans="1:4">
      <c r="A152" s="22">
        <f t="shared" si="4"/>
        <v>169.88550760335585</v>
      </c>
      <c r="B152" s="22">
        <v>1698.8550760335586</v>
      </c>
      <c r="C152" s="22">
        <v>41915.379999999997</v>
      </c>
      <c r="D152" s="23">
        <f t="shared" si="5"/>
        <v>419.15379999999999</v>
      </c>
    </row>
    <row r="153" spans="1:4">
      <c r="A153" s="22">
        <f t="shared" si="4"/>
        <v>171.0180776540449</v>
      </c>
      <c r="B153" s="22">
        <v>1710.180776540449</v>
      </c>
      <c r="C153" s="22">
        <v>41838.568999999996</v>
      </c>
      <c r="D153" s="23">
        <f t="shared" si="5"/>
        <v>418.38568999999995</v>
      </c>
    </row>
    <row r="154" spans="1:4">
      <c r="A154" s="22">
        <f t="shared" si="4"/>
        <v>172.15064770473393</v>
      </c>
      <c r="B154" s="22">
        <v>1721.5064770473393</v>
      </c>
      <c r="C154" s="22">
        <v>41761.757999999994</v>
      </c>
      <c r="D154" s="23">
        <f t="shared" si="5"/>
        <v>417.61757999999992</v>
      </c>
    </row>
    <row r="155" spans="1:4">
      <c r="A155" s="22">
        <f t="shared" si="4"/>
        <v>173.28321775542298</v>
      </c>
      <c r="B155" s="22">
        <v>1732.8321775542299</v>
      </c>
      <c r="C155" s="22">
        <v>41684.946999999993</v>
      </c>
      <c r="D155" s="23">
        <f t="shared" si="5"/>
        <v>416.84946999999994</v>
      </c>
    </row>
    <row r="156" spans="1:4">
      <c r="A156" s="22">
        <f t="shared" si="4"/>
        <v>174.41578780611204</v>
      </c>
      <c r="B156" s="22">
        <v>1744.1578780611203</v>
      </c>
      <c r="C156" s="22">
        <v>41608.135999999991</v>
      </c>
      <c r="D156" s="23">
        <f t="shared" si="5"/>
        <v>416.0813599999999</v>
      </c>
    </row>
    <row r="157" spans="1:4">
      <c r="A157" s="22">
        <f t="shared" si="4"/>
        <v>175.54835785680106</v>
      </c>
      <c r="B157" s="22">
        <v>1755.4835785680107</v>
      </c>
      <c r="C157" s="22">
        <v>41531.32499999999</v>
      </c>
      <c r="D157" s="23">
        <f t="shared" si="5"/>
        <v>415.31324999999993</v>
      </c>
    </row>
    <row r="158" spans="1:4">
      <c r="A158" s="22">
        <f t="shared" si="4"/>
        <v>176.68092790749012</v>
      </c>
      <c r="B158" s="22">
        <v>1766.809279074901</v>
      </c>
      <c r="C158" s="22">
        <v>41454.513999999988</v>
      </c>
      <c r="D158" s="23">
        <f t="shared" si="5"/>
        <v>414.54513999999989</v>
      </c>
    </row>
    <row r="159" spans="1:4">
      <c r="A159" s="22">
        <f t="shared" si="4"/>
        <v>177.81349795817914</v>
      </c>
      <c r="B159" s="22">
        <v>1778.1349795817914</v>
      </c>
      <c r="C159" s="22">
        <v>41377.702999999987</v>
      </c>
      <c r="D159" s="23">
        <f t="shared" si="5"/>
        <v>413.77702999999985</v>
      </c>
    </row>
    <row r="160" spans="1:4">
      <c r="A160" s="22">
        <f t="shared" si="4"/>
        <v>178.94606800886817</v>
      </c>
      <c r="B160" s="22">
        <v>1789.4606800886818</v>
      </c>
      <c r="C160" s="22">
        <v>41300.891999999985</v>
      </c>
      <c r="D160" s="23">
        <f t="shared" si="5"/>
        <v>413.00891999999988</v>
      </c>
    </row>
    <row r="161" spans="1:4">
      <c r="A161" s="22">
        <f t="shared" si="4"/>
        <v>180.07863805955722</v>
      </c>
      <c r="B161" s="22">
        <v>1800.7863805955722</v>
      </c>
      <c r="C161" s="22">
        <v>41224.080999999984</v>
      </c>
      <c r="D161" s="23">
        <f t="shared" si="5"/>
        <v>412.24080999999984</v>
      </c>
    </row>
    <row r="162" spans="1:4">
      <c r="A162" s="22">
        <f t="shared" si="4"/>
        <v>181.21120811024625</v>
      </c>
      <c r="B162" s="22">
        <v>1812.1120811024625</v>
      </c>
      <c r="C162" s="22">
        <v>41147.269999999997</v>
      </c>
      <c r="D162" s="23">
        <f t="shared" si="5"/>
        <v>411.47269999999997</v>
      </c>
    </row>
    <row r="163" spans="1:4">
      <c r="A163" s="22">
        <f t="shared" si="4"/>
        <v>182.3437781609353</v>
      </c>
      <c r="B163" s="22">
        <v>1823.4377816093529</v>
      </c>
      <c r="C163" s="22">
        <v>41061.762999999999</v>
      </c>
      <c r="D163" s="23">
        <f t="shared" si="5"/>
        <v>410.61762999999996</v>
      </c>
    </row>
    <row r="164" spans="1:4">
      <c r="A164" s="22">
        <f t="shared" si="4"/>
        <v>183.47634821162433</v>
      </c>
      <c r="B164" s="22">
        <v>1834.7634821162433</v>
      </c>
      <c r="C164" s="22">
        <v>40976.256000000001</v>
      </c>
      <c r="D164" s="23">
        <f t="shared" si="5"/>
        <v>409.76256000000001</v>
      </c>
    </row>
    <row r="165" spans="1:4">
      <c r="A165" s="22">
        <f t="shared" si="4"/>
        <v>184.60891826231335</v>
      </c>
      <c r="B165" s="22">
        <v>1846.0891826231336</v>
      </c>
      <c r="C165" s="22">
        <v>40890.749000000003</v>
      </c>
      <c r="D165" s="23">
        <f t="shared" si="5"/>
        <v>408.90749000000005</v>
      </c>
    </row>
    <row r="166" spans="1:4">
      <c r="A166" s="22">
        <f t="shared" si="4"/>
        <v>185.74148831300244</v>
      </c>
      <c r="B166" s="22">
        <v>1857.4148831300242</v>
      </c>
      <c r="C166" s="22">
        <v>40805.242000000006</v>
      </c>
      <c r="D166" s="23">
        <f t="shared" si="5"/>
        <v>408.05242000000004</v>
      </c>
    </row>
    <row r="167" spans="1:4">
      <c r="A167" s="22">
        <f t="shared" si="4"/>
        <v>186.87405836369146</v>
      </c>
      <c r="B167" s="22">
        <v>1868.7405836369146</v>
      </c>
      <c r="C167" s="22">
        <v>40719.735000000008</v>
      </c>
      <c r="D167" s="23">
        <f t="shared" si="5"/>
        <v>407.19735000000009</v>
      </c>
    </row>
    <row r="168" spans="1:4">
      <c r="A168" s="22">
        <f t="shared" si="4"/>
        <v>188.00662841438049</v>
      </c>
      <c r="B168" s="22">
        <v>1880.066284143805</v>
      </c>
      <c r="C168" s="22">
        <v>40634.22800000001</v>
      </c>
      <c r="D168" s="23">
        <f t="shared" si="5"/>
        <v>406.34228000000007</v>
      </c>
    </row>
    <row r="169" spans="1:4">
      <c r="A169" s="22">
        <f t="shared" si="4"/>
        <v>189.13919846506954</v>
      </c>
      <c r="B169" s="22">
        <v>1891.3919846506953</v>
      </c>
      <c r="C169" s="22">
        <v>40548.721000000012</v>
      </c>
      <c r="D169" s="23">
        <f t="shared" si="5"/>
        <v>405.48721000000012</v>
      </c>
    </row>
    <row r="170" spans="1:4">
      <c r="A170" s="22">
        <f t="shared" si="4"/>
        <v>190.27176851575857</v>
      </c>
      <c r="B170" s="22">
        <v>1902.7176851575857</v>
      </c>
      <c r="C170" s="22">
        <v>40463.214000000014</v>
      </c>
      <c r="D170" s="23">
        <f t="shared" si="5"/>
        <v>404.63214000000016</v>
      </c>
    </row>
    <row r="171" spans="1:4">
      <c r="A171" s="22">
        <f t="shared" si="4"/>
        <v>191.40433856644762</v>
      </c>
      <c r="B171" s="22">
        <v>1914.0433856644761</v>
      </c>
      <c r="C171" s="22">
        <v>40377.707000000017</v>
      </c>
      <c r="D171" s="23">
        <f t="shared" si="5"/>
        <v>403.77707000000015</v>
      </c>
    </row>
    <row r="172" spans="1:4">
      <c r="A172" s="22">
        <f t="shared" si="4"/>
        <v>192.53690861713665</v>
      </c>
      <c r="B172" s="22">
        <v>1925.3690861713665</v>
      </c>
      <c r="C172" s="22">
        <v>40292.199999999997</v>
      </c>
      <c r="D172" s="23">
        <f t="shared" si="5"/>
        <v>402.92199999999997</v>
      </c>
    </row>
    <row r="173" spans="1:4">
      <c r="A173" s="22">
        <f t="shared" si="4"/>
        <v>193.66947866782567</v>
      </c>
      <c r="B173" s="22">
        <v>1936.6947866782568</v>
      </c>
      <c r="C173" s="22">
        <v>40197.868999999999</v>
      </c>
      <c r="D173" s="23">
        <f t="shared" si="5"/>
        <v>401.97868999999997</v>
      </c>
    </row>
    <row r="174" spans="1:4">
      <c r="A174" s="22">
        <f t="shared" si="4"/>
        <v>194.80204871851473</v>
      </c>
      <c r="B174" s="22">
        <v>1948.0204871851472</v>
      </c>
      <c r="C174" s="22">
        <v>40103.538</v>
      </c>
      <c r="D174" s="23">
        <f t="shared" si="5"/>
        <v>401.03538000000003</v>
      </c>
    </row>
    <row r="175" spans="1:4">
      <c r="A175" s="22">
        <f t="shared" si="4"/>
        <v>195.93461876920375</v>
      </c>
      <c r="B175" s="22">
        <v>1959.3461876920376</v>
      </c>
      <c r="C175" s="22">
        <v>40009.207000000002</v>
      </c>
      <c r="D175" s="23">
        <f t="shared" si="5"/>
        <v>400.09207000000004</v>
      </c>
    </row>
    <row r="176" spans="1:4">
      <c r="A176" s="22">
        <f t="shared" si="4"/>
        <v>197.06718881989281</v>
      </c>
      <c r="B176" s="22">
        <v>1970.6718881989279</v>
      </c>
      <c r="C176" s="22">
        <v>39914.876000000004</v>
      </c>
      <c r="D176" s="23">
        <f t="shared" si="5"/>
        <v>399.14876000000004</v>
      </c>
    </row>
    <row r="177" spans="1:4">
      <c r="A177" s="22">
        <f t="shared" si="4"/>
        <v>198.19975887058186</v>
      </c>
      <c r="B177" s="22">
        <v>1981.9975887058185</v>
      </c>
      <c r="C177" s="22">
        <v>39820.545000000006</v>
      </c>
      <c r="D177" s="23">
        <f t="shared" si="5"/>
        <v>398.20545000000004</v>
      </c>
    </row>
    <row r="178" spans="1:4">
      <c r="A178" s="22">
        <f t="shared" si="4"/>
        <v>199.33232892127089</v>
      </c>
      <c r="B178" s="22">
        <v>1993.3232892127089</v>
      </c>
      <c r="C178" s="22">
        <v>39726.214000000007</v>
      </c>
      <c r="D178" s="23">
        <f t="shared" si="5"/>
        <v>397.26214000000004</v>
      </c>
    </row>
    <row r="179" spans="1:4">
      <c r="A179" s="22">
        <f t="shared" si="4"/>
        <v>200.46489897195994</v>
      </c>
      <c r="B179" s="22">
        <v>2004.6489897195993</v>
      </c>
      <c r="C179" s="22">
        <v>39631.883000000009</v>
      </c>
      <c r="D179" s="23">
        <f t="shared" si="5"/>
        <v>396.3188300000001</v>
      </c>
    </row>
    <row r="180" spans="1:4">
      <c r="A180" s="22">
        <f t="shared" si="4"/>
        <v>201.59746902264897</v>
      </c>
      <c r="B180" s="22">
        <v>2015.9746902264897</v>
      </c>
      <c r="C180" s="22">
        <v>39537.552000000011</v>
      </c>
      <c r="D180" s="23">
        <f t="shared" si="5"/>
        <v>395.37552000000011</v>
      </c>
    </row>
    <row r="181" spans="1:4">
      <c r="A181" s="22">
        <f t="shared" si="4"/>
        <v>202.73003907333799</v>
      </c>
      <c r="B181" s="22">
        <v>2027.30039073338</v>
      </c>
      <c r="C181" s="22">
        <v>39443.221000000012</v>
      </c>
      <c r="D181" s="23">
        <f t="shared" si="5"/>
        <v>394.43221000000011</v>
      </c>
    </row>
    <row r="182" spans="1:4">
      <c r="A182" s="22">
        <f t="shared" si="4"/>
        <v>203.86260912402705</v>
      </c>
      <c r="B182" s="22">
        <v>2038.6260912402704</v>
      </c>
      <c r="C182" s="22">
        <v>39348.89</v>
      </c>
      <c r="D182" s="23">
        <f t="shared" si="5"/>
        <v>393.4889</v>
      </c>
    </row>
    <row r="183" spans="1:4">
      <c r="A183" s="22">
        <f t="shared" si="4"/>
        <v>204.99517917471607</v>
      </c>
      <c r="B183" s="22">
        <v>2049.9517917471608</v>
      </c>
      <c r="C183" s="22">
        <v>39245.680999999997</v>
      </c>
      <c r="D183" s="23">
        <f t="shared" si="5"/>
        <v>392.45680999999996</v>
      </c>
    </row>
    <row r="184" spans="1:4">
      <c r="A184" s="22">
        <f t="shared" si="4"/>
        <v>206.12774922540513</v>
      </c>
      <c r="B184" s="22">
        <v>2061.2774922540511</v>
      </c>
      <c r="C184" s="22">
        <v>39142.471999999994</v>
      </c>
      <c r="D184" s="23">
        <f t="shared" si="5"/>
        <v>391.42471999999992</v>
      </c>
    </row>
    <row r="185" spans="1:4">
      <c r="A185" s="22">
        <f t="shared" si="4"/>
        <v>207.26031927609415</v>
      </c>
      <c r="B185" s="22">
        <v>2072.6031927609415</v>
      </c>
      <c r="C185" s="22">
        <v>39039.262999999992</v>
      </c>
      <c r="D185" s="23">
        <f t="shared" si="5"/>
        <v>390.39262999999994</v>
      </c>
    </row>
    <row r="186" spans="1:4">
      <c r="A186" s="22">
        <f t="shared" si="4"/>
        <v>208.39288932678318</v>
      </c>
      <c r="B186" s="22">
        <v>2083.9288932678319</v>
      </c>
      <c r="C186" s="22">
        <v>38936.053999999989</v>
      </c>
      <c r="D186" s="23">
        <f t="shared" si="5"/>
        <v>389.3605399999999</v>
      </c>
    </row>
    <row r="187" spans="1:4">
      <c r="A187" s="22">
        <f t="shared" si="4"/>
        <v>209.52545937747223</v>
      </c>
      <c r="B187" s="22">
        <v>2095.2545937747223</v>
      </c>
      <c r="C187" s="22">
        <v>38832.844999999987</v>
      </c>
      <c r="D187" s="23">
        <f t="shared" si="5"/>
        <v>388.32844999999986</v>
      </c>
    </row>
    <row r="188" spans="1:4">
      <c r="A188" s="22">
        <f t="shared" si="4"/>
        <v>210.65802942816126</v>
      </c>
      <c r="B188" s="22">
        <v>2106.5802942816126</v>
      </c>
      <c r="C188" s="22">
        <v>38729.635999999984</v>
      </c>
      <c r="D188" s="23">
        <f t="shared" si="5"/>
        <v>387.29635999999982</v>
      </c>
    </row>
    <row r="189" spans="1:4">
      <c r="A189" s="22">
        <f t="shared" si="4"/>
        <v>211.79059947885031</v>
      </c>
      <c r="B189" s="22">
        <v>2117.905994788503</v>
      </c>
      <c r="C189" s="22">
        <v>38626.426999999981</v>
      </c>
      <c r="D189" s="23">
        <f t="shared" si="5"/>
        <v>386.26426999999984</v>
      </c>
    </row>
    <row r="190" spans="1:4">
      <c r="A190" s="22">
        <f t="shared" si="4"/>
        <v>212.92316952953934</v>
      </c>
      <c r="B190" s="22">
        <v>2129.2316952953934</v>
      </c>
      <c r="C190" s="22">
        <v>38523.217999999979</v>
      </c>
      <c r="D190" s="23">
        <f t="shared" si="5"/>
        <v>385.2321799999998</v>
      </c>
    </row>
    <row r="191" spans="1:4">
      <c r="A191" s="22">
        <f t="shared" si="4"/>
        <v>214.05573958022836</v>
      </c>
      <c r="B191" s="22">
        <v>2140.5573958022837</v>
      </c>
      <c r="C191" s="22">
        <v>38420.008999999976</v>
      </c>
      <c r="D191" s="23">
        <f t="shared" si="5"/>
        <v>384.20008999999976</v>
      </c>
    </row>
    <row r="192" spans="1:4">
      <c r="A192" s="22">
        <f t="shared" si="4"/>
        <v>215.18830963091742</v>
      </c>
      <c r="B192" s="22">
        <v>2151.8830963091741</v>
      </c>
      <c r="C192" s="22">
        <v>38316.800000000003</v>
      </c>
      <c r="D192" s="23">
        <f t="shared" si="5"/>
        <v>383.16800000000001</v>
      </c>
    </row>
    <row r="193" spans="1:4">
      <c r="A193" s="22">
        <f t="shared" si="4"/>
        <v>216.32087968160644</v>
      </c>
      <c r="B193" s="22">
        <v>2163.2087968160645</v>
      </c>
      <c r="C193" s="22">
        <v>38204.742000000006</v>
      </c>
      <c r="D193" s="23">
        <f t="shared" si="5"/>
        <v>382.04742000000005</v>
      </c>
    </row>
    <row r="194" spans="1:4">
      <c r="A194" s="22">
        <f t="shared" si="4"/>
        <v>217.45344973229552</v>
      </c>
      <c r="B194" s="22">
        <v>2174.5344973229553</v>
      </c>
      <c r="C194" s="22">
        <v>38092.684000000008</v>
      </c>
      <c r="D194" s="23">
        <f t="shared" si="5"/>
        <v>380.92684000000008</v>
      </c>
    </row>
    <row r="195" spans="1:4">
      <c r="A195" s="22">
        <f t="shared" ref="A195:A258" si="6">$B195/10</f>
        <v>218.58601978298458</v>
      </c>
      <c r="B195" s="22">
        <v>2185.8601978298457</v>
      </c>
      <c r="C195" s="22">
        <v>37980.626000000011</v>
      </c>
      <c r="D195" s="23">
        <f t="shared" ref="D195:D258" si="7">$C195/100</f>
        <v>379.80626000000012</v>
      </c>
    </row>
    <row r="196" spans="1:4">
      <c r="A196" s="22">
        <f t="shared" si="6"/>
        <v>219.7185898336736</v>
      </c>
      <c r="B196" s="22">
        <v>2197.185898336736</v>
      </c>
      <c r="C196" s="22">
        <v>37868.568000000014</v>
      </c>
      <c r="D196" s="23">
        <f t="shared" si="7"/>
        <v>378.68568000000016</v>
      </c>
    </row>
    <row r="197" spans="1:4">
      <c r="A197" s="22">
        <f t="shared" si="6"/>
        <v>220.85115988436263</v>
      </c>
      <c r="B197" s="22">
        <v>2208.5115988436264</v>
      </c>
      <c r="C197" s="22">
        <v>37756.510000000017</v>
      </c>
      <c r="D197" s="23">
        <f t="shared" si="7"/>
        <v>377.56510000000014</v>
      </c>
    </row>
    <row r="198" spans="1:4">
      <c r="A198" s="22">
        <f t="shared" si="6"/>
        <v>221.98372993505168</v>
      </c>
      <c r="B198" s="22">
        <v>2219.8372993505168</v>
      </c>
      <c r="C198" s="22">
        <v>37644.452000000019</v>
      </c>
      <c r="D198" s="23">
        <f t="shared" si="7"/>
        <v>376.44452000000018</v>
      </c>
    </row>
    <row r="199" spans="1:4">
      <c r="A199" s="22">
        <f t="shared" si="6"/>
        <v>223.11629998574071</v>
      </c>
      <c r="B199" s="22">
        <v>2231.1629998574072</v>
      </c>
      <c r="C199" s="22">
        <v>37532.394000000022</v>
      </c>
      <c r="D199" s="23">
        <f t="shared" si="7"/>
        <v>375.32394000000022</v>
      </c>
    </row>
    <row r="200" spans="1:4">
      <c r="A200" s="22">
        <f t="shared" si="6"/>
        <v>224.24887003642976</v>
      </c>
      <c r="B200" s="22">
        <v>2242.4887003642975</v>
      </c>
      <c r="C200" s="22">
        <v>37420.336000000025</v>
      </c>
      <c r="D200" s="23">
        <f t="shared" si="7"/>
        <v>374.20336000000026</v>
      </c>
    </row>
    <row r="201" spans="1:4">
      <c r="A201" s="22">
        <f t="shared" si="6"/>
        <v>225.38144008711879</v>
      </c>
      <c r="B201" s="22">
        <v>2253.8144008711879</v>
      </c>
      <c r="C201" s="22">
        <v>37308.278000000028</v>
      </c>
      <c r="D201" s="23">
        <f t="shared" si="7"/>
        <v>373.0827800000003</v>
      </c>
    </row>
    <row r="202" spans="1:4">
      <c r="A202" s="22">
        <f t="shared" si="6"/>
        <v>226.51401013780782</v>
      </c>
      <c r="B202" s="22">
        <v>2265.1401013780783</v>
      </c>
      <c r="C202" s="22">
        <v>37196.22</v>
      </c>
      <c r="D202" s="23">
        <f t="shared" si="7"/>
        <v>371.9622</v>
      </c>
    </row>
    <row r="203" spans="1:4">
      <c r="A203" s="22">
        <f t="shared" si="6"/>
        <v>227.64658018849687</v>
      </c>
      <c r="B203" s="22">
        <v>2276.4658018849686</v>
      </c>
      <c r="C203" s="22">
        <v>37075.474999999999</v>
      </c>
      <c r="D203" s="23">
        <f t="shared" si="7"/>
        <v>370.75475</v>
      </c>
    </row>
    <row r="204" spans="1:4">
      <c r="A204" s="22">
        <f t="shared" si="6"/>
        <v>228.7791502391859</v>
      </c>
      <c r="B204" s="22">
        <v>2287.791502391859</v>
      </c>
      <c r="C204" s="22">
        <v>36954.729999999996</v>
      </c>
      <c r="D204" s="23">
        <f t="shared" si="7"/>
        <v>369.54729999999995</v>
      </c>
    </row>
    <row r="205" spans="1:4">
      <c r="A205" s="22">
        <f t="shared" si="6"/>
        <v>229.91172028987495</v>
      </c>
      <c r="B205" s="22">
        <v>2299.1172028987494</v>
      </c>
      <c r="C205" s="22">
        <v>36833.984999999993</v>
      </c>
      <c r="D205" s="23">
        <f t="shared" si="7"/>
        <v>368.33984999999996</v>
      </c>
    </row>
    <row r="206" spans="1:4">
      <c r="A206" s="22">
        <f t="shared" si="6"/>
        <v>231.04429034056398</v>
      </c>
      <c r="B206" s="22">
        <v>2310.4429034056398</v>
      </c>
      <c r="C206" s="22">
        <v>36713.239999999991</v>
      </c>
      <c r="D206" s="23">
        <f t="shared" si="7"/>
        <v>367.1323999999999</v>
      </c>
    </row>
    <row r="207" spans="1:4">
      <c r="A207" s="22">
        <f t="shared" si="6"/>
        <v>232.176860391253</v>
      </c>
      <c r="B207" s="22">
        <v>2321.7686039125301</v>
      </c>
      <c r="C207" s="22">
        <v>36592.494999999988</v>
      </c>
      <c r="D207" s="23">
        <f t="shared" si="7"/>
        <v>365.92494999999985</v>
      </c>
    </row>
    <row r="208" spans="1:4">
      <c r="A208" s="22">
        <f t="shared" si="6"/>
        <v>233.30943044194206</v>
      </c>
      <c r="B208" s="22">
        <v>2333.0943044194205</v>
      </c>
      <c r="C208" s="22">
        <v>36471.749999999985</v>
      </c>
      <c r="D208" s="23">
        <f t="shared" si="7"/>
        <v>364.71749999999986</v>
      </c>
    </row>
    <row r="209" spans="1:4">
      <c r="A209" s="22">
        <f t="shared" si="6"/>
        <v>234.44200049263108</v>
      </c>
      <c r="B209" s="22">
        <v>2344.4200049263109</v>
      </c>
      <c r="C209" s="22">
        <v>36351.004999999983</v>
      </c>
      <c r="D209" s="23">
        <f t="shared" si="7"/>
        <v>363.51004999999981</v>
      </c>
    </row>
    <row r="210" spans="1:4">
      <c r="A210" s="22">
        <f t="shared" si="6"/>
        <v>235.57457054332014</v>
      </c>
      <c r="B210" s="22">
        <v>2355.7457054332012</v>
      </c>
      <c r="C210" s="22">
        <v>36230.25999999998</v>
      </c>
      <c r="D210" s="23">
        <f t="shared" si="7"/>
        <v>362.30259999999981</v>
      </c>
    </row>
    <row r="211" spans="1:4">
      <c r="A211" s="22">
        <f t="shared" si="6"/>
        <v>236.70714059400916</v>
      </c>
      <c r="B211" s="22">
        <v>2367.0714059400916</v>
      </c>
      <c r="C211" s="22">
        <v>36109.514999999978</v>
      </c>
      <c r="D211" s="23">
        <f t="shared" si="7"/>
        <v>361.09514999999976</v>
      </c>
    </row>
    <row r="212" spans="1:4">
      <c r="A212" s="22">
        <f t="shared" si="6"/>
        <v>237.83971064469819</v>
      </c>
      <c r="B212" s="22">
        <v>2378.397106446982</v>
      </c>
      <c r="C212" s="22">
        <v>35988.769999999997</v>
      </c>
      <c r="D212" s="23">
        <f t="shared" si="7"/>
        <v>359.8877</v>
      </c>
    </row>
    <row r="213" spans="1:4">
      <c r="A213" s="22">
        <f t="shared" si="6"/>
        <v>238.97228069538724</v>
      </c>
      <c r="B213" s="22">
        <v>2389.7228069538724</v>
      </c>
      <c r="C213" s="22">
        <v>35859.792999999998</v>
      </c>
      <c r="D213" s="23">
        <f t="shared" si="7"/>
        <v>358.59792999999996</v>
      </c>
    </row>
    <row r="214" spans="1:4">
      <c r="A214" s="22">
        <f t="shared" si="6"/>
        <v>240.10485074607627</v>
      </c>
      <c r="B214" s="22">
        <v>2401.0485074607627</v>
      </c>
      <c r="C214" s="22">
        <v>35730.815999999999</v>
      </c>
      <c r="D214" s="23">
        <f t="shared" si="7"/>
        <v>357.30815999999999</v>
      </c>
    </row>
    <row r="215" spans="1:4">
      <c r="A215" s="22">
        <f t="shared" si="6"/>
        <v>241.23742079676532</v>
      </c>
      <c r="B215" s="22">
        <v>2412.3742079676531</v>
      </c>
      <c r="C215" s="22">
        <v>35601.839</v>
      </c>
      <c r="D215" s="23">
        <f t="shared" si="7"/>
        <v>356.01839000000001</v>
      </c>
    </row>
    <row r="216" spans="1:4">
      <c r="A216" s="22">
        <f t="shared" si="6"/>
        <v>242.36999084745435</v>
      </c>
      <c r="B216" s="22">
        <v>2423.6999084745435</v>
      </c>
      <c r="C216" s="22">
        <v>35472.862000000001</v>
      </c>
      <c r="D216" s="23">
        <f t="shared" si="7"/>
        <v>354.72862000000003</v>
      </c>
    </row>
    <row r="217" spans="1:4">
      <c r="A217" s="22">
        <f t="shared" si="6"/>
        <v>243.50256089814343</v>
      </c>
      <c r="B217" s="22">
        <v>2435.0256089814343</v>
      </c>
      <c r="C217" s="22">
        <v>35343.885000000002</v>
      </c>
      <c r="D217" s="23">
        <f t="shared" si="7"/>
        <v>353.43885</v>
      </c>
    </row>
    <row r="218" spans="1:4">
      <c r="A218" s="22">
        <f t="shared" si="6"/>
        <v>244.63513094883245</v>
      </c>
      <c r="B218" s="22">
        <v>2446.3513094883247</v>
      </c>
      <c r="C218" s="22">
        <v>35214.908000000003</v>
      </c>
      <c r="D218" s="23">
        <f t="shared" si="7"/>
        <v>352.14908000000003</v>
      </c>
    </row>
    <row r="219" spans="1:4">
      <c r="A219" s="22">
        <f t="shared" si="6"/>
        <v>245.76770099952151</v>
      </c>
      <c r="B219" s="22">
        <v>2457.677009995215</v>
      </c>
      <c r="C219" s="22">
        <v>35085.931000000004</v>
      </c>
      <c r="D219" s="23">
        <f t="shared" si="7"/>
        <v>350.85931000000005</v>
      </c>
    </row>
    <row r="220" spans="1:4">
      <c r="A220" s="22">
        <f t="shared" si="6"/>
        <v>246.90027105021053</v>
      </c>
      <c r="B220" s="22">
        <v>2469.0027105021054</v>
      </c>
      <c r="C220" s="22">
        <v>34956.954000000005</v>
      </c>
      <c r="D220" s="23">
        <f t="shared" si="7"/>
        <v>349.56954000000007</v>
      </c>
    </row>
    <row r="221" spans="1:4">
      <c r="A221" s="22">
        <f t="shared" si="6"/>
        <v>248.03284110089959</v>
      </c>
      <c r="B221" s="22">
        <v>2480.3284110089958</v>
      </c>
      <c r="C221" s="22">
        <v>34827.977000000006</v>
      </c>
      <c r="D221" s="23">
        <f t="shared" si="7"/>
        <v>348.27977000000004</v>
      </c>
    </row>
    <row r="222" spans="1:4">
      <c r="A222" s="22">
        <f t="shared" si="6"/>
        <v>249.16541115158861</v>
      </c>
      <c r="B222" s="22">
        <v>2491.6541115158861</v>
      </c>
      <c r="C222" s="22">
        <v>34699</v>
      </c>
      <c r="D222" s="23">
        <f t="shared" si="7"/>
        <v>346.99</v>
      </c>
    </row>
    <row r="223" spans="1:4">
      <c r="A223" s="22">
        <f t="shared" si="6"/>
        <v>250.29798120227764</v>
      </c>
      <c r="B223" s="22">
        <v>2502.9798120227765</v>
      </c>
      <c r="C223" s="22">
        <v>34564.343000000001</v>
      </c>
      <c r="D223" s="23">
        <f t="shared" si="7"/>
        <v>345.64343000000002</v>
      </c>
    </row>
    <row r="224" spans="1:4">
      <c r="A224" s="22">
        <f t="shared" si="6"/>
        <v>251.43055125296669</v>
      </c>
      <c r="B224" s="22">
        <v>2514.3055125296669</v>
      </c>
      <c r="C224" s="22">
        <v>34429.686000000002</v>
      </c>
      <c r="D224" s="23">
        <f t="shared" si="7"/>
        <v>344.29686000000004</v>
      </c>
    </row>
    <row r="225" spans="1:4">
      <c r="A225" s="22">
        <f t="shared" si="6"/>
        <v>252.56312130365572</v>
      </c>
      <c r="B225" s="22">
        <v>2525.6312130365573</v>
      </c>
      <c r="C225" s="22">
        <v>34295.029000000002</v>
      </c>
      <c r="D225" s="23">
        <f t="shared" si="7"/>
        <v>342.95029</v>
      </c>
    </row>
    <row r="226" spans="1:4">
      <c r="A226" s="22">
        <f t="shared" si="6"/>
        <v>253.69569135434477</v>
      </c>
      <c r="B226" s="22">
        <v>2536.9569135434476</v>
      </c>
      <c r="C226" s="22">
        <v>34160.372000000003</v>
      </c>
      <c r="D226" s="23">
        <f t="shared" si="7"/>
        <v>341.60372000000001</v>
      </c>
    </row>
    <row r="227" spans="1:4">
      <c r="A227" s="22">
        <f t="shared" si="6"/>
        <v>254.8282614050338</v>
      </c>
      <c r="B227" s="22">
        <v>2548.282614050338</v>
      </c>
      <c r="C227" s="22">
        <v>34025.715000000004</v>
      </c>
      <c r="D227" s="23">
        <f t="shared" si="7"/>
        <v>340.25715000000002</v>
      </c>
    </row>
    <row r="228" spans="1:4">
      <c r="A228" s="22">
        <f t="shared" si="6"/>
        <v>255.96083145572283</v>
      </c>
      <c r="B228" s="22">
        <v>2559.6083145572284</v>
      </c>
      <c r="C228" s="22">
        <v>33891.058000000005</v>
      </c>
      <c r="D228" s="23">
        <f t="shared" si="7"/>
        <v>338.91058000000004</v>
      </c>
    </row>
    <row r="229" spans="1:4">
      <c r="A229" s="22">
        <f t="shared" si="6"/>
        <v>257.09340150641185</v>
      </c>
      <c r="B229" s="22">
        <v>2570.9340150641187</v>
      </c>
      <c r="C229" s="22">
        <v>33756.401000000005</v>
      </c>
      <c r="D229" s="23">
        <f t="shared" si="7"/>
        <v>337.56401000000005</v>
      </c>
    </row>
    <row r="230" spans="1:4">
      <c r="A230" s="22">
        <f t="shared" si="6"/>
        <v>258.22597155710093</v>
      </c>
      <c r="B230" s="22">
        <v>2582.2597155710091</v>
      </c>
      <c r="C230" s="22">
        <v>33621.744000000006</v>
      </c>
      <c r="D230" s="23">
        <f t="shared" si="7"/>
        <v>336.21744000000007</v>
      </c>
    </row>
    <row r="231" spans="1:4">
      <c r="A231" s="22">
        <f t="shared" si="6"/>
        <v>259.35854160778996</v>
      </c>
      <c r="B231" s="22">
        <v>2593.5854160778995</v>
      </c>
      <c r="C231" s="22">
        <v>33487.087000000007</v>
      </c>
      <c r="D231" s="23">
        <f t="shared" si="7"/>
        <v>334.87087000000008</v>
      </c>
    </row>
    <row r="232" spans="1:4">
      <c r="A232" s="22">
        <f t="shared" si="6"/>
        <v>260.49111165847899</v>
      </c>
      <c r="B232" s="22">
        <v>2604.9111165847899</v>
      </c>
      <c r="C232" s="22">
        <v>33352.43</v>
      </c>
      <c r="D232" s="23">
        <f t="shared" si="7"/>
        <v>333.52429999999998</v>
      </c>
    </row>
    <row r="233" spans="1:4">
      <c r="A233" s="22">
        <f t="shared" si="6"/>
        <v>261.62368170916801</v>
      </c>
      <c r="B233" s="22">
        <v>2616.2368170916802</v>
      </c>
      <c r="C233" s="22">
        <v>33217.3603</v>
      </c>
      <c r="D233" s="23">
        <f t="shared" si="7"/>
        <v>332.17360300000001</v>
      </c>
    </row>
    <row r="234" spans="1:4">
      <c r="A234" s="22">
        <f t="shared" si="6"/>
        <v>262.75625175985704</v>
      </c>
      <c r="B234" s="22">
        <v>2627.5625175985706</v>
      </c>
      <c r="C234" s="22">
        <v>33082.2906</v>
      </c>
      <c r="D234" s="23">
        <f t="shared" si="7"/>
        <v>330.82290599999999</v>
      </c>
    </row>
    <row r="235" spans="1:4">
      <c r="A235" s="22">
        <f t="shared" si="6"/>
        <v>263.88882181054612</v>
      </c>
      <c r="B235" s="22">
        <v>2638.888218105461</v>
      </c>
      <c r="C235" s="22">
        <v>32947.2209</v>
      </c>
      <c r="D235" s="23">
        <f t="shared" si="7"/>
        <v>329.47220900000002</v>
      </c>
    </row>
    <row r="236" spans="1:4">
      <c r="A236" s="22">
        <f t="shared" si="6"/>
        <v>265.02139186123514</v>
      </c>
      <c r="B236" s="22">
        <v>2650.2139186123513</v>
      </c>
      <c r="C236" s="22">
        <v>32812.1512</v>
      </c>
      <c r="D236" s="23">
        <f t="shared" si="7"/>
        <v>328.121512</v>
      </c>
    </row>
    <row r="237" spans="1:4">
      <c r="A237" s="22">
        <f t="shared" si="6"/>
        <v>266.15396191192417</v>
      </c>
      <c r="B237" s="22">
        <v>2661.5396191192417</v>
      </c>
      <c r="C237" s="22">
        <v>32677.0815</v>
      </c>
      <c r="D237" s="23">
        <f t="shared" si="7"/>
        <v>326.77081500000003</v>
      </c>
    </row>
    <row r="238" spans="1:4">
      <c r="A238" s="22">
        <f t="shared" si="6"/>
        <v>267.2865319626132</v>
      </c>
      <c r="B238" s="22">
        <v>2672.8653196261321</v>
      </c>
      <c r="C238" s="22">
        <v>32542.0118</v>
      </c>
      <c r="D238" s="23">
        <f t="shared" si="7"/>
        <v>325.420118</v>
      </c>
    </row>
    <row r="239" spans="1:4">
      <c r="A239" s="22">
        <f t="shared" si="6"/>
        <v>268.41910201330222</v>
      </c>
      <c r="B239" s="22">
        <v>2684.1910201330224</v>
      </c>
      <c r="C239" s="22">
        <v>32406.9421</v>
      </c>
      <c r="D239" s="23">
        <f t="shared" si="7"/>
        <v>324.06942099999998</v>
      </c>
    </row>
    <row r="240" spans="1:4">
      <c r="A240" s="22">
        <f t="shared" si="6"/>
        <v>269.5516720639913</v>
      </c>
      <c r="B240" s="22">
        <v>2695.5167206399133</v>
      </c>
      <c r="C240" s="22">
        <v>32271.8724</v>
      </c>
      <c r="D240" s="23">
        <f t="shared" si="7"/>
        <v>322.71872400000001</v>
      </c>
    </row>
    <row r="241" spans="1:4">
      <c r="A241" s="22">
        <f t="shared" si="6"/>
        <v>270.68424211468039</v>
      </c>
      <c r="B241" s="22">
        <v>2706.8424211468036</v>
      </c>
      <c r="C241" s="22">
        <v>32136.8027</v>
      </c>
      <c r="D241" s="23">
        <f t="shared" si="7"/>
        <v>321.36802699999998</v>
      </c>
    </row>
    <row r="242" spans="1:4">
      <c r="A242" s="22">
        <f t="shared" si="6"/>
        <v>271.81681216536941</v>
      </c>
      <c r="B242" s="22">
        <v>2718.168121653694</v>
      </c>
      <c r="C242" s="22">
        <v>32001.733</v>
      </c>
      <c r="D242" s="23">
        <f t="shared" si="7"/>
        <v>320.01733000000002</v>
      </c>
    </row>
    <row r="243" spans="1:4">
      <c r="A243" s="22">
        <f t="shared" si="6"/>
        <v>272.94938221605844</v>
      </c>
      <c r="B243" s="22">
        <v>2729.4938221605844</v>
      </c>
      <c r="C243" s="22">
        <v>31866.6633</v>
      </c>
      <c r="D243" s="23">
        <f t="shared" si="7"/>
        <v>318.66663299999999</v>
      </c>
    </row>
    <row r="244" spans="1:4">
      <c r="A244" s="22">
        <f t="shared" si="6"/>
        <v>274.08195226674746</v>
      </c>
      <c r="B244" s="22">
        <v>2740.8195226674748</v>
      </c>
      <c r="C244" s="22">
        <v>31731.5936</v>
      </c>
      <c r="D244" s="23">
        <f t="shared" si="7"/>
        <v>317.31593600000002</v>
      </c>
    </row>
    <row r="245" spans="1:4">
      <c r="A245" s="22">
        <f t="shared" si="6"/>
        <v>275.21452231743649</v>
      </c>
      <c r="B245" s="22">
        <v>2752.1452231743651</v>
      </c>
      <c r="C245" s="22">
        <v>31596.5239</v>
      </c>
      <c r="D245" s="23">
        <f t="shared" si="7"/>
        <v>315.965239</v>
      </c>
    </row>
    <row r="246" spans="1:4">
      <c r="A246" s="22">
        <f t="shared" si="6"/>
        <v>276.34709236812557</v>
      </c>
      <c r="B246" s="22">
        <v>2763.4709236812555</v>
      </c>
      <c r="C246" s="22">
        <v>31461.4542</v>
      </c>
      <c r="D246" s="23">
        <f t="shared" si="7"/>
        <v>314.61454200000003</v>
      </c>
    </row>
    <row r="247" spans="1:4">
      <c r="A247" s="22">
        <f t="shared" si="6"/>
        <v>277.4796624188146</v>
      </c>
      <c r="B247" s="22">
        <v>2774.7966241881459</v>
      </c>
      <c r="C247" s="22">
        <v>31326.3845</v>
      </c>
      <c r="D247" s="23">
        <f t="shared" si="7"/>
        <v>313.263845</v>
      </c>
    </row>
    <row r="248" spans="1:4">
      <c r="A248" s="22">
        <f t="shared" si="6"/>
        <v>278.61223246950362</v>
      </c>
      <c r="B248" s="22">
        <v>2786.1223246950362</v>
      </c>
      <c r="C248" s="22">
        <v>31191.3148</v>
      </c>
      <c r="D248" s="23">
        <f t="shared" si="7"/>
        <v>311.91314799999998</v>
      </c>
    </row>
    <row r="249" spans="1:4">
      <c r="A249" s="22">
        <f t="shared" si="6"/>
        <v>279.74480252019265</v>
      </c>
      <c r="B249" s="22">
        <v>2797.4480252019266</v>
      </c>
      <c r="C249" s="22">
        <v>31056.2451</v>
      </c>
      <c r="D249" s="23">
        <f t="shared" si="7"/>
        <v>310.56245100000001</v>
      </c>
    </row>
    <row r="250" spans="1:4">
      <c r="A250" s="22">
        <f t="shared" si="6"/>
        <v>280.87737257088168</v>
      </c>
      <c r="B250" s="22">
        <v>2808.773725708817</v>
      </c>
      <c r="C250" s="22">
        <v>30921.1754</v>
      </c>
      <c r="D250" s="23">
        <f t="shared" si="7"/>
        <v>309.21175399999998</v>
      </c>
    </row>
    <row r="251" spans="1:4">
      <c r="A251" s="22">
        <f t="shared" si="6"/>
        <v>282.00994262157076</v>
      </c>
      <c r="B251" s="22">
        <v>2820.0994262157074</v>
      </c>
      <c r="C251" s="22">
        <v>30786.1057</v>
      </c>
      <c r="D251" s="23">
        <f t="shared" si="7"/>
        <v>307.86105700000002</v>
      </c>
    </row>
    <row r="252" spans="1:4">
      <c r="A252" s="22">
        <f t="shared" si="6"/>
        <v>283.14251267225978</v>
      </c>
      <c r="B252" s="22">
        <v>2831.4251267225977</v>
      </c>
      <c r="C252" s="22">
        <v>30651.036</v>
      </c>
      <c r="D252" s="23">
        <f t="shared" si="7"/>
        <v>306.51035999999999</v>
      </c>
    </row>
    <row r="253" spans="1:4">
      <c r="A253" s="22">
        <f t="shared" si="6"/>
        <v>284.27508272294881</v>
      </c>
      <c r="B253" s="22">
        <v>2842.7508272294881</v>
      </c>
      <c r="C253" s="22">
        <v>30515.9663</v>
      </c>
      <c r="D253" s="23">
        <f t="shared" si="7"/>
        <v>305.15966300000002</v>
      </c>
    </row>
    <row r="254" spans="1:4">
      <c r="A254" s="22">
        <f t="shared" si="6"/>
        <v>285.40765277363784</v>
      </c>
      <c r="B254" s="22">
        <v>2854.0765277363785</v>
      </c>
      <c r="C254" s="22">
        <v>30380.8966</v>
      </c>
      <c r="D254" s="23">
        <f t="shared" si="7"/>
        <v>303.808966</v>
      </c>
    </row>
    <row r="255" spans="1:4">
      <c r="A255" s="22">
        <f t="shared" si="6"/>
        <v>286.54022282432686</v>
      </c>
      <c r="B255" s="22">
        <v>2865.4022282432688</v>
      </c>
      <c r="C255" s="22">
        <v>30245.8269</v>
      </c>
      <c r="D255" s="23">
        <f t="shared" si="7"/>
        <v>302.45826899999997</v>
      </c>
    </row>
    <row r="256" spans="1:4">
      <c r="A256" s="22">
        <f t="shared" si="6"/>
        <v>287.67279287501594</v>
      </c>
      <c r="B256" s="22">
        <v>2876.7279287501592</v>
      </c>
      <c r="C256" s="22">
        <v>30110.7572</v>
      </c>
      <c r="D256" s="23">
        <f t="shared" si="7"/>
        <v>301.107572</v>
      </c>
    </row>
    <row r="257" spans="1:4">
      <c r="A257" s="22">
        <f t="shared" si="6"/>
        <v>288.80536292570497</v>
      </c>
      <c r="B257" s="22">
        <v>2888.0536292570496</v>
      </c>
      <c r="C257" s="22">
        <v>29975.6875</v>
      </c>
      <c r="D257" s="23">
        <f t="shared" si="7"/>
        <v>299.75687499999998</v>
      </c>
    </row>
    <row r="258" spans="1:4">
      <c r="A258" s="22">
        <f t="shared" si="6"/>
        <v>289.93793297639399</v>
      </c>
      <c r="B258" s="22">
        <v>2899.3793297639399</v>
      </c>
      <c r="C258" s="22">
        <v>29840.6178</v>
      </c>
      <c r="D258" s="23">
        <f t="shared" si="7"/>
        <v>298.40617800000001</v>
      </c>
    </row>
    <row r="259" spans="1:4">
      <c r="A259" s="22">
        <f t="shared" ref="A259:A322" si="8">$B259/10</f>
        <v>291.07050302708302</v>
      </c>
      <c r="B259" s="22">
        <v>2910.7050302708303</v>
      </c>
      <c r="C259" s="22">
        <v>29705.5481</v>
      </c>
      <c r="D259" s="23">
        <f t="shared" ref="D259:D322" si="9">$C259/100</f>
        <v>297.05548099999999</v>
      </c>
    </row>
    <row r="260" spans="1:4">
      <c r="A260" s="22">
        <f t="shared" si="8"/>
        <v>292.20307307777205</v>
      </c>
      <c r="B260" s="22">
        <v>2922.0307307777207</v>
      </c>
      <c r="C260" s="22">
        <v>29570.4784</v>
      </c>
      <c r="D260" s="23">
        <f t="shared" si="9"/>
        <v>295.70478400000002</v>
      </c>
    </row>
    <row r="261" spans="1:4">
      <c r="A261" s="22">
        <f t="shared" si="8"/>
        <v>293.33564312846113</v>
      </c>
      <c r="B261" s="22">
        <v>2933.3564312846111</v>
      </c>
      <c r="C261" s="22">
        <v>29435.4087</v>
      </c>
      <c r="D261" s="23">
        <f t="shared" si="9"/>
        <v>294.35408699999999</v>
      </c>
    </row>
    <row r="262" spans="1:4">
      <c r="A262" s="22">
        <f t="shared" si="8"/>
        <v>294.46821317915021</v>
      </c>
      <c r="B262" s="22">
        <v>2944.6821317915019</v>
      </c>
      <c r="C262" s="22">
        <v>29300.339</v>
      </c>
      <c r="D262" s="23">
        <f t="shared" si="9"/>
        <v>293.00339000000002</v>
      </c>
    </row>
    <row r="263" spans="1:4">
      <c r="A263" s="22">
        <f t="shared" si="8"/>
        <v>295.60078322983924</v>
      </c>
      <c r="B263" s="22">
        <v>2956.0078322983923</v>
      </c>
      <c r="C263" s="22">
        <v>29165.2693</v>
      </c>
      <c r="D263" s="23">
        <f t="shared" si="9"/>
        <v>291.652693</v>
      </c>
    </row>
    <row r="264" spans="1:4">
      <c r="A264" s="22">
        <f t="shared" si="8"/>
        <v>296.73335328052826</v>
      </c>
      <c r="B264" s="22">
        <v>2967.3335328052826</v>
      </c>
      <c r="C264" s="22">
        <v>29030.1996</v>
      </c>
      <c r="D264" s="23">
        <f t="shared" si="9"/>
        <v>290.30199599999997</v>
      </c>
    </row>
    <row r="265" spans="1:4">
      <c r="A265" s="22">
        <f t="shared" si="8"/>
        <v>297.86592333121729</v>
      </c>
      <c r="B265" s="22">
        <v>2978.659233312173</v>
      </c>
      <c r="C265" s="22">
        <v>28895.1299</v>
      </c>
      <c r="D265" s="23">
        <f t="shared" si="9"/>
        <v>288.95129900000001</v>
      </c>
    </row>
    <row r="266" spans="1:4">
      <c r="A266" s="22">
        <f t="shared" si="8"/>
        <v>298.99849338190631</v>
      </c>
      <c r="B266" s="22">
        <v>2989.9849338190634</v>
      </c>
      <c r="C266" s="22">
        <v>28760.0602</v>
      </c>
      <c r="D266" s="23">
        <f t="shared" si="9"/>
        <v>287.60060199999998</v>
      </c>
    </row>
    <row r="267" spans="1:4">
      <c r="A267" s="22">
        <f t="shared" si="8"/>
        <v>300.1310634325954</v>
      </c>
      <c r="B267" s="22">
        <v>3001.3106343259537</v>
      </c>
      <c r="C267" s="22">
        <v>28624.9905</v>
      </c>
      <c r="D267" s="23">
        <f t="shared" si="9"/>
        <v>286.24990500000001</v>
      </c>
    </row>
    <row r="268" spans="1:4">
      <c r="A268" s="22">
        <f t="shared" si="8"/>
        <v>301.26363348328442</v>
      </c>
      <c r="B268" s="22">
        <v>3012.6363348328441</v>
      </c>
      <c r="C268" s="22">
        <v>28489.9208</v>
      </c>
      <c r="D268" s="23">
        <f t="shared" si="9"/>
        <v>284.89920799999999</v>
      </c>
    </row>
    <row r="269" spans="1:4">
      <c r="A269" s="22">
        <f t="shared" si="8"/>
        <v>302.39620353397345</v>
      </c>
      <c r="B269" s="22">
        <v>3023.9620353397345</v>
      </c>
      <c r="C269" s="22">
        <v>28354.8511</v>
      </c>
      <c r="D269" s="23">
        <f t="shared" si="9"/>
        <v>283.54851100000002</v>
      </c>
    </row>
    <row r="270" spans="1:4">
      <c r="A270" s="22">
        <f t="shared" si="8"/>
        <v>303.52877358466247</v>
      </c>
      <c r="B270" s="22">
        <v>3035.2877358466249</v>
      </c>
      <c r="C270" s="22">
        <v>28219.7814</v>
      </c>
      <c r="D270" s="23">
        <f t="shared" si="9"/>
        <v>282.19781399999999</v>
      </c>
    </row>
    <row r="271" spans="1:4">
      <c r="A271" s="22">
        <f t="shared" si="8"/>
        <v>304.6613436353515</v>
      </c>
      <c r="B271" s="22">
        <v>3046.6134363535152</v>
      </c>
      <c r="C271" s="22">
        <v>28084.7117</v>
      </c>
      <c r="D271" s="23">
        <f t="shared" si="9"/>
        <v>280.84711700000003</v>
      </c>
    </row>
    <row r="272" spans="1:4">
      <c r="A272" s="22">
        <f t="shared" si="8"/>
        <v>305.79391368604058</v>
      </c>
      <c r="B272" s="22">
        <v>3057.9391368604056</v>
      </c>
      <c r="C272" s="22">
        <v>27949.642</v>
      </c>
      <c r="D272" s="23">
        <f t="shared" si="9"/>
        <v>279.49642</v>
      </c>
    </row>
    <row r="273" spans="1:4">
      <c r="A273" s="22">
        <f t="shared" si="8"/>
        <v>306.92648373672961</v>
      </c>
      <c r="B273" s="22">
        <v>3069.264837367296</v>
      </c>
      <c r="C273" s="22">
        <v>27814.5723</v>
      </c>
      <c r="D273" s="23">
        <f t="shared" si="9"/>
        <v>278.14572299999998</v>
      </c>
    </row>
    <row r="274" spans="1:4">
      <c r="A274" s="22">
        <f t="shared" si="8"/>
        <v>308.05905378741863</v>
      </c>
      <c r="B274" s="22">
        <v>3080.5905378741863</v>
      </c>
      <c r="C274" s="22">
        <v>27679.5026</v>
      </c>
      <c r="D274" s="23">
        <f t="shared" si="9"/>
        <v>276.79502600000001</v>
      </c>
    </row>
    <row r="275" spans="1:4">
      <c r="A275" s="22">
        <f t="shared" si="8"/>
        <v>309.19162383810766</v>
      </c>
      <c r="B275" s="22">
        <v>3091.9162383810767</v>
      </c>
      <c r="C275" s="22">
        <v>27544.4329</v>
      </c>
      <c r="D275" s="23">
        <f t="shared" si="9"/>
        <v>275.44432899999998</v>
      </c>
    </row>
    <row r="276" spans="1:4">
      <c r="A276" s="22">
        <f t="shared" si="8"/>
        <v>310.32419388879669</v>
      </c>
      <c r="B276" s="22">
        <v>3103.2419388879671</v>
      </c>
      <c r="C276" s="22">
        <v>27409.3632</v>
      </c>
      <c r="D276" s="23">
        <f t="shared" si="9"/>
        <v>274.09363200000001</v>
      </c>
    </row>
    <row r="277" spans="1:4">
      <c r="A277" s="22">
        <f t="shared" si="8"/>
        <v>311.45676393948577</v>
      </c>
      <c r="B277" s="22">
        <v>3114.5676393948575</v>
      </c>
      <c r="C277" s="22">
        <v>27274.2935</v>
      </c>
      <c r="D277" s="23">
        <f t="shared" si="9"/>
        <v>272.74293499999999</v>
      </c>
    </row>
    <row r="278" spans="1:4">
      <c r="A278" s="22">
        <f t="shared" si="8"/>
        <v>312.58933399017479</v>
      </c>
      <c r="B278" s="22">
        <v>3125.8933399017478</v>
      </c>
      <c r="C278" s="22">
        <v>27139.2238</v>
      </c>
      <c r="D278" s="23">
        <f t="shared" si="9"/>
        <v>271.39223800000002</v>
      </c>
    </row>
    <row r="279" spans="1:4">
      <c r="A279" s="22">
        <f t="shared" si="8"/>
        <v>313.72190404086382</v>
      </c>
      <c r="B279" s="22">
        <v>3137.2190404086382</v>
      </c>
      <c r="C279" s="22">
        <v>27004.1541</v>
      </c>
      <c r="D279" s="23">
        <f t="shared" si="9"/>
        <v>270.041541</v>
      </c>
    </row>
    <row r="280" spans="1:4">
      <c r="A280" s="22">
        <f t="shared" si="8"/>
        <v>314.85447409155285</v>
      </c>
      <c r="B280" s="22">
        <v>3148.5447409155286</v>
      </c>
      <c r="C280" s="22">
        <v>26869.0844</v>
      </c>
      <c r="D280" s="23">
        <f t="shared" si="9"/>
        <v>268.69084399999997</v>
      </c>
    </row>
    <row r="281" spans="1:4">
      <c r="A281" s="22">
        <f t="shared" si="8"/>
        <v>315.98704414224187</v>
      </c>
      <c r="B281" s="22">
        <v>3159.8704414224189</v>
      </c>
      <c r="C281" s="22">
        <v>26734.0147</v>
      </c>
      <c r="D281" s="23">
        <f t="shared" si="9"/>
        <v>267.340147</v>
      </c>
    </row>
    <row r="282" spans="1:4">
      <c r="A282" s="22">
        <f t="shared" si="8"/>
        <v>317.11961419293095</v>
      </c>
      <c r="B282" s="22">
        <v>3171.1961419293093</v>
      </c>
      <c r="C282" s="22">
        <v>26598.945</v>
      </c>
      <c r="D282" s="23">
        <f t="shared" si="9"/>
        <v>265.98944999999998</v>
      </c>
    </row>
    <row r="283" spans="1:4">
      <c r="A283" s="22">
        <f t="shared" si="8"/>
        <v>318.25218424361998</v>
      </c>
      <c r="B283" s="22">
        <v>3182.5218424361997</v>
      </c>
      <c r="C283" s="22">
        <v>26463.8753</v>
      </c>
      <c r="D283" s="23">
        <f t="shared" si="9"/>
        <v>264.63875300000001</v>
      </c>
    </row>
    <row r="284" spans="1:4">
      <c r="A284" s="22">
        <f t="shared" si="8"/>
        <v>319.384754294309</v>
      </c>
      <c r="B284" s="22">
        <v>3193.84754294309</v>
      </c>
      <c r="C284" s="22">
        <v>26328.8056</v>
      </c>
      <c r="D284" s="23">
        <f t="shared" si="9"/>
        <v>263.28805599999998</v>
      </c>
    </row>
    <row r="285" spans="1:4">
      <c r="A285" s="22">
        <f t="shared" si="8"/>
        <v>320.51732434499809</v>
      </c>
      <c r="B285" s="22">
        <v>3205.1732434499809</v>
      </c>
      <c r="C285" s="22">
        <v>26193.7359</v>
      </c>
      <c r="D285" s="23">
        <f t="shared" si="9"/>
        <v>261.93735900000001</v>
      </c>
    </row>
    <row r="286" spans="1:4">
      <c r="A286" s="22">
        <f t="shared" si="8"/>
        <v>321.64989439568711</v>
      </c>
      <c r="B286" s="22">
        <v>3216.4989439568712</v>
      </c>
      <c r="C286" s="22">
        <v>26058.6662</v>
      </c>
      <c r="D286" s="23">
        <f t="shared" si="9"/>
        <v>260.58666199999999</v>
      </c>
    </row>
    <row r="287" spans="1:4">
      <c r="A287" s="22">
        <f t="shared" si="8"/>
        <v>322.78246444637614</v>
      </c>
      <c r="B287" s="22">
        <v>3227.8246444637616</v>
      </c>
      <c r="C287" s="22">
        <v>25923.5965</v>
      </c>
      <c r="D287" s="23">
        <f t="shared" si="9"/>
        <v>259.23596500000002</v>
      </c>
    </row>
    <row r="288" spans="1:4">
      <c r="A288" s="22">
        <f t="shared" si="8"/>
        <v>323.91503449706522</v>
      </c>
      <c r="B288" s="22">
        <v>3239.150344970652</v>
      </c>
      <c r="C288" s="22">
        <v>25788.5268</v>
      </c>
      <c r="D288" s="23">
        <f t="shared" si="9"/>
        <v>257.885268</v>
      </c>
    </row>
    <row r="289" spans="1:4">
      <c r="A289" s="22">
        <f t="shared" si="8"/>
        <v>325.04760454775425</v>
      </c>
      <c r="B289" s="22">
        <v>3250.4760454775424</v>
      </c>
      <c r="C289" s="22">
        <v>25653.4571</v>
      </c>
      <c r="D289" s="23">
        <f t="shared" si="9"/>
        <v>256.53457099999997</v>
      </c>
    </row>
    <row r="290" spans="1:4">
      <c r="A290" s="22">
        <f t="shared" si="8"/>
        <v>326.18017459844327</v>
      </c>
      <c r="B290" s="22">
        <v>3261.8017459844327</v>
      </c>
      <c r="C290" s="22">
        <v>25518.3874</v>
      </c>
      <c r="D290" s="23">
        <f t="shared" si="9"/>
        <v>255.183874</v>
      </c>
    </row>
    <row r="291" spans="1:4">
      <c r="A291" s="22">
        <f t="shared" si="8"/>
        <v>327.3127446491323</v>
      </c>
      <c r="B291" s="22">
        <v>3273.1274464913231</v>
      </c>
      <c r="C291" s="22">
        <v>25383.3177</v>
      </c>
      <c r="D291" s="23">
        <f t="shared" si="9"/>
        <v>253.83317700000001</v>
      </c>
    </row>
    <row r="292" spans="1:4">
      <c r="A292" s="22">
        <f t="shared" si="8"/>
        <v>328.44531469982132</v>
      </c>
      <c r="B292" s="22">
        <v>3284.4531469982135</v>
      </c>
      <c r="C292" s="22">
        <v>25248.248</v>
      </c>
      <c r="D292" s="23">
        <f t="shared" si="9"/>
        <v>252.48248000000001</v>
      </c>
    </row>
    <row r="293" spans="1:4">
      <c r="A293" s="22">
        <f t="shared" si="8"/>
        <v>329.57788475051041</v>
      </c>
      <c r="B293" s="22">
        <v>3295.7788475051038</v>
      </c>
      <c r="C293" s="22">
        <v>25113.1783</v>
      </c>
      <c r="D293" s="23">
        <f t="shared" si="9"/>
        <v>251.13178299999998</v>
      </c>
    </row>
    <row r="294" spans="1:4">
      <c r="A294" s="22">
        <f t="shared" si="8"/>
        <v>330.71045480119943</v>
      </c>
      <c r="B294" s="22">
        <v>3307.1045480119942</v>
      </c>
      <c r="C294" s="22">
        <v>24978.1086</v>
      </c>
      <c r="D294" s="23">
        <f t="shared" si="9"/>
        <v>249.78108599999999</v>
      </c>
    </row>
    <row r="295" spans="1:4">
      <c r="A295" s="22">
        <f t="shared" si="8"/>
        <v>331.84302485188846</v>
      </c>
      <c r="B295" s="22">
        <v>3318.4302485188846</v>
      </c>
      <c r="C295" s="22">
        <v>24843.0389</v>
      </c>
      <c r="D295" s="23">
        <f t="shared" si="9"/>
        <v>248.43038899999999</v>
      </c>
    </row>
    <row r="296" spans="1:4">
      <c r="A296" s="22">
        <f t="shared" si="8"/>
        <v>332.97559490257748</v>
      </c>
      <c r="B296" s="22">
        <v>3329.755949025775</v>
      </c>
      <c r="C296" s="22">
        <v>24707.9692</v>
      </c>
      <c r="D296" s="23">
        <f t="shared" si="9"/>
        <v>247.07969199999999</v>
      </c>
    </row>
    <row r="297" spans="1:4">
      <c r="A297" s="22">
        <f t="shared" si="8"/>
        <v>334.10816495326651</v>
      </c>
      <c r="B297" s="22">
        <v>3341.0816495326653</v>
      </c>
      <c r="C297" s="22">
        <v>24572.8995</v>
      </c>
      <c r="D297" s="23">
        <f t="shared" si="9"/>
        <v>245.728995</v>
      </c>
    </row>
    <row r="298" spans="1:4">
      <c r="A298" s="22">
        <f t="shared" si="8"/>
        <v>335.24073500395559</v>
      </c>
      <c r="B298" s="22">
        <v>3352.4073500395557</v>
      </c>
      <c r="C298" s="22">
        <v>24437.8298</v>
      </c>
      <c r="D298" s="23">
        <f t="shared" si="9"/>
        <v>244.378298</v>
      </c>
    </row>
    <row r="299" spans="1:4">
      <c r="A299" s="22">
        <f t="shared" si="8"/>
        <v>336.37330505464462</v>
      </c>
      <c r="B299" s="22">
        <v>3363.7330505464461</v>
      </c>
      <c r="C299" s="22">
        <v>24302.7601</v>
      </c>
      <c r="D299" s="23">
        <f t="shared" si="9"/>
        <v>243.027601</v>
      </c>
    </row>
    <row r="300" spans="1:4">
      <c r="A300" s="22">
        <f t="shared" si="8"/>
        <v>337.50587510533364</v>
      </c>
      <c r="B300" s="22">
        <v>3375.0587510533364</v>
      </c>
      <c r="C300" s="22">
        <v>24167.690399999999</v>
      </c>
      <c r="D300" s="23">
        <f t="shared" si="9"/>
        <v>241.67690400000001</v>
      </c>
    </row>
    <row r="301" spans="1:4">
      <c r="A301" s="22">
        <f t="shared" si="8"/>
        <v>338.63844515602267</v>
      </c>
      <c r="B301" s="22">
        <v>3386.3844515602268</v>
      </c>
      <c r="C301" s="22">
        <v>24032.620699999999</v>
      </c>
      <c r="D301" s="23">
        <f t="shared" si="9"/>
        <v>240.32620699999998</v>
      </c>
    </row>
    <row r="302" spans="1:4">
      <c r="A302" s="22">
        <f t="shared" si="8"/>
        <v>339.7710152067117</v>
      </c>
      <c r="B302" s="22">
        <v>3397.7101520671172</v>
      </c>
      <c r="C302" s="22">
        <v>23897.550999999999</v>
      </c>
      <c r="D302" s="23">
        <f t="shared" si="9"/>
        <v>238.97550999999999</v>
      </c>
    </row>
    <row r="303" spans="1:4">
      <c r="A303" s="22">
        <f t="shared" si="8"/>
        <v>340.90358525740078</v>
      </c>
      <c r="B303" s="22">
        <v>3409.0358525740075</v>
      </c>
      <c r="C303" s="22">
        <v>23762.481299999999</v>
      </c>
      <c r="D303" s="23">
        <f t="shared" si="9"/>
        <v>237.62481299999999</v>
      </c>
    </row>
    <row r="304" spans="1:4">
      <c r="A304" s="22">
        <f t="shared" si="8"/>
        <v>342.0361553080898</v>
      </c>
      <c r="B304" s="22">
        <v>3420.3615530808979</v>
      </c>
      <c r="C304" s="22">
        <v>23627.411599999999</v>
      </c>
      <c r="D304" s="23">
        <f t="shared" si="9"/>
        <v>236.27411599999999</v>
      </c>
    </row>
    <row r="305" spans="1:4">
      <c r="A305" s="22">
        <f t="shared" si="8"/>
        <v>343.16872535877883</v>
      </c>
      <c r="B305" s="22">
        <v>3431.6872535877883</v>
      </c>
      <c r="C305" s="22">
        <v>23492.341899999999</v>
      </c>
      <c r="D305" s="23">
        <f t="shared" si="9"/>
        <v>234.923419</v>
      </c>
    </row>
    <row r="306" spans="1:4">
      <c r="A306" s="22">
        <f t="shared" si="8"/>
        <v>344.30129540946785</v>
      </c>
      <c r="B306" s="22">
        <v>3443.0129540946787</v>
      </c>
      <c r="C306" s="22">
        <v>23357.272199999999</v>
      </c>
      <c r="D306" s="23">
        <f t="shared" si="9"/>
        <v>233.572722</v>
      </c>
    </row>
    <row r="307" spans="1:4">
      <c r="A307" s="22">
        <f t="shared" si="8"/>
        <v>345.43386546015694</v>
      </c>
      <c r="B307" s="22">
        <v>3454.3386546015695</v>
      </c>
      <c r="C307" s="22">
        <v>23222.202499999999</v>
      </c>
      <c r="D307" s="23">
        <f t="shared" si="9"/>
        <v>232.222025</v>
      </c>
    </row>
    <row r="308" spans="1:4">
      <c r="A308" s="22">
        <f t="shared" si="8"/>
        <v>346.56643551084596</v>
      </c>
      <c r="B308" s="22">
        <v>3465.6643551084599</v>
      </c>
      <c r="C308" s="22">
        <v>23087.132799999999</v>
      </c>
      <c r="D308" s="23">
        <f t="shared" si="9"/>
        <v>230.87132800000001</v>
      </c>
    </row>
    <row r="309" spans="1:4">
      <c r="A309" s="22">
        <f t="shared" si="8"/>
        <v>347.69900556153505</v>
      </c>
      <c r="B309" s="22">
        <v>3476.9900556153502</v>
      </c>
      <c r="C309" s="22">
        <v>22952.063099999999</v>
      </c>
      <c r="D309" s="23">
        <f t="shared" si="9"/>
        <v>229.52063099999998</v>
      </c>
    </row>
    <row r="310" spans="1:4">
      <c r="A310" s="22">
        <f t="shared" si="8"/>
        <v>348.83157561222407</v>
      </c>
      <c r="B310" s="22">
        <v>3488.3157561222406</v>
      </c>
      <c r="C310" s="22">
        <v>22816.993399999999</v>
      </c>
      <c r="D310" s="23">
        <f t="shared" si="9"/>
        <v>228.16993399999998</v>
      </c>
    </row>
    <row r="311" spans="1:4">
      <c r="A311" s="22">
        <f t="shared" si="8"/>
        <v>349.9641456629131</v>
      </c>
      <c r="B311" s="22">
        <v>3499.641456629131</v>
      </c>
      <c r="C311" s="22">
        <v>22681.923699999999</v>
      </c>
      <c r="D311" s="23">
        <f t="shared" si="9"/>
        <v>226.81923699999999</v>
      </c>
    </row>
    <row r="312" spans="1:4">
      <c r="A312" s="22">
        <f t="shared" si="8"/>
        <v>351.09671571360212</v>
      </c>
      <c r="B312" s="22">
        <v>3510.9671571360213</v>
      </c>
      <c r="C312" s="22">
        <v>22546.853999999999</v>
      </c>
      <c r="D312" s="23">
        <f t="shared" si="9"/>
        <v>225.46853999999999</v>
      </c>
    </row>
    <row r="313" spans="1:4">
      <c r="A313" s="22">
        <f t="shared" si="8"/>
        <v>352.22928576429115</v>
      </c>
      <c r="B313" s="22">
        <v>3522.2928576429117</v>
      </c>
      <c r="C313" s="22">
        <v>22411.784299999999</v>
      </c>
      <c r="D313" s="23">
        <f t="shared" si="9"/>
        <v>224.11784299999999</v>
      </c>
    </row>
    <row r="314" spans="1:4">
      <c r="A314" s="22">
        <f t="shared" si="8"/>
        <v>353.36185581498023</v>
      </c>
      <c r="B314" s="22">
        <v>3533.6185581498021</v>
      </c>
      <c r="C314" s="22">
        <v>22276.714599999999</v>
      </c>
      <c r="D314" s="23">
        <f t="shared" si="9"/>
        <v>222.767146</v>
      </c>
    </row>
    <row r="315" spans="1:4">
      <c r="A315" s="22">
        <f t="shared" si="8"/>
        <v>354.49442586566926</v>
      </c>
      <c r="B315" s="22">
        <v>3544.9442586566925</v>
      </c>
      <c r="C315" s="22">
        <v>22141.644899999999</v>
      </c>
      <c r="D315" s="23">
        <f t="shared" si="9"/>
        <v>221.416449</v>
      </c>
    </row>
    <row r="316" spans="1:4">
      <c r="A316" s="22">
        <f t="shared" si="8"/>
        <v>355.62699591635828</v>
      </c>
      <c r="B316" s="22">
        <v>3556.2699591635828</v>
      </c>
      <c r="C316" s="22">
        <v>22006.575199999999</v>
      </c>
      <c r="D316" s="23">
        <f t="shared" si="9"/>
        <v>220.065752</v>
      </c>
    </row>
    <row r="317" spans="1:4">
      <c r="A317" s="22">
        <f t="shared" si="8"/>
        <v>356.75956596704731</v>
      </c>
      <c r="B317" s="22">
        <v>3567.5956596704732</v>
      </c>
      <c r="C317" s="22">
        <v>21871.505499999999</v>
      </c>
      <c r="D317" s="23">
        <f t="shared" si="9"/>
        <v>218.71505500000001</v>
      </c>
    </row>
    <row r="318" spans="1:4">
      <c r="A318" s="22">
        <f t="shared" si="8"/>
        <v>357.89213601773633</v>
      </c>
      <c r="B318" s="22">
        <v>3578.9213601773636</v>
      </c>
      <c r="C318" s="22">
        <v>21736.435799999999</v>
      </c>
      <c r="D318" s="23">
        <f t="shared" si="9"/>
        <v>217.36435799999998</v>
      </c>
    </row>
    <row r="319" spans="1:4">
      <c r="A319" s="22">
        <f t="shared" si="8"/>
        <v>359.02470606842542</v>
      </c>
      <c r="B319" s="22">
        <v>3590.2470606842539</v>
      </c>
      <c r="C319" s="22">
        <v>21601.366099999999</v>
      </c>
      <c r="D319" s="23">
        <f t="shared" si="9"/>
        <v>216.01366099999998</v>
      </c>
    </row>
    <row r="320" spans="1:4">
      <c r="A320" s="22">
        <f t="shared" si="8"/>
        <v>360.15727611911444</v>
      </c>
      <c r="B320" s="22">
        <v>3601.5727611911443</v>
      </c>
      <c r="C320" s="22">
        <v>21466.296399999999</v>
      </c>
      <c r="D320" s="23">
        <f t="shared" si="9"/>
        <v>214.66296399999999</v>
      </c>
    </row>
    <row r="321" spans="1:4">
      <c r="A321" s="22">
        <f t="shared" si="8"/>
        <v>361.28984616980347</v>
      </c>
      <c r="B321" s="22">
        <v>3612.8984616980347</v>
      </c>
      <c r="C321" s="22">
        <v>21331.226699999999</v>
      </c>
      <c r="D321" s="23">
        <f t="shared" si="9"/>
        <v>213.31226699999999</v>
      </c>
    </row>
    <row r="322" spans="1:4">
      <c r="A322" s="22">
        <f t="shared" si="8"/>
        <v>362.42241622049249</v>
      </c>
      <c r="B322" s="22">
        <v>3624.2241622049251</v>
      </c>
      <c r="C322" s="22">
        <v>21196.156999999999</v>
      </c>
      <c r="D322" s="23">
        <f t="shared" si="9"/>
        <v>211.96156999999999</v>
      </c>
    </row>
    <row r="323" spans="1:4">
      <c r="A323" s="22">
        <f t="shared" ref="A323:A386" si="10">$B323/10</f>
        <v>363.55498627118152</v>
      </c>
      <c r="B323" s="22">
        <v>3635.5498627118154</v>
      </c>
      <c r="C323" s="22">
        <v>21061.087299999999</v>
      </c>
      <c r="D323" s="23">
        <f t="shared" ref="D323:D386" si="11">$C323/100</f>
        <v>210.610873</v>
      </c>
    </row>
    <row r="324" spans="1:4">
      <c r="A324" s="22">
        <f t="shared" si="10"/>
        <v>364.6875563218706</v>
      </c>
      <c r="B324" s="22">
        <v>3646.8755632187058</v>
      </c>
      <c r="C324" s="22">
        <v>20926.017599999999</v>
      </c>
      <c r="D324" s="23">
        <f t="shared" si="11"/>
        <v>209.260176</v>
      </c>
    </row>
    <row r="325" spans="1:4">
      <c r="A325" s="22">
        <f t="shared" si="10"/>
        <v>365.82012637255963</v>
      </c>
      <c r="B325" s="22">
        <v>3658.2012637255962</v>
      </c>
      <c r="C325" s="22">
        <v>20790.947899999999</v>
      </c>
      <c r="D325" s="23">
        <f t="shared" si="11"/>
        <v>207.909479</v>
      </c>
    </row>
    <row r="326" spans="1:4">
      <c r="A326" s="22">
        <f t="shared" si="10"/>
        <v>366.95269642324865</v>
      </c>
      <c r="B326" s="22">
        <v>3669.5269642324865</v>
      </c>
      <c r="C326" s="22">
        <v>20655.878199999999</v>
      </c>
      <c r="D326" s="23">
        <f t="shared" si="11"/>
        <v>206.55878199999998</v>
      </c>
    </row>
    <row r="327" spans="1:4">
      <c r="A327" s="22">
        <f t="shared" si="10"/>
        <v>368.08526647393768</v>
      </c>
      <c r="B327" s="22">
        <v>3680.8526647393769</v>
      </c>
      <c r="C327" s="22">
        <v>20520.808499999999</v>
      </c>
      <c r="D327" s="23">
        <f t="shared" si="11"/>
        <v>205.20808499999998</v>
      </c>
    </row>
    <row r="328" spans="1:4">
      <c r="A328" s="22">
        <f t="shared" si="10"/>
        <v>369.2178365246267</v>
      </c>
      <c r="B328" s="22">
        <v>3692.1783652462673</v>
      </c>
      <c r="C328" s="22">
        <v>20385.738799999999</v>
      </c>
      <c r="D328" s="23">
        <f t="shared" si="11"/>
        <v>203.85738799999999</v>
      </c>
    </row>
    <row r="329" spans="1:4">
      <c r="A329" s="22">
        <f t="shared" si="10"/>
        <v>370.35040657531579</v>
      </c>
      <c r="B329" s="22">
        <v>3703.5040657531576</v>
      </c>
      <c r="C329" s="22">
        <v>20250.669099999999</v>
      </c>
      <c r="D329" s="23">
        <f t="shared" si="11"/>
        <v>202.50669099999999</v>
      </c>
    </row>
    <row r="330" spans="1:4">
      <c r="A330" s="22">
        <f t="shared" si="10"/>
        <v>371.48297662600487</v>
      </c>
      <c r="B330" s="22">
        <v>3714.8297662600485</v>
      </c>
      <c r="C330" s="22">
        <v>20115.599399999999</v>
      </c>
      <c r="D330" s="23">
        <f t="shared" si="11"/>
        <v>201.15599399999999</v>
      </c>
    </row>
    <row r="331" spans="1:4">
      <c r="A331" s="22">
        <f t="shared" si="10"/>
        <v>372.6155466766939</v>
      </c>
      <c r="B331" s="22">
        <v>3726.1554667669388</v>
      </c>
      <c r="C331" s="22">
        <v>19980.529699999999</v>
      </c>
      <c r="D331" s="23">
        <f t="shared" si="11"/>
        <v>199.805297</v>
      </c>
    </row>
    <row r="332" spans="1:4">
      <c r="A332" s="22">
        <f t="shared" si="10"/>
        <v>373.74811672738292</v>
      </c>
      <c r="B332" s="22">
        <v>3737.4811672738292</v>
      </c>
      <c r="C332" s="22">
        <v>19845.46</v>
      </c>
      <c r="D332" s="23">
        <f t="shared" si="11"/>
        <v>198.4546</v>
      </c>
    </row>
    <row r="333" spans="1:4">
      <c r="A333" s="22">
        <f t="shared" si="10"/>
        <v>374.88068677807195</v>
      </c>
      <c r="B333" s="22">
        <v>3748.8068677807196</v>
      </c>
      <c r="C333" s="22">
        <v>19710.390299999999</v>
      </c>
      <c r="D333" s="23">
        <f t="shared" si="11"/>
        <v>197.103903</v>
      </c>
    </row>
    <row r="334" spans="1:4">
      <c r="A334" s="22">
        <f t="shared" si="10"/>
        <v>376.01325682876097</v>
      </c>
      <c r="B334" s="22">
        <v>3760.13256828761</v>
      </c>
      <c r="C334" s="22">
        <v>19575.320599999999</v>
      </c>
      <c r="D334" s="23">
        <f t="shared" si="11"/>
        <v>195.75320599999998</v>
      </c>
    </row>
    <row r="335" spans="1:4">
      <c r="A335" s="22">
        <f t="shared" si="10"/>
        <v>377.14582687945006</v>
      </c>
      <c r="B335" s="22">
        <v>3771.4582687945003</v>
      </c>
      <c r="C335" s="22">
        <v>19440.250899999999</v>
      </c>
      <c r="D335" s="23">
        <f t="shared" si="11"/>
        <v>194.40250899999998</v>
      </c>
    </row>
    <row r="336" spans="1:4">
      <c r="A336" s="22">
        <f t="shared" si="10"/>
        <v>378.27839693013908</v>
      </c>
      <c r="B336" s="22">
        <v>3782.7839693013907</v>
      </c>
      <c r="C336" s="22">
        <v>19305.181199999999</v>
      </c>
      <c r="D336" s="23">
        <f t="shared" si="11"/>
        <v>193.05181199999998</v>
      </c>
    </row>
    <row r="337" spans="1:4">
      <c r="A337" s="22">
        <f t="shared" si="10"/>
        <v>379.41096698082811</v>
      </c>
      <c r="B337" s="22">
        <v>3794.1096698082811</v>
      </c>
      <c r="C337" s="22">
        <v>19170.111499999999</v>
      </c>
      <c r="D337" s="23">
        <f t="shared" si="11"/>
        <v>191.70111499999999</v>
      </c>
    </row>
    <row r="338" spans="1:4">
      <c r="A338" s="22">
        <f t="shared" si="10"/>
        <v>380.54353703151713</v>
      </c>
      <c r="B338" s="22">
        <v>3805.4353703151714</v>
      </c>
      <c r="C338" s="22">
        <v>19035.041799999999</v>
      </c>
      <c r="D338" s="23">
        <f t="shared" si="11"/>
        <v>190.35041799999999</v>
      </c>
    </row>
    <row r="339" spans="1:4">
      <c r="A339" s="22">
        <f t="shared" si="10"/>
        <v>381.67610708220616</v>
      </c>
      <c r="B339" s="22">
        <v>3816.7610708220618</v>
      </c>
      <c r="C339" s="22">
        <v>18899.972099999999</v>
      </c>
      <c r="D339" s="23">
        <f t="shared" si="11"/>
        <v>188.99972099999999</v>
      </c>
    </row>
    <row r="340" spans="1:4">
      <c r="A340" s="22">
        <f t="shared" si="10"/>
        <v>382.80867713289524</v>
      </c>
      <c r="B340" s="22">
        <v>3828.0867713289522</v>
      </c>
      <c r="C340" s="22">
        <v>18764.902399999999</v>
      </c>
      <c r="D340" s="23">
        <f t="shared" si="11"/>
        <v>187.649024</v>
      </c>
    </row>
    <row r="341" spans="1:4">
      <c r="A341" s="22">
        <f t="shared" si="10"/>
        <v>383.94124718358427</v>
      </c>
      <c r="B341" s="22">
        <v>3839.4124718358426</v>
      </c>
      <c r="C341" s="22">
        <v>18629.832699999999</v>
      </c>
      <c r="D341" s="23">
        <f t="shared" si="11"/>
        <v>186.298327</v>
      </c>
    </row>
    <row r="342" spans="1:4">
      <c r="A342" s="22">
        <f t="shared" si="10"/>
        <v>385.07381723427329</v>
      </c>
      <c r="B342" s="22">
        <v>3850.7381723427329</v>
      </c>
      <c r="C342" s="22">
        <v>18494.762999999999</v>
      </c>
      <c r="D342" s="23">
        <f t="shared" si="11"/>
        <v>184.94763</v>
      </c>
    </row>
    <row r="343" spans="1:4">
      <c r="A343" s="22">
        <f t="shared" si="10"/>
        <v>386.20638728496232</v>
      </c>
      <c r="B343" s="22">
        <v>3862.0638728496233</v>
      </c>
      <c r="C343" s="22">
        <v>18359.693299999999</v>
      </c>
      <c r="D343" s="23">
        <f t="shared" si="11"/>
        <v>183.59693299999998</v>
      </c>
    </row>
    <row r="344" spans="1:4">
      <c r="A344" s="22">
        <f t="shared" si="10"/>
        <v>387.33895733565134</v>
      </c>
      <c r="B344" s="22">
        <v>3873.3895733565137</v>
      </c>
      <c r="C344" s="22">
        <v>18224.623599999999</v>
      </c>
      <c r="D344" s="23">
        <f t="shared" si="11"/>
        <v>182.24623599999998</v>
      </c>
    </row>
    <row r="345" spans="1:4">
      <c r="A345" s="22">
        <f t="shared" si="10"/>
        <v>388.47152738634043</v>
      </c>
      <c r="B345" s="22">
        <v>3884.715273863404</v>
      </c>
      <c r="C345" s="22">
        <v>18089.553899999999</v>
      </c>
      <c r="D345" s="23">
        <f t="shared" si="11"/>
        <v>180.89553899999999</v>
      </c>
    </row>
    <row r="346" spans="1:4">
      <c r="A346" s="22">
        <f t="shared" si="10"/>
        <v>389.60409743702945</v>
      </c>
      <c r="B346" s="22">
        <v>3896.0409743702944</v>
      </c>
      <c r="C346" s="22">
        <v>17954.484199999999</v>
      </c>
      <c r="D346" s="23">
        <f t="shared" si="11"/>
        <v>179.54484199999999</v>
      </c>
    </row>
    <row r="347" spans="1:4">
      <c r="A347" s="22">
        <f t="shared" si="10"/>
        <v>390.73666748771848</v>
      </c>
      <c r="B347" s="22">
        <v>3907.3666748771848</v>
      </c>
      <c r="C347" s="22">
        <v>17819.414499999999</v>
      </c>
      <c r="D347" s="23">
        <f t="shared" si="11"/>
        <v>178.19414499999999</v>
      </c>
    </row>
    <row r="348" spans="1:4">
      <c r="A348" s="22">
        <f t="shared" si="10"/>
        <v>391.8692375384075</v>
      </c>
      <c r="B348" s="22">
        <v>3918.6923753840751</v>
      </c>
      <c r="C348" s="22">
        <v>17684.344799999999</v>
      </c>
      <c r="D348" s="23">
        <f t="shared" si="11"/>
        <v>176.843448</v>
      </c>
    </row>
    <row r="349" spans="1:4">
      <c r="A349" s="22">
        <f t="shared" si="10"/>
        <v>393.00180758909653</v>
      </c>
      <c r="B349" s="22">
        <v>3930.0180758909655</v>
      </c>
      <c r="C349" s="22">
        <v>17549.275099999999</v>
      </c>
      <c r="D349" s="23">
        <f t="shared" si="11"/>
        <v>175.492751</v>
      </c>
    </row>
    <row r="350" spans="1:4">
      <c r="A350" s="22">
        <f t="shared" si="10"/>
        <v>394.13437763978561</v>
      </c>
      <c r="B350" s="22">
        <v>3941.3437763978559</v>
      </c>
      <c r="C350" s="22">
        <v>17414.205399999999</v>
      </c>
      <c r="D350" s="23">
        <f t="shared" si="11"/>
        <v>174.142054</v>
      </c>
    </row>
    <row r="351" spans="1:4">
      <c r="A351" s="22">
        <f t="shared" si="10"/>
        <v>395.26694769047464</v>
      </c>
      <c r="B351" s="22">
        <v>3952.6694769047463</v>
      </c>
      <c r="C351" s="22">
        <v>17279.135699999999</v>
      </c>
      <c r="D351" s="23">
        <f t="shared" si="11"/>
        <v>172.79135699999998</v>
      </c>
    </row>
    <row r="352" spans="1:4">
      <c r="A352" s="22">
        <f t="shared" si="10"/>
        <v>396.39951774116372</v>
      </c>
      <c r="B352" s="22">
        <v>3963.9951774116371</v>
      </c>
      <c r="C352" s="22">
        <v>17144.065999999999</v>
      </c>
      <c r="D352" s="23">
        <f t="shared" si="11"/>
        <v>171.44065999999998</v>
      </c>
    </row>
    <row r="353" spans="1:4">
      <c r="A353" s="22">
        <f t="shared" si="10"/>
        <v>397.53208779185275</v>
      </c>
      <c r="B353" s="22">
        <v>3975.3208779185275</v>
      </c>
      <c r="C353" s="22">
        <v>17008.996299999999</v>
      </c>
      <c r="D353" s="23">
        <f t="shared" si="11"/>
        <v>170.08996299999998</v>
      </c>
    </row>
    <row r="354" spans="1:4">
      <c r="A354" s="22">
        <f t="shared" si="10"/>
        <v>398.66465784254177</v>
      </c>
      <c r="B354" s="22">
        <v>3986.6465784254178</v>
      </c>
      <c r="C354" s="22">
        <v>16873.926599999999</v>
      </c>
      <c r="D354" s="23">
        <f t="shared" si="11"/>
        <v>168.73926599999999</v>
      </c>
    </row>
    <row r="355" spans="1:4">
      <c r="A355" s="22">
        <f t="shared" si="10"/>
        <v>399.7972278932308</v>
      </c>
      <c r="B355" s="22">
        <v>3997.9722789323082</v>
      </c>
      <c r="C355" s="22">
        <v>16738.856899999999</v>
      </c>
      <c r="D355" s="23">
        <f t="shared" si="11"/>
        <v>167.38856899999999</v>
      </c>
    </row>
    <row r="356" spans="1:4">
      <c r="A356" s="22">
        <f t="shared" si="10"/>
        <v>400.92979794391988</v>
      </c>
      <c r="B356" s="22">
        <v>4009.2979794391986</v>
      </c>
      <c r="C356" s="22">
        <v>16603.787199999999</v>
      </c>
      <c r="D356" s="23">
        <f t="shared" si="11"/>
        <v>166.03787199999999</v>
      </c>
    </row>
    <row r="357" spans="1:4">
      <c r="A357" s="22">
        <f t="shared" si="10"/>
        <v>402.06236799460891</v>
      </c>
      <c r="B357" s="22">
        <v>4020.6236799460889</v>
      </c>
      <c r="C357" s="22">
        <v>16468.717499999999</v>
      </c>
      <c r="D357" s="23">
        <f t="shared" si="11"/>
        <v>164.687175</v>
      </c>
    </row>
    <row r="358" spans="1:4">
      <c r="A358" s="22">
        <f t="shared" si="10"/>
        <v>403.19493804529793</v>
      </c>
      <c r="B358" s="22">
        <v>4031.9493804529793</v>
      </c>
      <c r="C358" s="22">
        <v>16333.647799999999</v>
      </c>
      <c r="D358" s="23">
        <f t="shared" si="11"/>
        <v>163.336478</v>
      </c>
    </row>
    <row r="359" spans="1:4">
      <c r="A359" s="22">
        <f t="shared" si="10"/>
        <v>404.32750809598696</v>
      </c>
      <c r="B359" s="22">
        <v>4043.2750809598697</v>
      </c>
      <c r="C359" s="22">
        <v>16198.578099999999</v>
      </c>
      <c r="D359" s="23">
        <f t="shared" si="11"/>
        <v>161.98578099999997</v>
      </c>
    </row>
    <row r="360" spans="1:4">
      <c r="A360" s="22">
        <f t="shared" si="10"/>
        <v>405.46007814667598</v>
      </c>
      <c r="B360" s="22">
        <v>4054.6007814667601</v>
      </c>
      <c r="C360" s="22">
        <v>16063.508399999999</v>
      </c>
      <c r="D360" s="23">
        <f t="shared" si="11"/>
        <v>160.63508399999998</v>
      </c>
    </row>
    <row r="361" spans="1:4">
      <c r="A361" s="22">
        <f t="shared" si="10"/>
        <v>406.59264819736507</v>
      </c>
      <c r="B361" s="22">
        <v>4065.9264819736504</v>
      </c>
      <c r="C361" s="22">
        <v>15928.438699999999</v>
      </c>
      <c r="D361" s="23">
        <f t="shared" si="11"/>
        <v>159.28438699999998</v>
      </c>
    </row>
    <row r="362" spans="1:4">
      <c r="A362" s="22">
        <f t="shared" si="10"/>
        <v>407.72521824805409</v>
      </c>
      <c r="B362" s="22">
        <v>4077.2521824805408</v>
      </c>
      <c r="C362" s="22">
        <v>15793.368999999999</v>
      </c>
      <c r="D362" s="23">
        <f t="shared" si="11"/>
        <v>157.93368999999998</v>
      </c>
    </row>
    <row r="363" spans="1:4">
      <c r="A363" s="22">
        <f t="shared" si="10"/>
        <v>408.85778829874312</v>
      </c>
      <c r="B363" s="22">
        <v>4088.5778829874312</v>
      </c>
      <c r="C363" s="22">
        <v>15658.120099999998</v>
      </c>
      <c r="D363" s="23">
        <f t="shared" si="11"/>
        <v>156.58120099999999</v>
      </c>
    </row>
    <row r="364" spans="1:4">
      <c r="A364" s="22">
        <f t="shared" si="10"/>
        <v>409.99035834943214</v>
      </c>
      <c r="B364" s="22">
        <v>4099.9035834943215</v>
      </c>
      <c r="C364" s="22">
        <v>15522.871199999998</v>
      </c>
      <c r="D364" s="23">
        <f t="shared" si="11"/>
        <v>155.22871199999997</v>
      </c>
    </row>
    <row r="365" spans="1:4">
      <c r="A365" s="22">
        <f t="shared" si="10"/>
        <v>411.12292840012122</v>
      </c>
      <c r="B365" s="22">
        <v>4111.2292840012124</v>
      </c>
      <c r="C365" s="22">
        <v>15387.622299999997</v>
      </c>
      <c r="D365" s="23">
        <f t="shared" si="11"/>
        <v>153.87622299999998</v>
      </c>
    </row>
    <row r="366" spans="1:4">
      <c r="A366" s="22">
        <f t="shared" si="10"/>
        <v>412.25549845081025</v>
      </c>
      <c r="B366" s="22">
        <v>4122.5549845081023</v>
      </c>
      <c r="C366" s="22">
        <v>15252.373399999997</v>
      </c>
      <c r="D366" s="23">
        <f t="shared" si="11"/>
        <v>152.52373399999996</v>
      </c>
    </row>
    <row r="367" spans="1:4">
      <c r="A367" s="22">
        <f t="shared" si="10"/>
        <v>413.38806850149933</v>
      </c>
      <c r="B367" s="22">
        <v>4133.8806850149931</v>
      </c>
      <c r="C367" s="22">
        <v>15117.124499999996</v>
      </c>
      <c r="D367" s="23">
        <f t="shared" si="11"/>
        <v>151.17124499999997</v>
      </c>
    </row>
    <row r="368" spans="1:4">
      <c r="A368" s="22">
        <f t="shared" si="10"/>
        <v>414.5206385521883</v>
      </c>
      <c r="B368" s="22">
        <v>4145.206385521883</v>
      </c>
      <c r="C368" s="22">
        <v>14981.875599999996</v>
      </c>
      <c r="D368" s="23">
        <f t="shared" si="11"/>
        <v>149.81875599999995</v>
      </c>
    </row>
    <row r="369" spans="1:4">
      <c r="A369" s="22">
        <f t="shared" si="10"/>
        <v>415.65320860287738</v>
      </c>
      <c r="B369" s="22">
        <v>4156.5320860287738</v>
      </c>
      <c r="C369" s="22">
        <v>14846.626699999995</v>
      </c>
      <c r="D369" s="23">
        <f t="shared" si="11"/>
        <v>148.46626699999996</v>
      </c>
    </row>
    <row r="370" spans="1:4">
      <c r="A370" s="22">
        <f t="shared" si="10"/>
        <v>416.78577865356635</v>
      </c>
      <c r="B370" s="22">
        <v>4167.8577865356638</v>
      </c>
      <c r="C370" s="22">
        <v>14711.377799999995</v>
      </c>
      <c r="D370" s="23">
        <f t="shared" si="11"/>
        <v>147.11377799999994</v>
      </c>
    </row>
    <row r="371" spans="1:4">
      <c r="A371" s="22">
        <f t="shared" si="10"/>
        <v>417.91834870425544</v>
      </c>
      <c r="B371" s="22">
        <v>4179.1834870425546</v>
      </c>
      <c r="C371" s="22">
        <v>14576.128899999994</v>
      </c>
      <c r="D371" s="23">
        <f t="shared" si="11"/>
        <v>145.76128899999995</v>
      </c>
    </row>
    <row r="372" spans="1:4">
      <c r="A372" s="22">
        <f t="shared" si="10"/>
        <v>419.05091875494446</v>
      </c>
      <c r="B372" s="22">
        <v>4190.5091875494445</v>
      </c>
      <c r="C372" s="22">
        <v>14440.88</v>
      </c>
      <c r="D372" s="23">
        <f t="shared" si="11"/>
        <v>144.40879999999999</v>
      </c>
    </row>
    <row r="373" spans="1:4">
      <c r="A373" s="22">
        <f t="shared" si="10"/>
        <v>420.18348880563354</v>
      </c>
      <c r="B373" s="22">
        <v>4201.8348880563353</v>
      </c>
      <c r="C373" s="22">
        <v>14306.691999999999</v>
      </c>
      <c r="D373" s="23">
        <f t="shared" si="11"/>
        <v>143.06691999999998</v>
      </c>
    </row>
    <row r="374" spans="1:4">
      <c r="A374" s="22">
        <f t="shared" si="10"/>
        <v>421.31605885632251</v>
      </c>
      <c r="B374" s="22">
        <v>4213.1605885632252</v>
      </c>
      <c r="C374" s="22">
        <v>14172.503999999999</v>
      </c>
      <c r="D374" s="23">
        <f t="shared" si="11"/>
        <v>141.72503999999998</v>
      </c>
    </row>
    <row r="375" spans="1:4">
      <c r="A375" s="22">
        <f t="shared" si="10"/>
        <v>422.4486289070116</v>
      </c>
      <c r="B375" s="22">
        <v>4224.4862890701161</v>
      </c>
      <c r="C375" s="22">
        <v>14038.315999999999</v>
      </c>
      <c r="D375" s="23">
        <f t="shared" si="11"/>
        <v>140.38315999999998</v>
      </c>
    </row>
    <row r="376" spans="1:4">
      <c r="A376" s="22">
        <f t="shared" si="10"/>
        <v>423.58119895770062</v>
      </c>
      <c r="B376" s="22">
        <v>4235.811989577006</v>
      </c>
      <c r="C376" s="22">
        <v>13904.127999999999</v>
      </c>
      <c r="D376" s="23">
        <f t="shared" si="11"/>
        <v>139.04128</v>
      </c>
    </row>
    <row r="377" spans="1:4">
      <c r="A377" s="22">
        <f t="shared" si="10"/>
        <v>424.7137690083897</v>
      </c>
      <c r="B377" s="22">
        <v>4247.1376900838968</v>
      </c>
      <c r="C377" s="22">
        <v>13769.939999999999</v>
      </c>
      <c r="D377" s="23">
        <f t="shared" si="11"/>
        <v>137.6994</v>
      </c>
    </row>
    <row r="378" spans="1:4">
      <c r="A378" s="22">
        <f t="shared" si="10"/>
        <v>425.84633905907867</v>
      </c>
      <c r="B378" s="22">
        <v>4258.4633905907867</v>
      </c>
      <c r="C378" s="22">
        <v>13635.751999999999</v>
      </c>
      <c r="D378" s="23">
        <f t="shared" si="11"/>
        <v>136.35751999999999</v>
      </c>
    </row>
    <row r="379" spans="1:4">
      <c r="A379" s="22">
        <f t="shared" si="10"/>
        <v>426.97890910976776</v>
      </c>
      <c r="B379" s="22">
        <v>4269.7890910976776</v>
      </c>
      <c r="C379" s="22">
        <v>13501.563999999998</v>
      </c>
      <c r="D379" s="23">
        <f t="shared" si="11"/>
        <v>135.01563999999999</v>
      </c>
    </row>
    <row r="380" spans="1:4">
      <c r="A380" s="22">
        <f t="shared" si="10"/>
        <v>428.11147916045672</v>
      </c>
      <c r="B380" s="22">
        <v>4281.1147916045675</v>
      </c>
      <c r="C380" s="22">
        <v>13367.375999999998</v>
      </c>
      <c r="D380" s="23">
        <f t="shared" si="11"/>
        <v>133.67375999999999</v>
      </c>
    </row>
    <row r="381" spans="1:4">
      <c r="A381" s="22">
        <f t="shared" si="10"/>
        <v>429.24404921114581</v>
      </c>
      <c r="B381" s="22">
        <v>4292.4404921114583</v>
      </c>
      <c r="C381" s="22">
        <v>13233.187999999998</v>
      </c>
      <c r="D381" s="23">
        <f t="shared" si="11"/>
        <v>132.33187999999998</v>
      </c>
    </row>
    <row r="382" spans="1:4">
      <c r="A382" s="22">
        <f t="shared" si="10"/>
        <v>430.37661926183483</v>
      </c>
      <c r="B382" s="22">
        <v>4303.7661926183482</v>
      </c>
      <c r="C382" s="22">
        <v>13099</v>
      </c>
      <c r="D382" s="23">
        <f t="shared" si="11"/>
        <v>130.99</v>
      </c>
    </row>
    <row r="383" spans="1:4">
      <c r="A383" s="22">
        <f t="shared" si="10"/>
        <v>431.50918931252392</v>
      </c>
      <c r="B383" s="22">
        <v>4315.091893125239</v>
      </c>
      <c r="C383" s="22">
        <v>12967.093000000001</v>
      </c>
      <c r="D383" s="23">
        <f t="shared" si="11"/>
        <v>129.67093</v>
      </c>
    </row>
    <row r="384" spans="1:4">
      <c r="A384" s="22">
        <f t="shared" si="10"/>
        <v>432.64175936321288</v>
      </c>
      <c r="B384" s="22">
        <v>4326.417593632129</v>
      </c>
      <c r="C384" s="22">
        <v>12835.186000000002</v>
      </c>
      <c r="D384" s="23">
        <f t="shared" si="11"/>
        <v>128.35186000000002</v>
      </c>
    </row>
    <row r="385" spans="1:4">
      <c r="A385" s="22">
        <f t="shared" si="10"/>
        <v>433.77432941390197</v>
      </c>
      <c r="B385" s="22">
        <v>4337.7432941390198</v>
      </c>
      <c r="C385" s="22">
        <v>12703.279000000002</v>
      </c>
      <c r="D385" s="23">
        <f t="shared" si="11"/>
        <v>127.03279000000002</v>
      </c>
    </row>
    <row r="386" spans="1:4">
      <c r="A386" s="22">
        <f t="shared" si="10"/>
        <v>434.90689946459105</v>
      </c>
      <c r="B386" s="22">
        <v>4349.0689946459106</v>
      </c>
      <c r="C386" s="22">
        <v>12571.372000000003</v>
      </c>
      <c r="D386" s="23">
        <f t="shared" si="11"/>
        <v>125.71372000000002</v>
      </c>
    </row>
    <row r="387" spans="1:4">
      <c r="A387" s="22">
        <f t="shared" ref="A387:A450" si="12">$B387/10</f>
        <v>436.03946951528008</v>
      </c>
      <c r="B387" s="22">
        <v>4360.3946951528005</v>
      </c>
      <c r="C387" s="22">
        <v>12439.465000000004</v>
      </c>
      <c r="D387" s="23">
        <f t="shared" ref="D387:D450" si="13">$C387/100</f>
        <v>124.39465000000004</v>
      </c>
    </row>
    <row r="388" spans="1:4">
      <c r="A388" s="22">
        <f t="shared" si="12"/>
        <v>437.17203956596916</v>
      </c>
      <c r="B388" s="22">
        <v>4371.7203956596913</v>
      </c>
      <c r="C388" s="22">
        <v>12307.558000000005</v>
      </c>
      <c r="D388" s="23">
        <f t="shared" si="13"/>
        <v>123.07558000000004</v>
      </c>
    </row>
    <row r="389" spans="1:4">
      <c r="A389" s="22">
        <f t="shared" si="12"/>
        <v>438.30460961665813</v>
      </c>
      <c r="B389" s="22">
        <v>4383.0460961665813</v>
      </c>
      <c r="C389" s="22">
        <v>12175.651000000005</v>
      </c>
      <c r="D389" s="23">
        <f t="shared" si="13"/>
        <v>121.75651000000005</v>
      </c>
    </row>
    <row r="390" spans="1:4">
      <c r="A390" s="22">
        <f t="shared" si="12"/>
        <v>439.43717966734721</v>
      </c>
      <c r="B390" s="22">
        <v>4394.3717966734721</v>
      </c>
      <c r="C390" s="22">
        <v>12043.744000000006</v>
      </c>
      <c r="D390" s="23">
        <f t="shared" si="13"/>
        <v>120.43744000000007</v>
      </c>
    </row>
    <row r="391" spans="1:4">
      <c r="A391" s="22">
        <f t="shared" si="12"/>
        <v>440.56974971803618</v>
      </c>
      <c r="B391" s="22">
        <v>4405.697497180362</v>
      </c>
      <c r="C391" s="22">
        <v>11911.837000000007</v>
      </c>
      <c r="D391" s="23">
        <f t="shared" si="13"/>
        <v>119.11837000000007</v>
      </c>
    </row>
    <row r="392" spans="1:4">
      <c r="A392" s="22">
        <f t="shared" si="12"/>
        <v>441.70231976872526</v>
      </c>
      <c r="B392" s="22">
        <v>4417.0231976872528</v>
      </c>
      <c r="C392" s="22">
        <v>11779.93</v>
      </c>
      <c r="D392" s="23">
        <f t="shared" si="13"/>
        <v>117.7993</v>
      </c>
    </row>
    <row r="393" spans="1:4">
      <c r="A393" s="22">
        <f t="shared" si="12"/>
        <v>442.83488981941429</v>
      </c>
      <c r="B393" s="22">
        <v>4428.3488981941427</v>
      </c>
      <c r="C393" s="22">
        <v>11651.684999999999</v>
      </c>
      <c r="D393" s="23">
        <f t="shared" si="13"/>
        <v>116.51684999999999</v>
      </c>
    </row>
    <row r="394" spans="1:4">
      <c r="A394" s="22">
        <f t="shared" si="12"/>
        <v>443.96745987010337</v>
      </c>
      <c r="B394" s="22">
        <v>4439.6745987010336</v>
      </c>
      <c r="C394" s="22">
        <v>11523.439999999999</v>
      </c>
      <c r="D394" s="23">
        <f t="shared" si="13"/>
        <v>115.23439999999999</v>
      </c>
    </row>
    <row r="395" spans="1:4">
      <c r="A395" s="22">
        <f t="shared" si="12"/>
        <v>445.10002992079234</v>
      </c>
      <c r="B395" s="22">
        <v>4451.0002992079235</v>
      </c>
      <c r="C395" s="22">
        <v>11395.194999999998</v>
      </c>
      <c r="D395" s="23">
        <f t="shared" si="13"/>
        <v>113.95194999999998</v>
      </c>
    </row>
    <row r="396" spans="1:4">
      <c r="A396" s="22">
        <f t="shared" si="12"/>
        <v>446.23259997148142</v>
      </c>
      <c r="B396" s="22">
        <v>4462.3259997148143</v>
      </c>
      <c r="C396" s="22">
        <v>11266.949999999997</v>
      </c>
      <c r="D396" s="23">
        <f t="shared" si="13"/>
        <v>112.66949999999997</v>
      </c>
    </row>
    <row r="397" spans="1:4">
      <c r="A397" s="22">
        <f t="shared" si="12"/>
        <v>447.36517002217045</v>
      </c>
      <c r="B397" s="22">
        <v>4473.6517002217042</v>
      </c>
      <c r="C397" s="22">
        <v>11138.704999999996</v>
      </c>
      <c r="D397" s="23">
        <f t="shared" si="13"/>
        <v>111.38704999999996</v>
      </c>
    </row>
    <row r="398" spans="1:4">
      <c r="A398" s="22">
        <f t="shared" si="12"/>
        <v>448.49774007285953</v>
      </c>
      <c r="B398" s="22">
        <v>4484.9774007285951</v>
      </c>
      <c r="C398" s="22">
        <v>11010.459999999995</v>
      </c>
      <c r="D398" s="23">
        <f t="shared" si="13"/>
        <v>110.10459999999995</v>
      </c>
    </row>
    <row r="399" spans="1:4">
      <c r="A399" s="22">
        <f t="shared" si="12"/>
        <v>449.6303101235485</v>
      </c>
      <c r="B399" s="22">
        <v>4496.303101235485</v>
      </c>
      <c r="C399" s="22">
        <v>10882.214999999995</v>
      </c>
      <c r="D399" s="23">
        <f t="shared" si="13"/>
        <v>108.82214999999995</v>
      </c>
    </row>
    <row r="400" spans="1:4">
      <c r="A400" s="22">
        <f t="shared" si="12"/>
        <v>450.76288017423758</v>
      </c>
      <c r="B400" s="22">
        <v>4507.6288017423758</v>
      </c>
      <c r="C400" s="22">
        <v>10753.969999999994</v>
      </c>
      <c r="D400" s="23">
        <f t="shared" si="13"/>
        <v>107.53969999999994</v>
      </c>
    </row>
    <row r="401" spans="1:4">
      <c r="A401" s="22">
        <f t="shared" si="12"/>
        <v>451.89545022492655</v>
      </c>
      <c r="B401" s="22">
        <v>4518.9545022492657</v>
      </c>
      <c r="C401" s="22">
        <v>10625.724999999993</v>
      </c>
      <c r="D401" s="23">
        <f t="shared" si="13"/>
        <v>106.25724999999993</v>
      </c>
    </row>
    <row r="402" spans="1:4">
      <c r="A402" s="22">
        <f t="shared" si="12"/>
        <v>453.02802027561563</v>
      </c>
      <c r="B402" s="22">
        <v>4530.2802027561565</v>
      </c>
      <c r="C402" s="22">
        <v>10497.48</v>
      </c>
      <c r="D402" s="23">
        <f t="shared" si="13"/>
        <v>104.9748</v>
      </c>
    </row>
    <row r="403" spans="1:4">
      <c r="A403" s="22">
        <f t="shared" si="12"/>
        <v>454.16059032630466</v>
      </c>
      <c r="B403" s="22">
        <v>4541.6059032630465</v>
      </c>
      <c r="C403" s="22">
        <v>10374.832</v>
      </c>
      <c r="D403" s="23">
        <f t="shared" si="13"/>
        <v>103.74832000000001</v>
      </c>
    </row>
    <row r="404" spans="1:4">
      <c r="A404" s="22">
        <f t="shared" si="12"/>
        <v>455.29316037699374</v>
      </c>
      <c r="B404" s="22">
        <v>4552.9316037699373</v>
      </c>
      <c r="C404" s="22">
        <v>10252.184000000001</v>
      </c>
      <c r="D404" s="23">
        <f t="shared" si="13"/>
        <v>102.52184000000001</v>
      </c>
    </row>
    <row r="405" spans="1:4">
      <c r="A405" s="22">
        <f t="shared" si="12"/>
        <v>456.42573042768271</v>
      </c>
      <c r="B405" s="22">
        <v>4564.2573042768272</v>
      </c>
      <c r="C405" s="22">
        <v>10129.536000000002</v>
      </c>
      <c r="D405" s="23">
        <f t="shared" si="13"/>
        <v>101.29536000000002</v>
      </c>
    </row>
    <row r="406" spans="1:4">
      <c r="A406" s="22">
        <f t="shared" si="12"/>
        <v>457.55830047837179</v>
      </c>
      <c r="B406" s="22">
        <v>4575.583004783718</v>
      </c>
      <c r="C406" s="22">
        <v>10006.888000000003</v>
      </c>
      <c r="D406" s="23">
        <f t="shared" si="13"/>
        <v>100.06888000000002</v>
      </c>
    </row>
    <row r="407" spans="1:4">
      <c r="A407" s="22">
        <f t="shared" si="12"/>
        <v>458.69087052906082</v>
      </c>
      <c r="B407" s="22">
        <v>4586.9087052906079</v>
      </c>
      <c r="C407" s="22">
        <v>9884.2400000000034</v>
      </c>
      <c r="D407" s="23">
        <f t="shared" si="13"/>
        <v>98.84240000000004</v>
      </c>
    </row>
    <row r="408" spans="1:4">
      <c r="A408" s="22">
        <f t="shared" si="12"/>
        <v>459.8234405797499</v>
      </c>
      <c r="B408" s="22">
        <v>4598.2344057974988</v>
      </c>
      <c r="C408" s="22">
        <v>9761.5920000000042</v>
      </c>
      <c r="D408" s="23">
        <f t="shared" si="13"/>
        <v>97.615920000000045</v>
      </c>
    </row>
    <row r="409" spans="1:4">
      <c r="A409" s="22">
        <f t="shared" si="12"/>
        <v>460.95601063043898</v>
      </c>
      <c r="B409" s="22">
        <v>4609.5601063043896</v>
      </c>
      <c r="C409" s="22">
        <v>9638.944000000005</v>
      </c>
      <c r="D409" s="23">
        <f t="shared" si="13"/>
        <v>96.38944000000005</v>
      </c>
    </row>
    <row r="410" spans="1:4">
      <c r="A410" s="22">
        <f t="shared" si="12"/>
        <v>462.08858068112795</v>
      </c>
      <c r="B410" s="22">
        <v>4620.8858068112795</v>
      </c>
      <c r="C410" s="22">
        <v>9516.2960000000057</v>
      </c>
      <c r="D410" s="23">
        <f t="shared" si="13"/>
        <v>95.162960000000055</v>
      </c>
    </row>
    <row r="411" spans="1:4">
      <c r="A411" s="22">
        <f t="shared" si="12"/>
        <v>463.22115073181703</v>
      </c>
      <c r="B411" s="22">
        <v>4632.2115073181703</v>
      </c>
      <c r="C411" s="22">
        <v>9393.6480000000065</v>
      </c>
      <c r="D411" s="23">
        <f t="shared" si="13"/>
        <v>93.93648000000006</v>
      </c>
    </row>
    <row r="412" spans="1:4">
      <c r="A412" s="22">
        <f t="shared" si="12"/>
        <v>464.353720782506</v>
      </c>
      <c r="B412" s="22">
        <v>4643.5372078250602</v>
      </c>
      <c r="C412" s="22">
        <v>9271</v>
      </c>
      <c r="D412" s="23">
        <f t="shared" si="13"/>
        <v>92.71</v>
      </c>
    </row>
    <row r="413" spans="1:4">
      <c r="A413" s="22">
        <f t="shared" si="12"/>
        <v>465.48629083319508</v>
      </c>
      <c r="B413" s="22">
        <v>4654.8629083319511</v>
      </c>
      <c r="C413" s="22">
        <v>9156.777</v>
      </c>
      <c r="D413" s="23">
        <f t="shared" si="13"/>
        <v>91.567769999999996</v>
      </c>
    </row>
    <row r="414" spans="1:4">
      <c r="A414" s="22">
        <f t="shared" si="12"/>
        <v>466.61886088388411</v>
      </c>
      <c r="B414" s="22">
        <v>4666.188608838841</v>
      </c>
      <c r="C414" s="22">
        <v>9042.5540000000001</v>
      </c>
      <c r="D414" s="23">
        <f t="shared" si="13"/>
        <v>90.425539999999998</v>
      </c>
    </row>
    <row r="415" spans="1:4">
      <c r="A415" s="22">
        <f t="shared" si="12"/>
        <v>467.75143093457319</v>
      </c>
      <c r="B415" s="22">
        <v>4677.5143093457318</v>
      </c>
      <c r="C415" s="22">
        <v>8928.3310000000001</v>
      </c>
      <c r="D415" s="23">
        <f t="shared" si="13"/>
        <v>89.28331</v>
      </c>
    </row>
    <row r="416" spans="1:4">
      <c r="A416" s="22">
        <f t="shared" si="12"/>
        <v>468.88400098526216</v>
      </c>
      <c r="B416" s="22">
        <v>4688.8400098526217</v>
      </c>
      <c r="C416" s="22">
        <v>8814.1080000000002</v>
      </c>
      <c r="D416" s="23">
        <f t="shared" si="13"/>
        <v>88.141080000000002</v>
      </c>
    </row>
    <row r="417" spans="1:4">
      <c r="A417" s="22">
        <f t="shared" si="12"/>
        <v>470.01657103595124</v>
      </c>
      <c r="B417" s="22">
        <v>4700.1657103595126</v>
      </c>
      <c r="C417" s="22">
        <v>8699.8850000000002</v>
      </c>
      <c r="D417" s="23">
        <f t="shared" si="13"/>
        <v>86.998850000000004</v>
      </c>
    </row>
    <row r="418" spans="1:4">
      <c r="A418" s="22">
        <f t="shared" si="12"/>
        <v>471.14914108664027</v>
      </c>
      <c r="B418" s="22">
        <v>4711.4914108664025</v>
      </c>
      <c r="C418" s="22">
        <v>8585.6620000000003</v>
      </c>
      <c r="D418" s="23">
        <f t="shared" si="13"/>
        <v>85.856620000000007</v>
      </c>
    </row>
    <row r="419" spans="1:4">
      <c r="A419" s="22">
        <f t="shared" si="12"/>
        <v>472.28171113732935</v>
      </c>
      <c r="B419" s="22">
        <v>4722.8171113732933</v>
      </c>
      <c r="C419" s="22">
        <v>8471.4390000000003</v>
      </c>
      <c r="D419" s="23">
        <f t="shared" si="13"/>
        <v>84.714390000000009</v>
      </c>
    </row>
    <row r="420" spans="1:4">
      <c r="A420" s="22">
        <f t="shared" si="12"/>
        <v>473.41428118801832</v>
      </c>
      <c r="B420" s="22">
        <v>4734.1428118801832</v>
      </c>
      <c r="C420" s="22">
        <v>8357.2160000000003</v>
      </c>
      <c r="D420" s="23">
        <f t="shared" si="13"/>
        <v>83.572159999999997</v>
      </c>
    </row>
    <row r="421" spans="1:4">
      <c r="A421" s="22">
        <f t="shared" si="12"/>
        <v>474.5468512387074</v>
      </c>
      <c r="B421" s="22">
        <v>4745.468512387074</v>
      </c>
      <c r="C421" s="22">
        <v>8242.9930000000004</v>
      </c>
      <c r="D421" s="23">
        <f t="shared" si="13"/>
        <v>82.429929999999999</v>
      </c>
    </row>
    <row r="422" spans="1:4">
      <c r="A422" s="22">
        <f t="shared" si="12"/>
        <v>475.67942128939637</v>
      </c>
      <c r="B422" s="22">
        <v>4756.794212893964</v>
      </c>
      <c r="C422" s="22">
        <v>8128.77</v>
      </c>
      <c r="D422" s="23">
        <f t="shared" si="13"/>
        <v>81.287700000000001</v>
      </c>
    </row>
    <row r="423" spans="1:4">
      <c r="A423" s="22">
        <f t="shared" si="12"/>
        <v>476.81199134008546</v>
      </c>
      <c r="B423" s="22">
        <v>4768.1199134008548</v>
      </c>
      <c r="C423" s="22">
        <v>8023.0630000000001</v>
      </c>
      <c r="D423" s="23">
        <f t="shared" si="13"/>
        <v>80.230630000000005</v>
      </c>
    </row>
    <row r="424" spans="1:4">
      <c r="A424" s="22">
        <f t="shared" si="12"/>
        <v>477.94456139077448</v>
      </c>
      <c r="B424" s="22">
        <v>4779.4456139077447</v>
      </c>
      <c r="C424" s="22">
        <v>7917.3559999999998</v>
      </c>
      <c r="D424" s="23">
        <f t="shared" si="13"/>
        <v>79.173559999999995</v>
      </c>
    </row>
    <row r="425" spans="1:4">
      <c r="A425" s="22">
        <f t="shared" si="12"/>
        <v>479.07713144146356</v>
      </c>
      <c r="B425" s="22">
        <v>4790.7713144146355</v>
      </c>
      <c r="C425" s="22">
        <v>7811.6489999999994</v>
      </c>
      <c r="D425" s="23">
        <f t="shared" si="13"/>
        <v>78.116489999999999</v>
      </c>
    </row>
    <row r="426" spans="1:4">
      <c r="A426" s="22">
        <f t="shared" si="12"/>
        <v>480.20970149215253</v>
      </c>
      <c r="B426" s="22">
        <v>4802.0970149215254</v>
      </c>
      <c r="C426" s="22">
        <v>7705.9419999999991</v>
      </c>
      <c r="D426" s="23">
        <f t="shared" si="13"/>
        <v>77.059419999999989</v>
      </c>
    </row>
    <row r="427" spans="1:4">
      <c r="A427" s="22">
        <f t="shared" si="12"/>
        <v>481.34227154284162</v>
      </c>
      <c r="B427" s="22">
        <v>4813.4227154284163</v>
      </c>
      <c r="C427" s="22">
        <v>7600.2349999999988</v>
      </c>
      <c r="D427" s="23">
        <f t="shared" si="13"/>
        <v>76.002349999999993</v>
      </c>
    </row>
    <row r="428" spans="1:4">
      <c r="A428" s="22">
        <f t="shared" si="12"/>
        <v>482.47484159353064</v>
      </c>
      <c r="B428" s="22">
        <v>4824.7484159353062</v>
      </c>
      <c r="C428" s="22">
        <v>7494.5279999999984</v>
      </c>
      <c r="D428" s="23">
        <f t="shared" si="13"/>
        <v>74.945279999999983</v>
      </c>
    </row>
    <row r="429" spans="1:4">
      <c r="A429" s="22">
        <f t="shared" si="12"/>
        <v>483.60741164421972</v>
      </c>
      <c r="B429" s="22">
        <v>4836.074116442197</v>
      </c>
      <c r="C429" s="22">
        <v>7388.8209999999981</v>
      </c>
      <c r="D429" s="23">
        <f t="shared" si="13"/>
        <v>73.888209999999987</v>
      </c>
    </row>
    <row r="430" spans="1:4">
      <c r="A430" s="22">
        <f t="shared" si="12"/>
        <v>484.73998169490869</v>
      </c>
      <c r="B430" s="22">
        <v>4847.3998169490869</v>
      </c>
      <c r="C430" s="22">
        <v>7283.1139999999978</v>
      </c>
      <c r="D430" s="23">
        <f t="shared" si="13"/>
        <v>72.831139999999976</v>
      </c>
    </row>
    <row r="431" spans="1:4">
      <c r="A431" s="22">
        <f t="shared" si="12"/>
        <v>485.87255174559778</v>
      </c>
      <c r="B431" s="22">
        <v>4858.7255174559778</v>
      </c>
      <c r="C431" s="22">
        <v>7177.4069999999974</v>
      </c>
      <c r="D431" s="23">
        <f t="shared" si="13"/>
        <v>71.77406999999998</v>
      </c>
    </row>
    <row r="432" spans="1:4">
      <c r="A432" s="22">
        <f t="shared" si="12"/>
        <v>487.00512179628686</v>
      </c>
      <c r="B432" s="22">
        <v>4870.0512179628686</v>
      </c>
      <c r="C432" s="22">
        <v>7071.7</v>
      </c>
      <c r="D432" s="23">
        <f t="shared" si="13"/>
        <v>70.716999999999999</v>
      </c>
    </row>
    <row r="433" spans="1:4">
      <c r="A433" s="22">
        <f t="shared" si="12"/>
        <v>488.13769184697583</v>
      </c>
      <c r="B433" s="22">
        <v>4881.3769184697585</v>
      </c>
      <c r="C433" s="22">
        <v>6974.3639999999996</v>
      </c>
      <c r="D433" s="23">
        <f t="shared" si="13"/>
        <v>69.743639999999999</v>
      </c>
    </row>
    <row r="434" spans="1:4">
      <c r="A434" s="22">
        <f t="shared" si="12"/>
        <v>489.27026189766491</v>
      </c>
      <c r="B434" s="22">
        <v>4892.7026189766493</v>
      </c>
      <c r="C434" s="22">
        <v>6877.0279999999993</v>
      </c>
      <c r="D434" s="23">
        <f t="shared" si="13"/>
        <v>68.77028</v>
      </c>
    </row>
    <row r="435" spans="1:4">
      <c r="A435" s="22">
        <f t="shared" si="12"/>
        <v>490.40283194835393</v>
      </c>
      <c r="B435" s="22">
        <v>4904.0283194835392</v>
      </c>
      <c r="C435" s="22">
        <v>6779.6919999999991</v>
      </c>
      <c r="D435" s="23">
        <f t="shared" si="13"/>
        <v>67.796919999999986</v>
      </c>
    </row>
    <row r="436" spans="1:4">
      <c r="A436" s="22">
        <f t="shared" si="12"/>
        <v>491.53540199904302</v>
      </c>
      <c r="B436" s="22">
        <v>4915.3540199904301</v>
      </c>
      <c r="C436" s="22">
        <v>6682.3559999999989</v>
      </c>
      <c r="D436" s="23">
        <f t="shared" si="13"/>
        <v>66.823559999999986</v>
      </c>
    </row>
    <row r="437" spans="1:4">
      <c r="A437" s="22">
        <f t="shared" si="12"/>
        <v>492.66797204973199</v>
      </c>
      <c r="B437" s="22">
        <v>4926.67972049732</v>
      </c>
      <c r="C437" s="22">
        <v>6585.0199999999986</v>
      </c>
      <c r="D437" s="23">
        <f t="shared" si="13"/>
        <v>65.850199999999987</v>
      </c>
    </row>
    <row r="438" spans="1:4">
      <c r="A438" s="22">
        <f t="shared" si="12"/>
        <v>493.80054210042107</v>
      </c>
      <c r="B438" s="22">
        <v>4938.0054210042108</v>
      </c>
      <c r="C438" s="22">
        <v>6487.6839999999984</v>
      </c>
      <c r="D438" s="23">
        <f t="shared" si="13"/>
        <v>64.876839999999987</v>
      </c>
    </row>
    <row r="439" spans="1:4">
      <c r="A439" s="22">
        <f t="shared" si="12"/>
        <v>494.93311215111009</v>
      </c>
      <c r="B439" s="22">
        <v>4949.3311215111007</v>
      </c>
      <c r="C439" s="22">
        <v>6390.3479999999981</v>
      </c>
      <c r="D439" s="23">
        <f t="shared" si="13"/>
        <v>63.903479999999981</v>
      </c>
    </row>
    <row r="440" spans="1:4">
      <c r="A440" s="22">
        <f t="shared" si="12"/>
        <v>496.06568220179918</v>
      </c>
      <c r="B440" s="22">
        <v>4960.6568220179915</v>
      </c>
      <c r="C440" s="22">
        <v>6293.0119999999979</v>
      </c>
      <c r="D440" s="23">
        <f t="shared" si="13"/>
        <v>62.930119999999981</v>
      </c>
    </row>
    <row r="441" spans="1:4">
      <c r="A441" s="22">
        <f t="shared" si="12"/>
        <v>497.19825225248815</v>
      </c>
      <c r="B441" s="22">
        <v>4971.9825225248815</v>
      </c>
      <c r="C441" s="22">
        <v>6195.6759999999977</v>
      </c>
      <c r="D441" s="23">
        <f t="shared" si="13"/>
        <v>61.956759999999974</v>
      </c>
    </row>
    <row r="442" spans="1:4">
      <c r="A442" s="22">
        <f t="shared" si="12"/>
        <v>498.33082230317723</v>
      </c>
      <c r="B442" s="22">
        <v>4983.3082230317723</v>
      </c>
      <c r="C442" s="22">
        <v>6098.34</v>
      </c>
      <c r="D442" s="23">
        <f t="shared" si="13"/>
        <v>60.983400000000003</v>
      </c>
    </row>
    <row r="443" spans="1:4">
      <c r="A443" s="22">
        <f t="shared" si="12"/>
        <v>499.4633923538662</v>
      </c>
      <c r="B443" s="22">
        <v>4994.6339235386622</v>
      </c>
      <c r="C443" s="22">
        <v>6009.3060000000005</v>
      </c>
      <c r="D443" s="23">
        <f t="shared" si="13"/>
        <v>60.093060000000008</v>
      </c>
    </row>
    <row r="444" spans="1:4">
      <c r="A444" s="22">
        <f t="shared" si="12"/>
        <v>500.59596240455528</v>
      </c>
      <c r="B444" s="22">
        <v>5005.959624045553</v>
      </c>
      <c r="C444" s="22">
        <v>5920.2720000000008</v>
      </c>
      <c r="D444" s="23">
        <f t="shared" si="13"/>
        <v>59.202720000000006</v>
      </c>
    </row>
    <row r="445" spans="1:4">
      <c r="A445" s="22">
        <f t="shared" si="12"/>
        <v>501.72853245524431</v>
      </c>
      <c r="B445" s="22">
        <v>5017.2853245524429</v>
      </c>
      <c r="C445" s="22">
        <v>5831.2380000000012</v>
      </c>
      <c r="D445" s="23">
        <f t="shared" si="13"/>
        <v>58.312380000000012</v>
      </c>
    </row>
    <row r="446" spans="1:4">
      <c r="A446" s="22">
        <f t="shared" si="12"/>
        <v>502.86110250593339</v>
      </c>
      <c r="B446" s="22">
        <v>5028.6110250593338</v>
      </c>
      <c r="C446" s="22">
        <v>5742.2040000000015</v>
      </c>
      <c r="D446" s="23">
        <f t="shared" si="13"/>
        <v>57.422040000000017</v>
      </c>
    </row>
    <row r="447" spans="1:4">
      <c r="A447" s="22">
        <f t="shared" si="12"/>
        <v>503.99367255662236</v>
      </c>
      <c r="B447" s="22">
        <v>5039.9367255662237</v>
      </c>
      <c r="C447" s="22">
        <v>5653.1700000000019</v>
      </c>
      <c r="D447" s="23">
        <f t="shared" si="13"/>
        <v>56.531700000000022</v>
      </c>
    </row>
    <row r="448" spans="1:4">
      <c r="A448" s="22">
        <f t="shared" si="12"/>
        <v>505.12624260731144</v>
      </c>
      <c r="B448" s="22">
        <v>5051.2624260731145</v>
      </c>
      <c r="C448" s="22">
        <v>5564.1360000000022</v>
      </c>
      <c r="D448" s="23">
        <f t="shared" si="13"/>
        <v>55.64136000000002</v>
      </c>
    </row>
    <row r="449" spans="1:4">
      <c r="A449" s="22">
        <f t="shared" si="12"/>
        <v>506.25881265800047</v>
      </c>
      <c r="B449" s="22">
        <v>5062.5881265800044</v>
      </c>
      <c r="C449" s="22">
        <v>5475.1020000000026</v>
      </c>
      <c r="D449" s="23">
        <f t="shared" si="13"/>
        <v>54.751020000000025</v>
      </c>
    </row>
    <row r="450" spans="1:4">
      <c r="A450" s="22">
        <f t="shared" si="12"/>
        <v>507.39138270868955</v>
      </c>
      <c r="B450" s="22">
        <v>5073.9138270868953</v>
      </c>
      <c r="C450" s="22">
        <v>5386.0680000000029</v>
      </c>
      <c r="D450" s="23">
        <f t="shared" si="13"/>
        <v>53.860680000000031</v>
      </c>
    </row>
    <row r="451" spans="1:4">
      <c r="A451" s="22">
        <f t="shared" ref="A451:A514" si="14">$B451/10</f>
        <v>508.52395275937852</v>
      </c>
      <c r="B451" s="22">
        <v>5085.2395275937852</v>
      </c>
      <c r="C451" s="22">
        <v>5297.0340000000033</v>
      </c>
      <c r="D451" s="23">
        <f t="shared" ref="D451:D514" si="15">$C451/100</f>
        <v>52.970340000000036</v>
      </c>
    </row>
    <row r="452" spans="1:4">
      <c r="A452" s="22">
        <f t="shared" si="14"/>
        <v>509.6565228100676</v>
      </c>
      <c r="B452" s="22">
        <v>5096.565228100676</v>
      </c>
      <c r="C452" s="22">
        <v>5208</v>
      </c>
      <c r="D452" s="23">
        <f t="shared" si="15"/>
        <v>52.08</v>
      </c>
    </row>
    <row r="453" spans="1:4">
      <c r="A453" s="22">
        <f t="shared" si="14"/>
        <v>510.78909286075657</v>
      </c>
      <c r="B453" s="22">
        <v>5107.8909286075659</v>
      </c>
      <c r="C453" s="22">
        <v>5127</v>
      </c>
      <c r="D453" s="23">
        <f t="shared" si="15"/>
        <v>51.27</v>
      </c>
    </row>
    <row r="454" spans="1:4">
      <c r="A454" s="22">
        <f t="shared" si="14"/>
        <v>511.92166291144565</v>
      </c>
      <c r="B454" s="22">
        <v>5119.2166291144567</v>
      </c>
      <c r="C454" s="22">
        <v>5046</v>
      </c>
      <c r="D454" s="23">
        <f t="shared" si="15"/>
        <v>50.46</v>
      </c>
    </row>
    <row r="455" spans="1:4">
      <c r="A455" s="22">
        <f t="shared" si="14"/>
        <v>513.05423296213473</v>
      </c>
      <c r="B455" s="22">
        <v>5130.5423296213476</v>
      </c>
      <c r="C455" s="22">
        <v>4965</v>
      </c>
      <c r="D455" s="23">
        <f t="shared" si="15"/>
        <v>49.65</v>
      </c>
    </row>
    <row r="456" spans="1:4">
      <c r="A456" s="22">
        <f t="shared" si="14"/>
        <v>514.1868030128237</v>
      </c>
      <c r="B456" s="22">
        <v>5141.8680301282375</v>
      </c>
      <c r="C456" s="22">
        <v>4884</v>
      </c>
      <c r="D456" s="23">
        <f t="shared" si="15"/>
        <v>48.84</v>
      </c>
    </row>
    <row r="457" spans="1:4">
      <c r="A457" s="22">
        <f t="shared" si="14"/>
        <v>515.31937306351278</v>
      </c>
      <c r="B457" s="22">
        <v>5153.1937306351283</v>
      </c>
      <c r="C457" s="22">
        <v>4803</v>
      </c>
      <c r="D457" s="23">
        <f t="shared" si="15"/>
        <v>48.03</v>
      </c>
    </row>
    <row r="458" spans="1:4">
      <c r="A458" s="22">
        <f t="shared" si="14"/>
        <v>516.45194311420187</v>
      </c>
      <c r="B458" s="22">
        <v>5164.5194311420182</v>
      </c>
      <c r="C458" s="22">
        <v>4722</v>
      </c>
      <c r="D458" s="23">
        <f t="shared" si="15"/>
        <v>47.22</v>
      </c>
    </row>
    <row r="459" spans="1:4">
      <c r="A459" s="22">
        <f t="shared" si="14"/>
        <v>517.58451316489095</v>
      </c>
      <c r="B459" s="22">
        <v>5175.845131648909</v>
      </c>
      <c r="C459" s="22">
        <v>4641</v>
      </c>
      <c r="D459" s="23">
        <f t="shared" si="15"/>
        <v>46.41</v>
      </c>
    </row>
    <row r="460" spans="1:4">
      <c r="A460" s="22">
        <f t="shared" si="14"/>
        <v>518.71708321557992</v>
      </c>
      <c r="B460" s="22">
        <v>5187.170832155799</v>
      </c>
      <c r="C460" s="22">
        <v>4560</v>
      </c>
      <c r="D460" s="23">
        <f t="shared" si="15"/>
        <v>45.6</v>
      </c>
    </row>
    <row r="461" spans="1:4">
      <c r="A461" s="22">
        <f t="shared" si="14"/>
        <v>519.849653266269</v>
      </c>
      <c r="B461" s="22">
        <v>5198.4965326626898</v>
      </c>
      <c r="C461" s="22">
        <v>4479</v>
      </c>
      <c r="D461" s="23">
        <f t="shared" si="15"/>
        <v>44.79</v>
      </c>
    </row>
    <row r="462" spans="1:4">
      <c r="A462" s="22">
        <f t="shared" si="14"/>
        <v>520.98222331695797</v>
      </c>
      <c r="B462" s="22">
        <v>5209.8222331695797</v>
      </c>
      <c r="C462" s="22">
        <v>4398</v>
      </c>
      <c r="D462" s="23">
        <f t="shared" si="15"/>
        <v>43.98</v>
      </c>
    </row>
    <row r="463" spans="1:4">
      <c r="A463" s="22">
        <f t="shared" si="14"/>
        <v>522.11479336764705</v>
      </c>
      <c r="B463" s="22">
        <v>5221.1479336764705</v>
      </c>
      <c r="C463" s="22">
        <v>4324.8</v>
      </c>
      <c r="D463" s="23">
        <f t="shared" si="15"/>
        <v>43.248000000000005</v>
      </c>
    </row>
    <row r="464" spans="1:4">
      <c r="A464" s="22">
        <f t="shared" si="14"/>
        <v>523.24736341833602</v>
      </c>
      <c r="B464" s="22">
        <v>5232.4736341833604</v>
      </c>
      <c r="C464" s="22">
        <v>4251.6000000000004</v>
      </c>
      <c r="D464" s="23">
        <f t="shared" si="15"/>
        <v>42.516000000000005</v>
      </c>
    </row>
    <row r="465" spans="1:4">
      <c r="A465" s="22">
        <f t="shared" si="14"/>
        <v>524.3799334690251</v>
      </c>
      <c r="B465" s="22">
        <v>5243.7993346902513</v>
      </c>
      <c r="C465" s="22">
        <v>4178.4000000000005</v>
      </c>
      <c r="D465" s="23">
        <f t="shared" si="15"/>
        <v>41.784000000000006</v>
      </c>
    </row>
    <row r="466" spans="1:4">
      <c r="A466" s="22">
        <f t="shared" si="14"/>
        <v>525.51250351971407</v>
      </c>
      <c r="B466" s="22">
        <v>5255.1250351971412</v>
      </c>
      <c r="C466" s="22">
        <v>4105.2000000000007</v>
      </c>
      <c r="D466" s="23">
        <f t="shared" si="15"/>
        <v>41.052000000000007</v>
      </c>
    </row>
    <row r="467" spans="1:4">
      <c r="A467" s="22">
        <f t="shared" si="14"/>
        <v>526.64507357040316</v>
      </c>
      <c r="B467" s="22">
        <v>5266.450735704032</v>
      </c>
      <c r="C467" s="22">
        <v>4032.0000000000009</v>
      </c>
      <c r="D467" s="23">
        <f t="shared" si="15"/>
        <v>40.320000000000007</v>
      </c>
    </row>
    <row r="468" spans="1:4">
      <c r="A468" s="22">
        <f t="shared" si="14"/>
        <v>527.77764362109224</v>
      </c>
      <c r="B468" s="22">
        <v>5277.7764362109219</v>
      </c>
      <c r="C468" s="22">
        <v>3958.8000000000011</v>
      </c>
      <c r="D468" s="23">
        <f t="shared" si="15"/>
        <v>39.588000000000008</v>
      </c>
    </row>
    <row r="469" spans="1:4">
      <c r="A469" s="22">
        <f t="shared" si="14"/>
        <v>528.91021367178132</v>
      </c>
      <c r="B469" s="22">
        <v>5289.1021367178128</v>
      </c>
      <c r="C469" s="22">
        <v>3885.6000000000013</v>
      </c>
      <c r="D469" s="23">
        <f t="shared" si="15"/>
        <v>38.856000000000016</v>
      </c>
    </row>
    <row r="470" spans="1:4">
      <c r="A470" s="22">
        <f t="shared" si="14"/>
        <v>530.04278372247029</v>
      </c>
      <c r="B470" s="22">
        <v>5300.4278372247027</v>
      </c>
      <c r="C470" s="22">
        <v>3812.4000000000015</v>
      </c>
      <c r="D470" s="23">
        <f t="shared" si="15"/>
        <v>38.124000000000017</v>
      </c>
    </row>
    <row r="471" spans="1:4">
      <c r="A471" s="22">
        <f t="shared" si="14"/>
        <v>531.17535377315937</v>
      </c>
      <c r="B471" s="22">
        <v>5311.7535377315935</v>
      </c>
      <c r="C471" s="22">
        <v>3739.2000000000016</v>
      </c>
      <c r="D471" s="23">
        <f t="shared" si="15"/>
        <v>37.392000000000017</v>
      </c>
    </row>
    <row r="472" spans="1:4">
      <c r="A472" s="22">
        <f t="shared" si="14"/>
        <v>532.30792382384834</v>
      </c>
      <c r="B472" s="22">
        <v>5323.0792382384834</v>
      </c>
      <c r="C472" s="22">
        <v>3666</v>
      </c>
      <c r="D472" s="23">
        <f t="shared" si="15"/>
        <v>36.659999999999997</v>
      </c>
    </row>
    <row r="473" spans="1:4">
      <c r="A473" s="22">
        <f t="shared" si="14"/>
        <v>533.44049387453742</v>
      </c>
      <c r="B473" s="22">
        <v>5334.4049387453742</v>
      </c>
      <c r="C473" s="22">
        <v>3600.5</v>
      </c>
      <c r="D473" s="23">
        <f t="shared" si="15"/>
        <v>36.005000000000003</v>
      </c>
    </row>
    <row r="474" spans="1:4">
      <c r="A474" s="22">
        <f t="shared" si="14"/>
        <v>534.57306392522639</v>
      </c>
      <c r="B474" s="22">
        <v>5345.7306392522642</v>
      </c>
      <c r="C474" s="22">
        <v>3535</v>
      </c>
      <c r="D474" s="23">
        <f t="shared" si="15"/>
        <v>35.35</v>
      </c>
    </row>
    <row r="475" spans="1:4">
      <c r="A475" s="22">
        <f t="shared" si="14"/>
        <v>535.70563397591548</v>
      </c>
      <c r="B475" s="22">
        <v>5357.056339759155</v>
      </c>
      <c r="C475" s="22">
        <v>3469.5</v>
      </c>
      <c r="D475" s="23">
        <f t="shared" si="15"/>
        <v>34.695</v>
      </c>
    </row>
    <row r="476" spans="1:4">
      <c r="A476" s="22">
        <f t="shared" si="14"/>
        <v>536.83820402660444</v>
      </c>
      <c r="B476" s="22">
        <v>5368.3820402660449</v>
      </c>
      <c r="C476" s="22">
        <v>3404</v>
      </c>
      <c r="D476" s="23">
        <f t="shared" si="15"/>
        <v>34.04</v>
      </c>
    </row>
    <row r="477" spans="1:4">
      <c r="A477" s="22">
        <f t="shared" si="14"/>
        <v>537.97077407729353</v>
      </c>
      <c r="B477" s="22">
        <v>5379.7077407729357</v>
      </c>
      <c r="C477" s="22">
        <v>3338.5</v>
      </c>
      <c r="D477" s="23">
        <f t="shared" si="15"/>
        <v>33.384999999999998</v>
      </c>
    </row>
    <row r="478" spans="1:4">
      <c r="A478" s="22">
        <f t="shared" si="14"/>
        <v>539.10334412798261</v>
      </c>
      <c r="B478" s="22">
        <v>5391.0334412798265</v>
      </c>
      <c r="C478" s="22">
        <v>3273</v>
      </c>
      <c r="D478" s="23">
        <f t="shared" si="15"/>
        <v>32.729999999999997</v>
      </c>
    </row>
    <row r="479" spans="1:4">
      <c r="A479" s="22">
        <f t="shared" si="14"/>
        <v>540.23591417867169</v>
      </c>
      <c r="B479" s="22">
        <v>5402.3591417867165</v>
      </c>
      <c r="C479" s="22">
        <v>3207.5</v>
      </c>
      <c r="D479" s="23">
        <f t="shared" si="15"/>
        <v>32.075000000000003</v>
      </c>
    </row>
    <row r="480" spans="1:4">
      <c r="A480" s="22">
        <f t="shared" si="14"/>
        <v>541.36848422936077</v>
      </c>
      <c r="B480" s="22">
        <v>5413.6848422936073</v>
      </c>
      <c r="C480" s="22">
        <v>3142</v>
      </c>
      <c r="D480" s="23">
        <f t="shared" si="15"/>
        <v>31.42</v>
      </c>
    </row>
    <row r="481" spans="1:4">
      <c r="A481" s="22">
        <f t="shared" si="14"/>
        <v>542.50105428004974</v>
      </c>
      <c r="B481" s="22">
        <v>5425.0105428004972</v>
      </c>
      <c r="C481" s="22">
        <v>3076.5</v>
      </c>
      <c r="D481" s="23">
        <f t="shared" si="15"/>
        <v>30.765000000000001</v>
      </c>
    </row>
    <row r="482" spans="1:4">
      <c r="A482" s="22">
        <f t="shared" si="14"/>
        <v>543.63362433073883</v>
      </c>
      <c r="B482" s="22">
        <v>5436.336243307388</v>
      </c>
      <c r="C482" s="22">
        <v>3011</v>
      </c>
      <c r="D482" s="23">
        <f t="shared" si="15"/>
        <v>30.11</v>
      </c>
    </row>
    <row r="483" spans="1:4">
      <c r="A483" s="22">
        <f t="shared" si="14"/>
        <v>544.76619438142779</v>
      </c>
      <c r="B483" s="22">
        <v>5447.6619438142779</v>
      </c>
      <c r="C483" s="22">
        <v>2953</v>
      </c>
      <c r="D483" s="23">
        <f t="shared" si="15"/>
        <v>29.53</v>
      </c>
    </row>
    <row r="484" spans="1:4">
      <c r="A484" s="22">
        <f t="shared" si="14"/>
        <v>545.89876443211688</v>
      </c>
      <c r="B484" s="22">
        <v>5458.9876443211688</v>
      </c>
      <c r="C484" s="22">
        <v>2895</v>
      </c>
      <c r="D484" s="23">
        <f t="shared" si="15"/>
        <v>28.95</v>
      </c>
    </row>
    <row r="485" spans="1:4">
      <c r="A485" s="22">
        <f t="shared" si="14"/>
        <v>547.03133448280585</v>
      </c>
      <c r="B485" s="22">
        <v>5470.3133448280587</v>
      </c>
      <c r="C485" s="22">
        <v>2837</v>
      </c>
      <c r="D485" s="23">
        <f t="shared" si="15"/>
        <v>28.37</v>
      </c>
    </row>
    <row r="486" spans="1:4">
      <c r="A486" s="22">
        <f t="shared" si="14"/>
        <v>548.16390453349493</v>
      </c>
      <c r="B486" s="22">
        <v>5481.6390453349495</v>
      </c>
      <c r="C486" s="22">
        <v>2779</v>
      </c>
      <c r="D486" s="23">
        <f t="shared" si="15"/>
        <v>27.79</v>
      </c>
    </row>
    <row r="487" spans="1:4">
      <c r="A487" s="22">
        <f t="shared" si="14"/>
        <v>549.2964745841839</v>
      </c>
      <c r="B487" s="22">
        <v>5492.9647458418394</v>
      </c>
      <c r="C487" s="22">
        <v>2721</v>
      </c>
      <c r="D487" s="23">
        <f t="shared" si="15"/>
        <v>27.21</v>
      </c>
    </row>
    <row r="488" spans="1:4">
      <c r="A488" s="22">
        <f t="shared" si="14"/>
        <v>550.42904463487298</v>
      </c>
      <c r="B488" s="22">
        <v>5504.2904463487303</v>
      </c>
      <c r="C488" s="22">
        <v>2663</v>
      </c>
      <c r="D488" s="23">
        <f t="shared" si="15"/>
        <v>26.63</v>
      </c>
    </row>
    <row r="489" spans="1:4">
      <c r="A489" s="22">
        <f t="shared" si="14"/>
        <v>551.56161468556206</v>
      </c>
      <c r="B489" s="22">
        <v>5515.6161468556202</v>
      </c>
      <c r="C489" s="22">
        <v>2605</v>
      </c>
      <c r="D489" s="23">
        <f t="shared" si="15"/>
        <v>26.05</v>
      </c>
    </row>
    <row r="490" spans="1:4">
      <c r="A490" s="22">
        <f t="shared" si="14"/>
        <v>552.69418473625115</v>
      </c>
      <c r="B490" s="22">
        <v>5526.941847362511</v>
      </c>
      <c r="C490" s="22">
        <v>2547</v>
      </c>
      <c r="D490" s="23">
        <f t="shared" si="15"/>
        <v>25.47</v>
      </c>
    </row>
    <row r="491" spans="1:4">
      <c r="A491" s="22">
        <f t="shared" si="14"/>
        <v>553.82675478694011</v>
      </c>
      <c r="B491" s="22">
        <v>5538.2675478694009</v>
      </c>
      <c r="C491" s="22">
        <v>2489</v>
      </c>
      <c r="D491" s="23">
        <f t="shared" si="15"/>
        <v>24.89</v>
      </c>
    </row>
    <row r="492" spans="1:4">
      <c r="A492" s="22">
        <f t="shared" si="14"/>
        <v>554.9593248376292</v>
      </c>
      <c r="B492" s="22">
        <v>5549.5932483762917</v>
      </c>
      <c r="C492" s="22">
        <v>2431</v>
      </c>
      <c r="D492" s="23">
        <f t="shared" si="15"/>
        <v>24.31</v>
      </c>
    </row>
    <row r="493" spans="1:4">
      <c r="A493" s="22">
        <f t="shared" si="14"/>
        <v>556.09189488831817</v>
      </c>
      <c r="B493" s="22">
        <v>5560.9189488831817</v>
      </c>
      <c r="C493" s="22">
        <v>2380.08</v>
      </c>
      <c r="D493" s="23">
        <f t="shared" si="15"/>
        <v>23.800799999999999</v>
      </c>
    </row>
    <row r="494" spans="1:4">
      <c r="A494" s="22">
        <f t="shared" si="14"/>
        <v>557.22446493900725</v>
      </c>
      <c r="B494" s="22">
        <v>5572.2446493900725</v>
      </c>
      <c r="C494" s="22">
        <v>2329.16</v>
      </c>
      <c r="D494" s="23">
        <f t="shared" si="15"/>
        <v>23.291599999999999</v>
      </c>
    </row>
    <row r="495" spans="1:4">
      <c r="A495" s="22">
        <f t="shared" si="14"/>
        <v>558.35703498969622</v>
      </c>
      <c r="B495" s="22">
        <v>5583.5703498969624</v>
      </c>
      <c r="C495" s="22">
        <v>2278.2399999999998</v>
      </c>
      <c r="D495" s="23">
        <f t="shared" si="15"/>
        <v>22.782399999999999</v>
      </c>
    </row>
    <row r="496" spans="1:4">
      <c r="A496" s="22">
        <f t="shared" si="14"/>
        <v>559.4896050403853</v>
      </c>
      <c r="B496" s="22">
        <v>5594.8960504038532</v>
      </c>
      <c r="C496" s="22">
        <v>2227.3199999999997</v>
      </c>
      <c r="D496" s="23">
        <f t="shared" si="15"/>
        <v>22.273199999999996</v>
      </c>
    </row>
    <row r="497" spans="1:4">
      <c r="A497" s="22">
        <f t="shared" si="14"/>
        <v>560.62217509107427</v>
      </c>
      <c r="B497" s="22">
        <v>5606.2217509107431</v>
      </c>
      <c r="C497" s="22">
        <v>2176.3999999999996</v>
      </c>
      <c r="D497" s="23">
        <f t="shared" si="15"/>
        <v>21.763999999999996</v>
      </c>
    </row>
    <row r="498" spans="1:4">
      <c r="A498" s="22">
        <f t="shared" si="14"/>
        <v>561.75474514176335</v>
      </c>
      <c r="B498" s="22">
        <v>5617.547451417634</v>
      </c>
      <c r="C498" s="22">
        <v>2125.4799999999996</v>
      </c>
      <c r="D498" s="23">
        <f t="shared" si="15"/>
        <v>21.254799999999996</v>
      </c>
    </row>
    <row r="499" spans="1:4">
      <c r="A499" s="22">
        <f t="shared" si="14"/>
        <v>562.88731519245243</v>
      </c>
      <c r="B499" s="22">
        <v>5628.8731519245248</v>
      </c>
      <c r="C499" s="22">
        <v>2074.5599999999995</v>
      </c>
      <c r="D499" s="23">
        <f t="shared" si="15"/>
        <v>20.745599999999996</v>
      </c>
    </row>
    <row r="500" spans="1:4">
      <c r="A500" s="22">
        <f t="shared" si="14"/>
        <v>564.01988524314152</v>
      </c>
      <c r="B500" s="22">
        <v>5640.1988524314147</v>
      </c>
      <c r="C500" s="22">
        <v>2023.6399999999994</v>
      </c>
      <c r="D500" s="23">
        <f t="shared" si="15"/>
        <v>20.236399999999993</v>
      </c>
    </row>
    <row r="501" spans="1:4">
      <c r="A501" s="22">
        <f t="shared" si="14"/>
        <v>565.1524552938306</v>
      </c>
      <c r="B501" s="22">
        <v>5651.5245529383055</v>
      </c>
      <c r="C501" s="22">
        <v>1972.7199999999993</v>
      </c>
      <c r="D501" s="23">
        <f t="shared" si="15"/>
        <v>19.727199999999993</v>
      </c>
    </row>
    <row r="502" spans="1:4">
      <c r="A502" s="22">
        <f t="shared" si="14"/>
        <v>566.28502534451957</v>
      </c>
      <c r="B502" s="22">
        <v>5662.8502534451954</v>
      </c>
      <c r="C502" s="22">
        <v>1921.8</v>
      </c>
      <c r="D502" s="23">
        <f t="shared" si="15"/>
        <v>19.218</v>
      </c>
    </row>
    <row r="503" spans="1:4">
      <c r="A503" s="22">
        <f t="shared" si="14"/>
        <v>567.41759539520865</v>
      </c>
      <c r="B503" s="22">
        <v>5674.1759539520863</v>
      </c>
      <c r="C503" s="22">
        <v>1877.7819999999999</v>
      </c>
      <c r="D503" s="23">
        <f t="shared" si="15"/>
        <v>18.777819999999998</v>
      </c>
    </row>
    <row r="504" spans="1:4">
      <c r="A504" s="22">
        <f t="shared" si="14"/>
        <v>568.55016544589762</v>
      </c>
      <c r="B504" s="22">
        <v>5685.5016544589762</v>
      </c>
      <c r="C504" s="22">
        <v>1833.7639999999999</v>
      </c>
      <c r="D504" s="23">
        <f t="shared" si="15"/>
        <v>18.33764</v>
      </c>
    </row>
    <row r="505" spans="1:4">
      <c r="A505" s="22">
        <f t="shared" si="14"/>
        <v>569.6827354965867</v>
      </c>
      <c r="B505" s="22">
        <v>5696.827354965867</v>
      </c>
      <c r="C505" s="22">
        <v>1789.7459999999999</v>
      </c>
      <c r="D505" s="23">
        <f t="shared" si="15"/>
        <v>17.897459999999999</v>
      </c>
    </row>
    <row r="506" spans="1:4">
      <c r="A506" s="22">
        <f t="shared" si="14"/>
        <v>570.81530554727567</v>
      </c>
      <c r="B506" s="22">
        <v>5708.1530554727569</v>
      </c>
      <c r="C506" s="22">
        <v>1745.7279999999998</v>
      </c>
      <c r="D506" s="23">
        <f t="shared" si="15"/>
        <v>17.457279999999997</v>
      </c>
    </row>
    <row r="507" spans="1:4">
      <c r="A507" s="22">
        <f t="shared" si="14"/>
        <v>571.94787559796475</v>
      </c>
      <c r="B507" s="22">
        <v>5719.4787559796478</v>
      </c>
      <c r="C507" s="22">
        <v>1701.7099999999998</v>
      </c>
      <c r="D507" s="23">
        <f t="shared" si="15"/>
        <v>17.017099999999999</v>
      </c>
    </row>
    <row r="508" spans="1:4">
      <c r="A508" s="22">
        <f t="shared" si="14"/>
        <v>573.08044564865372</v>
      </c>
      <c r="B508" s="22">
        <v>5730.8044564865377</v>
      </c>
      <c r="C508" s="22">
        <v>1657.6919999999998</v>
      </c>
      <c r="D508" s="23">
        <f t="shared" si="15"/>
        <v>16.576919999999998</v>
      </c>
    </row>
    <row r="509" spans="1:4">
      <c r="A509" s="22">
        <f t="shared" si="14"/>
        <v>574.2130156993428</v>
      </c>
      <c r="B509" s="22">
        <v>5742.1301569934285</v>
      </c>
      <c r="C509" s="22">
        <v>1613.6739999999998</v>
      </c>
      <c r="D509" s="23">
        <f t="shared" si="15"/>
        <v>16.136739999999996</v>
      </c>
    </row>
    <row r="510" spans="1:4">
      <c r="A510" s="22">
        <f t="shared" si="14"/>
        <v>575.34558575003189</v>
      </c>
      <c r="B510" s="22">
        <v>5753.4558575003184</v>
      </c>
      <c r="C510" s="22">
        <v>1569.6559999999997</v>
      </c>
      <c r="D510" s="23">
        <f t="shared" si="15"/>
        <v>15.696559999999998</v>
      </c>
    </row>
    <row r="511" spans="1:4">
      <c r="A511" s="22">
        <f t="shared" si="14"/>
        <v>576.47815580072097</v>
      </c>
      <c r="B511" s="22">
        <v>5764.7815580072092</v>
      </c>
      <c r="C511" s="22">
        <v>1525.6379999999997</v>
      </c>
      <c r="D511" s="23">
        <f t="shared" si="15"/>
        <v>15.256379999999996</v>
      </c>
    </row>
    <row r="512" spans="1:4">
      <c r="A512" s="22">
        <f t="shared" si="14"/>
        <v>577.61072585140994</v>
      </c>
      <c r="B512" s="22">
        <v>5776.1072585140992</v>
      </c>
      <c r="C512" s="22">
        <v>1481.62</v>
      </c>
      <c r="D512" s="23">
        <f t="shared" si="15"/>
        <v>14.816199999999998</v>
      </c>
    </row>
    <row r="513" spans="1:4">
      <c r="A513" s="22">
        <f t="shared" si="14"/>
        <v>578.74329590209902</v>
      </c>
      <c r="B513" s="22">
        <v>5787.43295902099</v>
      </c>
      <c r="C513" s="22">
        <v>1444.1879999999999</v>
      </c>
      <c r="D513" s="23">
        <f t="shared" si="15"/>
        <v>14.441879999999999</v>
      </c>
    </row>
    <row r="514" spans="1:4">
      <c r="A514" s="22">
        <f t="shared" si="14"/>
        <v>579.87586595278799</v>
      </c>
      <c r="B514" s="22">
        <v>5798.7586595278799</v>
      </c>
      <c r="C514" s="22">
        <v>1406.7559999999999</v>
      </c>
      <c r="D514" s="23">
        <f t="shared" si="15"/>
        <v>14.067559999999999</v>
      </c>
    </row>
    <row r="515" spans="1:4">
      <c r="A515" s="22">
        <f t="shared" ref="A515:A578" si="16">$B515/10</f>
        <v>581.00843600347707</v>
      </c>
      <c r="B515" s="22">
        <v>5810.0843600347707</v>
      </c>
      <c r="C515" s="22">
        <v>1369.3239999999998</v>
      </c>
      <c r="D515" s="23">
        <f t="shared" ref="D515:D578" si="17">$C515/100</f>
        <v>13.693239999999998</v>
      </c>
    </row>
    <row r="516" spans="1:4">
      <c r="A516" s="22">
        <f t="shared" si="16"/>
        <v>582.14100605416604</v>
      </c>
      <c r="B516" s="22">
        <v>5821.4100605416606</v>
      </c>
      <c r="C516" s="22">
        <v>1331.8919999999998</v>
      </c>
      <c r="D516" s="23">
        <f t="shared" si="17"/>
        <v>13.318919999999999</v>
      </c>
    </row>
    <row r="517" spans="1:4">
      <c r="A517" s="22">
        <f t="shared" si="16"/>
        <v>583.27357610485512</v>
      </c>
      <c r="B517" s="22">
        <v>5832.7357610485515</v>
      </c>
      <c r="C517" s="22">
        <v>1294.4599999999998</v>
      </c>
      <c r="D517" s="23">
        <f t="shared" si="17"/>
        <v>12.944599999999998</v>
      </c>
    </row>
    <row r="518" spans="1:4">
      <c r="A518" s="22">
        <f t="shared" si="16"/>
        <v>584.40614615554409</v>
      </c>
      <c r="B518" s="22">
        <v>5844.0614615554414</v>
      </c>
      <c r="C518" s="22">
        <v>1257.0279999999998</v>
      </c>
      <c r="D518" s="23">
        <f t="shared" si="17"/>
        <v>12.570279999999999</v>
      </c>
    </row>
    <row r="519" spans="1:4">
      <c r="A519" s="22">
        <f t="shared" si="16"/>
        <v>585.53871620623318</v>
      </c>
      <c r="B519" s="22">
        <v>5855.3871620623322</v>
      </c>
      <c r="C519" s="22">
        <v>1219.5959999999998</v>
      </c>
      <c r="D519" s="23">
        <f t="shared" si="17"/>
        <v>12.195959999999998</v>
      </c>
    </row>
    <row r="520" spans="1:4">
      <c r="A520" s="22">
        <f t="shared" si="16"/>
        <v>586.67128625692226</v>
      </c>
      <c r="B520" s="22">
        <v>5866.7128625692221</v>
      </c>
      <c r="C520" s="22">
        <v>1182.1639999999998</v>
      </c>
      <c r="D520" s="23">
        <f t="shared" si="17"/>
        <v>11.821639999999997</v>
      </c>
    </row>
    <row r="521" spans="1:4">
      <c r="A521" s="22">
        <f t="shared" si="16"/>
        <v>587.80385630761134</v>
      </c>
      <c r="B521" s="22">
        <v>5878.038563076113</v>
      </c>
      <c r="C521" s="22">
        <v>1144.7319999999997</v>
      </c>
      <c r="D521" s="23">
        <f t="shared" si="17"/>
        <v>11.447319999999998</v>
      </c>
    </row>
    <row r="522" spans="1:4">
      <c r="A522" s="22">
        <f t="shared" si="16"/>
        <v>588.93642635830042</v>
      </c>
      <c r="B522" s="22">
        <v>5889.3642635830038</v>
      </c>
      <c r="C522" s="22">
        <v>1107.3</v>
      </c>
      <c r="D522" s="23">
        <f t="shared" si="17"/>
        <v>11.073</v>
      </c>
    </row>
    <row r="523" spans="1:4">
      <c r="A523" s="22">
        <f t="shared" si="16"/>
        <v>590.06899640898939</v>
      </c>
      <c r="B523" s="22">
        <v>5900.6899640898937</v>
      </c>
      <c r="C523" s="22">
        <v>1076.134</v>
      </c>
      <c r="D523" s="23">
        <f t="shared" si="17"/>
        <v>10.761340000000001</v>
      </c>
    </row>
    <row r="524" spans="1:4">
      <c r="A524" s="22">
        <f t="shared" si="16"/>
        <v>591.20156645967847</v>
      </c>
      <c r="B524" s="22">
        <v>5912.0156645967845</v>
      </c>
      <c r="C524" s="22">
        <v>1044.9680000000001</v>
      </c>
      <c r="D524" s="23">
        <f t="shared" si="17"/>
        <v>10.449680000000001</v>
      </c>
    </row>
    <row r="525" spans="1:4">
      <c r="A525" s="22">
        <f t="shared" si="16"/>
        <v>592.33413651036744</v>
      </c>
      <c r="B525" s="22">
        <v>5923.3413651036744</v>
      </c>
      <c r="C525" s="22">
        <v>1013.8020000000001</v>
      </c>
      <c r="D525" s="23">
        <f t="shared" si="17"/>
        <v>10.138020000000001</v>
      </c>
    </row>
    <row r="526" spans="1:4">
      <c r="A526" s="22">
        <f t="shared" si="16"/>
        <v>593.46670656105653</v>
      </c>
      <c r="B526" s="22">
        <v>5934.6670656105653</v>
      </c>
      <c r="C526" s="22">
        <v>982.63600000000019</v>
      </c>
      <c r="D526" s="23">
        <f t="shared" si="17"/>
        <v>9.8263600000000011</v>
      </c>
    </row>
    <row r="527" spans="1:4">
      <c r="A527" s="22">
        <f t="shared" si="16"/>
        <v>594.59927661174549</v>
      </c>
      <c r="B527" s="22">
        <v>5945.9927661174552</v>
      </c>
      <c r="C527" s="22">
        <v>951.47000000000025</v>
      </c>
      <c r="D527" s="23">
        <f t="shared" si="17"/>
        <v>9.514700000000003</v>
      </c>
    </row>
    <row r="528" spans="1:4">
      <c r="A528" s="22">
        <f t="shared" si="16"/>
        <v>595.73184666243458</v>
      </c>
      <c r="B528" s="22">
        <v>5957.318466624346</v>
      </c>
      <c r="C528" s="22">
        <v>920.30400000000031</v>
      </c>
      <c r="D528" s="23">
        <f t="shared" si="17"/>
        <v>9.2030400000000032</v>
      </c>
    </row>
    <row r="529" spans="1:4">
      <c r="A529" s="22">
        <f t="shared" si="16"/>
        <v>596.86441671312355</v>
      </c>
      <c r="B529" s="22">
        <v>5968.6441671312359</v>
      </c>
      <c r="C529" s="22">
        <v>889.13800000000037</v>
      </c>
      <c r="D529" s="23">
        <f t="shared" si="17"/>
        <v>8.8913800000000034</v>
      </c>
    </row>
    <row r="530" spans="1:4">
      <c r="A530" s="22">
        <f t="shared" si="16"/>
        <v>597.99698676381263</v>
      </c>
      <c r="B530" s="22">
        <v>5979.9698676381267</v>
      </c>
      <c r="C530" s="22">
        <v>857.97200000000043</v>
      </c>
      <c r="D530" s="23">
        <f t="shared" si="17"/>
        <v>8.5797200000000036</v>
      </c>
    </row>
    <row r="531" spans="1:4">
      <c r="A531" s="22">
        <f t="shared" si="16"/>
        <v>599.12955681450171</v>
      </c>
      <c r="B531" s="22">
        <v>5991.2955681450167</v>
      </c>
      <c r="C531" s="22">
        <v>826.80600000000049</v>
      </c>
      <c r="D531" s="23">
        <f t="shared" si="17"/>
        <v>8.2680600000000055</v>
      </c>
    </row>
    <row r="532" spans="1:4">
      <c r="A532" s="22">
        <f t="shared" si="16"/>
        <v>600.26212686519079</v>
      </c>
      <c r="B532" s="22">
        <v>6002.6212686519075</v>
      </c>
      <c r="C532" s="22">
        <v>795.64</v>
      </c>
      <c r="D532" s="23">
        <f t="shared" si="17"/>
        <v>7.9563999999999995</v>
      </c>
    </row>
    <row r="533" spans="1:4">
      <c r="A533" s="22">
        <f t="shared" si="16"/>
        <v>601.39469691587976</v>
      </c>
      <c r="B533" s="22">
        <v>6013.9469691587974</v>
      </c>
      <c r="C533" s="22">
        <v>770.36599999999999</v>
      </c>
      <c r="D533" s="23">
        <f t="shared" si="17"/>
        <v>7.7036600000000002</v>
      </c>
    </row>
    <row r="534" spans="1:4">
      <c r="A534" s="22">
        <f t="shared" si="16"/>
        <v>602.52726696656885</v>
      </c>
      <c r="B534" s="22">
        <v>6025.2726696656882</v>
      </c>
      <c r="C534" s="22">
        <v>745.09199999999998</v>
      </c>
      <c r="D534" s="23">
        <f t="shared" si="17"/>
        <v>7.45092</v>
      </c>
    </row>
    <row r="535" spans="1:4">
      <c r="A535" s="22">
        <f t="shared" si="16"/>
        <v>603.65983701725781</v>
      </c>
      <c r="B535" s="22">
        <v>6036.5983701725781</v>
      </c>
      <c r="C535" s="22">
        <v>719.81799999999998</v>
      </c>
      <c r="D535" s="23">
        <f t="shared" si="17"/>
        <v>7.1981799999999998</v>
      </c>
    </row>
    <row r="536" spans="1:4">
      <c r="A536" s="22">
        <f t="shared" si="16"/>
        <v>604.7924070679469</v>
      </c>
      <c r="B536" s="22">
        <v>6047.924070679469</v>
      </c>
      <c r="C536" s="22">
        <v>694.54399999999998</v>
      </c>
      <c r="D536" s="23">
        <f t="shared" si="17"/>
        <v>6.9454399999999996</v>
      </c>
    </row>
    <row r="537" spans="1:4">
      <c r="A537" s="22">
        <f t="shared" si="16"/>
        <v>605.92497711863587</v>
      </c>
      <c r="B537" s="22">
        <v>6059.2497711863589</v>
      </c>
      <c r="C537" s="22">
        <v>669.27</v>
      </c>
      <c r="D537" s="23">
        <f t="shared" si="17"/>
        <v>6.6926999999999994</v>
      </c>
    </row>
    <row r="538" spans="1:4">
      <c r="A538" s="22">
        <f t="shared" si="16"/>
        <v>607.05754716932495</v>
      </c>
      <c r="B538" s="22">
        <v>6070.5754716932497</v>
      </c>
      <c r="C538" s="22">
        <v>643.99599999999998</v>
      </c>
      <c r="D538" s="23">
        <f t="shared" si="17"/>
        <v>6.4399600000000001</v>
      </c>
    </row>
    <row r="539" spans="1:4">
      <c r="A539" s="22">
        <f t="shared" si="16"/>
        <v>608.19011722001392</v>
      </c>
      <c r="B539" s="22">
        <v>6081.9011722001396</v>
      </c>
      <c r="C539" s="22">
        <v>618.72199999999998</v>
      </c>
      <c r="D539" s="23">
        <f t="shared" si="17"/>
        <v>6.1872199999999999</v>
      </c>
    </row>
    <row r="540" spans="1:4">
      <c r="A540" s="22">
        <f t="shared" si="16"/>
        <v>609.322687270703</v>
      </c>
      <c r="B540" s="22">
        <v>6093.2268727070305</v>
      </c>
      <c r="C540" s="22">
        <v>593.44799999999998</v>
      </c>
      <c r="D540" s="23">
        <f t="shared" si="17"/>
        <v>5.9344799999999998</v>
      </c>
    </row>
    <row r="541" spans="1:4">
      <c r="A541" s="22">
        <f t="shared" si="16"/>
        <v>610.45525732139208</v>
      </c>
      <c r="B541" s="22">
        <v>6104.5525732139204</v>
      </c>
      <c r="C541" s="22">
        <v>568.17399999999998</v>
      </c>
      <c r="D541" s="23">
        <f t="shared" si="17"/>
        <v>5.6817399999999996</v>
      </c>
    </row>
    <row r="542" spans="1:4">
      <c r="A542" s="22">
        <f t="shared" si="16"/>
        <v>611.58782737208116</v>
      </c>
      <c r="B542" s="22">
        <v>6115.8782737208112</v>
      </c>
      <c r="C542" s="22">
        <v>542.9</v>
      </c>
      <c r="D542" s="23">
        <f t="shared" si="17"/>
        <v>5.4289999999999994</v>
      </c>
    </row>
    <row r="543" spans="1:4">
      <c r="A543" s="22">
        <f t="shared" si="16"/>
        <v>612.72039742277013</v>
      </c>
      <c r="B543" s="22">
        <v>6127.2039742277011</v>
      </c>
      <c r="C543" s="22">
        <v>523.11</v>
      </c>
      <c r="D543" s="23">
        <f t="shared" si="17"/>
        <v>5.2311000000000005</v>
      </c>
    </row>
    <row r="544" spans="1:4">
      <c r="A544" s="22">
        <f t="shared" si="16"/>
        <v>613.85296747345922</v>
      </c>
      <c r="B544" s="22">
        <v>6138.5296747345919</v>
      </c>
      <c r="C544" s="22">
        <v>503.32</v>
      </c>
      <c r="D544" s="23">
        <f t="shared" si="17"/>
        <v>5.0331999999999999</v>
      </c>
    </row>
    <row r="545" spans="1:4">
      <c r="A545" s="22">
        <f t="shared" si="16"/>
        <v>614.9855375241483</v>
      </c>
      <c r="B545" s="22">
        <v>6149.8553752414828</v>
      </c>
      <c r="C545" s="22">
        <v>483.53</v>
      </c>
      <c r="D545" s="23">
        <f t="shared" si="17"/>
        <v>4.8353000000000002</v>
      </c>
    </row>
    <row r="546" spans="1:4">
      <c r="A546" s="22">
        <f t="shared" si="16"/>
        <v>616.11810757483727</v>
      </c>
      <c r="B546" s="22">
        <v>6161.1810757483727</v>
      </c>
      <c r="C546" s="22">
        <v>463.73999999999995</v>
      </c>
      <c r="D546" s="23">
        <f t="shared" si="17"/>
        <v>4.6373999999999995</v>
      </c>
    </row>
    <row r="547" spans="1:4">
      <c r="A547" s="22">
        <f t="shared" si="16"/>
        <v>617.25067762552635</v>
      </c>
      <c r="B547" s="22">
        <v>6172.5067762552635</v>
      </c>
      <c r="C547" s="22">
        <v>443.94999999999993</v>
      </c>
      <c r="D547" s="23">
        <f t="shared" si="17"/>
        <v>4.4394999999999989</v>
      </c>
    </row>
    <row r="548" spans="1:4">
      <c r="A548" s="22">
        <f t="shared" si="16"/>
        <v>618.38324767621532</v>
      </c>
      <c r="B548" s="22">
        <v>6183.8324767621534</v>
      </c>
      <c r="C548" s="22">
        <v>424.15999999999991</v>
      </c>
      <c r="D548" s="23">
        <f t="shared" si="17"/>
        <v>4.2415999999999991</v>
      </c>
    </row>
    <row r="549" spans="1:4">
      <c r="A549" s="22">
        <f t="shared" si="16"/>
        <v>619.5158177269044</v>
      </c>
      <c r="B549" s="22">
        <v>6195.1581772690442</v>
      </c>
      <c r="C549" s="22">
        <v>404.36999999999989</v>
      </c>
      <c r="D549" s="23">
        <f t="shared" si="17"/>
        <v>4.0436999999999985</v>
      </c>
    </row>
    <row r="550" spans="1:4">
      <c r="A550" s="22">
        <f t="shared" si="16"/>
        <v>620.64838777759337</v>
      </c>
      <c r="B550" s="22">
        <v>6206.4838777759342</v>
      </c>
      <c r="C550" s="22">
        <v>384.57999999999987</v>
      </c>
      <c r="D550" s="23">
        <f t="shared" si="17"/>
        <v>3.8457999999999988</v>
      </c>
    </row>
    <row r="551" spans="1:4">
      <c r="A551" s="22">
        <f t="shared" si="16"/>
        <v>621.78095782828245</v>
      </c>
      <c r="B551" s="22">
        <v>6217.809578282825</v>
      </c>
      <c r="C551" s="22">
        <v>364.78999999999985</v>
      </c>
      <c r="D551" s="23">
        <f t="shared" si="17"/>
        <v>3.6478999999999986</v>
      </c>
    </row>
    <row r="552" spans="1:4">
      <c r="A552" s="22">
        <f t="shared" si="16"/>
        <v>622.91352787897154</v>
      </c>
      <c r="B552" s="22">
        <v>6229.1352787897149</v>
      </c>
      <c r="C552" s="22">
        <v>345</v>
      </c>
      <c r="D552" s="23">
        <f t="shared" si="17"/>
        <v>3.45</v>
      </c>
    </row>
    <row r="553" spans="1:4">
      <c r="A553" s="22">
        <f t="shared" si="16"/>
        <v>624.04609792966062</v>
      </c>
      <c r="B553" s="22">
        <v>6240.4609792966057</v>
      </c>
      <c r="C553" s="22">
        <v>330.3</v>
      </c>
      <c r="D553" s="23">
        <f t="shared" si="17"/>
        <v>3.3029999999999999</v>
      </c>
    </row>
    <row r="554" spans="1:4">
      <c r="A554" s="22">
        <f t="shared" si="16"/>
        <v>625.17866798034959</v>
      </c>
      <c r="B554" s="22">
        <v>6251.7866798034956</v>
      </c>
      <c r="C554" s="22">
        <v>315.60000000000002</v>
      </c>
      <c r="D554" s="23">
        <f t="shared" si="17"/>
        <v>3.1560000000000001</v>
      </c>
    </row>
    <row r="555" spans="1:4">
      <c r="A555" s="22">
        <f t="shared" si="16"/>
        <v>626.31123803103867</v>
      </c>
      <c r="B555" s="22">
        <v>6263.1123803103865</v>
      </c>
      <c r="C555" s="22">
        <v>300.90000000000003</v>
      </c>
      <c r="D555" s="23">
        <f t="shared" si="17"/>
        <v>3.0090000000000003</v>
      </c>
    </row>
    <row r="556" spans="1:4">
      <c r="A556" s="22">
        <f t="shared" si="16"/>
        <v>627.44380808172764</v>
      </c>
      <c r="B556" s="22">
        <v>6274.4380808172764</v>
      </c>
      <c r="C556" s="22">
        <v>286.20000000000005</v>
      </c>
      <c r="D556" s="23">
        <f t="shared" si="17"/>
        <v>2.8620000000000005</v>
      </c>
    </row>
    <row r="557" spans="1:4">
      <c r="A557" s="22">
        <f t="shared" si="16"/>
        <v>628.57637813241672</v>
      </c>
      <c r="B557" s="22">
        <v>6285.7637813241672</v>
      </c>
      <c r="C557" s="22">
        <v>271.50000000000006</v>
      </c>
      <c r="D557" s="23">
        <f t="shared" si="17"/>
        <v>2.7150000000000007</v>
      </c>
    </row>
    <row r="558" spans="1:4">
      <c r="A558" s="22">
        <f t="shared" si="16"/>
        <v>629.70894818310569</v>
      </c>
      <c r="B558" s="22">
        <v>6297.0894818310571</v>
      </c>
      <c r="C558" s="22">
        <v>256.80000000000007</v>
      </c>
      <c r="D558" s="23">
        <f t="shared" si="17"/>
        <v>2.5680000000000005</v>
      </c>
    </row>
    <row r="559" spans="1:4">
      <c r="A559" s="22">
        <f t="shared" si="16"/>
        <v>630.84151823379477</v>
      </c>
      <c r="B559" s="22">
        <v>6308.415182337948</v>
      </c>
      <c r="C559" s="22">
        <v>242.10000000000008</v>
      </c>
      <c r="D559" s="23">
        <f t="shared" si="17"/>
        <v>2.4210000000000007</v>
      </c>
    </row>
    <row r="560" spans="1:4">
      <c r="A560" s="22">
        <f t="shared" si="16"/>
        <v>631.97408828448374</v>
      </c>
      <c r="B560" s="22">
        <v>6319.7408828448379</v>
      </c>
      <c r="C560" s="22">
        <v>227.40000000000009</v>
      </c>
      <c r="D560" s="23">
        <f t="shared" si="17"/>
        <v>2.2740000000000009</v>
      </c>
    </row>
    <row r="561" spans="1:4">
      <c r="A561" s="22">
        <f t="shared" si="16"/>
        <v>633.10665833517282</v>
      </c>
      <c r="B561" s="22">
        <v>6331.0665833517287</v>
      </c>
      <c r="C561" s="22">
        <v>212.7000000000001</v>
      </c>
      <c r="D561" s="23">
        <f t="shared" si="17"/>
        <v>2.1270000000000011</v>
      </c>
    </row>
    <row r="562" spans="1:4">
      <c r="A562" s="22">
        <f t="shared" si="16"/>
        <v>634.23922838586191</v>
      </c>
      <c r="B562" s="22">
        <v>6342.3922838586186</v>
      </c>
      <c r="C562" s="22">
        <v>198</v>
      </c>
      <c r="D562" s="23">
        <f t="shared" si="17"/>
        <v>1.98</v>
      </c>
    </row>
    <row r="563" spans="1:4">
      <c r="A563" s="22">
        <f t="shared" si="16"/>
        <v>635.37179843655099</v>
      </c>
      <c r="B563" s="22">
        <v>6353.7179843655094</v>
      </c>
      <c r="C563" s="22">
        <v>187.9</v>
      </c>
      <c r="D563" s="23">
        <f t="shared" si="17"/>
        <v>1.879</v>
      </c>
    </row>
    <row r="564" spans="1:4">
      <c r="A564" s="22">
        <f t="shared" si="16"/>
        <v>636.50436848723996</v>
      </c>
      <c r="B564" s="22">
        <v>6365.0436848723994</v>
      </c>
      <c r="C564" s="22">
        <v>177.8</v>
      </c>
      <c r="D564" s="23">
        <f t="shared" si="17"/>
        <v>1.778</v>
      </c>
    </row>
    <row r="565" spans="1:4">
      <c r="A565" s="22">
        <f t="shared" si="16"/>
        <v>637.63693853792904</v>
      </c>
      <c r="B565" s="22">
        <v>6376.3693853792902</v>
      </c>
      <c r="C565" s="22">
        <v>167.70000000000002</v>
      </c>
      <c r="D565" s="23">
        <f t="shared" si="17"/>
        <v>1.6770000000000003</v>
      </c>
    </row>
    <row r="566" spans="1:4">
      <c r="A566" s="22">
        <f t="shared" si="16"/>
        <v>638.76950858861801</v>
      </c>
      <c r="B566" s="22">
        <v>6387.6950858861801</v>
      </c>
      <c r="C566" s="22">
        <v>157.60000000000002</v>
      </c>
      <c r="D566" s="23">
        <f t="shared" si="17"/>
        <v>1.5760000000000003</v>
      </c>
    </row>
    <row r="567" spans="1:4">
      <c r="A567" s="22">
        <f t="shared" si="16"/>
        <v>639.90207863930709</v>
      </c>
      <c r="B567" s="22">
        <v>6399.0207863930709</v>
      </c>
      <c r="C567" s="22">
        <v>147.50000000000003</v>
      </c>
      <c r="D567" s="23">
        <f t="shared" si="17"/>
        <v>1.4750000000000003</v>
      </c>
    </row>
    <row r="568" spans="1:4">
      <c r="A568" s="22">
        <f t="shared" si="16"/>
        <v>641.03464868999617</v>
      </c>
      <c r="B568" s="22">
        <v>6410.3464868999617</v>
      </c>
      <c r="C568" s="22">
        <v>137.40000000000003</v>
      </c>
      <c r="D568" s="23">
        <f t="shared" si="17"/>
        <v>1.3740000000000003</v>
      </c>
    </row>
    <row r="569" spans="1:4">
      <c r="A569" s="22">
        <f t="shared" si="16"/>
        <v>642.16721874068514</v>
      </c>
      <c r="B569" s="22">
        <v>6421.6721874068517</v>
      </c>
      <c r="C569" s="22">
        <v>127.30000000000004</v>
      </c>
      <c r="D569" s="23">
        <f t="shared" si="17"/>
        <v>1.2730000000000004</v>
      </c>
    </row>
    <row r="570" spans="1:4">
      <c r="A570" s="22">
        <f t="shared" si="16"/>
        <v>643.29978879137423</v>
      </c>
      <c r="B570" s="22">
        <v>6432.9978879137425</v>
      </c>
      <c r="C570" s="22">
        <v>117.20000000000005</v>
      </c>
      <c r="D570" s="23">
        <f t="shared" si="17"/>
        <v>1.1720000000000004</v>
      </c>
    </row>
    <row r="571" spans="1:4">
      <c r="A571" s="22">
        <f t="shared" si="16"/>
        <v>644.43235884206319</v>
      </c>
      <c r="B571" s="22">
        <v>6444.3235884206324</v>
      </c>
      <c r="C571" s="22">
        <v>107.10000000000005</v>
      </c>
      <c r="D571" s="23">
        <f t="shared" si="17"/>
        <v>1.0710000000000006</v>
      </c>
    </row>
    <row r="572" spans="1:4">
      <c r="A572" s="22">
        <f t="shared" si="16"/>
        <v>645.56492889275228</v>
      </c>
      <c r="B572" s="22">
        <v>6455.6492889275232</v>
      </c>
      <c r="C572" s="22">
        <v>97</v>
      </c>
      <c r="D572" s="23">
        <f t="shared" si="17"/>
        <v>0.97</v>
      </c>
    </row>
    <row r="573" spans="1:4">
      <c r="A573" s="22">
        <f t="shared" si="16"/>
        <v>646.69749894344136</v>
      </c>
      <c r="B573" s="22">
        <v>6466.9749894344131</v>
      </c>
      <c r="C573" s="22">
        <v>90.8</v>
      </c>
      <c r="D573" s="23">
        <f t="shared" si="17"/>
        <v>0.90799999999999992</v>
      </c>
    </row>
    <row r="574" spans="1:4">
      <c r="A574" s="22">
        <f t="shared" si="16"/>
        <v>647.83006899413044</v>
      </c>
      <c r="B574" s="22">
        <v>6478.300689941304</v>
      </c>
      <c r="C574" s="22">
        <v>84.6</v>
      </c>
      <c r="D574" s="23">
        <f t="shared" si="17"/>
        <v>0.84599999999999997</v>
      </c>
    </row>
    <row r="575" spans="1:4">
      <c r="A575" s="22">
        <f t="shared" si="16"/>
        <v>648.96263904481941</v>
      </c>
      <c r="B575" s="22">
        <v>6489.6263904481939</v>
      </c>
      <c r="C575" s="22">
        <v>78.399999999999991</v>
      </c>
      <c r="D575" s="23">
        <f t="shared" si="17"/>
        <v>0.78399999999999992</v>
      </c>
    </row>
    <row r="576" spans="1:4">
      <c r="A576" s="22">
        <f t="shared" si="16"/>
        <v>650.09520909550849</v>
      </c>
      <c r="B576" s="22">
        <v>6500.9520909550847</v>
      </c>
      <c r="C576" s="22">
        <v>72.199999999999989</v>
      </c>
      <c r="D576" s="23">
        <f t="shared" si="17"/>
        <v>0.72199999999999986</v>
      </c>
    </row>
    <row r="577" spans="1:4">
      <c r="A577" s="22">
        <f t="shared" si="16"/>
        <v>651.22777914619746</v>
      </c>
      <c r="B577" s="22">
        <v>6512.2777914619746</v>
      </c>
      <c r="C577" s="22">
        <v>65.999999999999986</v>
      </c>
      <c r="D577" s="23">
        <f t="shared" si="17"/>
        <v>0.65999999999999981</v>
      </c>
    </row>
    <row r="578" spans="1:4">
      <c r="A578" s="22">
        <f t="shared" si="16"/>
        <v>652.36034919688655</v>
      </c>
      <c r="B578" s="22">
        <v>6523.6034919688655</v>
      </c>
      <c r="C578" s="22">
        <v>59.799999999999983</v>
      </c>
      <c r="D578" s="23">
        <f t="shared" si="17"/>
        <v>0.59799999999999986</v>
      </c>
    </row>
    <row r="579" spans="1:4">
      <c r="A579" s="22">
        <f t="shared" ref="A579:A602" si="18">$B579/10</f>
        <v>653.49291924757551</v>
      </c>
      <c r="B579" s="22">
        <v>6534.9291924757554</v>
      </c>
      <c r="C579" s="22">
        <v>53.59999999999998</v>
      </c>
      <c r="D579" s="23">
        <f t="shared" ref="D579:D602" si="19">$C579/100</f>
        <v>0.53599999999999981</v>
      </c>
    </row>
    <row r="580" spans="1:4">
      <c r="A580" s="22">
        <f t="shared" si="18"/>
        <v>654.6254892982646</v>
      </c>
      <c r="B580" s="22">
        <v>6546.2548929826462</v>
      </c>
      <c r="C580" s="22">
        <v>47.399999999999977</v>
      </c>
      <c r="D580" s="23">
        <f t="shared" si="19"/>
        <v>0.47399999999999975</v>
      </c>
    </row>
    <row r="581" spans="1:4">
      <c r="A581" s="22">
        <f t="shared" si="18"/>
        <v>655.75805934895357</v>
      </c>
      <c r="B581" s="22">
        <v>6557.5805934895361</v>
      </c>
      <c r="C581" s="22">
        <v>41.199999999999974</v>
      </c>
      <c r="D581" s="23">
        <f t="shared" si="19"/>
        <v>0.41199999999999976</v>
      </c>
    </row>
    <row r="582" spans="1:4">
      <c r="A582" s="22">
        <f t="shared" si="18"/>
        <v>656.89062939964265</v>
      </c>
      <c r="B582" s="22">
        <v>6568.9062939964269</v>
      </c>
      <c r="C582" s="22">
        <v>35</v>
      </c>
      <c r="D582" s="23">
        <f t="shared" si="19"/>
        <v>0.35</v>
      </c>
    </row>
    <row r="583" spans="1:4">
      <c r="A583" s="22">
        <f t="shared" si="18"/>
        <v>658.02319945033173</v>
      </c>
      <c r="B583" s="22">
        <v>6580.2319945033169</v>
      </c>
      <c r="C583" s="22">
        <v>32.127000000000002</v>
      </c>
      <c r="D583" s="23">
        <f t="shared" si="19"/>
        <v>0.32127</v>
      </c>
    </row>
    <row r="584" spans="1:4">
      <c r="A584" s="22">
        <f t="shared" si="18"/>
        <v>659.15576950102081</v>
      </c>
      <c r="B584" s="22">
        <v>6591.5576950102077</v>
      </c>
      <c r="C584" s="22">
        <v>29.254000000000001</v>
      </c>
      <c r="D584" s="23">
        <f t="shared" si="19"/>
        <v>0.29254000000000002</v>
      </c>
    </row>
    <row r="585" spans="1:4">
      <c r="A585" s="22">
        <f t="shared" si="18"/>
        <v>660.28833955170978</v>
      </c>
      <c r="B585" s="22">
        <v>6602.8833955170976</v>
      </c>
      <c r="C585" s="22">
        <v>26.381</v>
      </c>
      <c r="D585" s="23">
        <f t="shared" si="19"/>
        <v>0.26380999999999999</v>
      </c>
    </row>
    <row r="586" spans="1:4">
      <c r="A586" s="22">
        <f t="shared" si="18"/>
        <v>661.42090960239886</v>
      </c>
      <c r="B586" s="22">
        <v>6614.2090960239884</v>
      </c>
      <c r="C586" s="22">
        <v>23.507999999999999</v>
      </c>
      <c r="D586" s="23">
        <f t="shared" si="19"/>
        <v>0.23507999999999998</v>
      </c>
    </row>
    <row r="587" spans="1:4">
      <c r="A587" s="22">
        <f t="shared" si="18"/>
        <v>662.55347965308783</v>
      </c>
      <c r="B587" s="22">
        <v>6625.5347965308783</v>
      </c>
      <c r="C587" s="22">
        <v>20.634999999999998</v>
      </c>
      <c r="D587" s="23">
        <f t="shared" si="19"/>
        <v>0.20634999999999998</v>
      </c>
    </row>
    <row r="588" spans="1:4">
      <c r="A588" s="22">
        <f t="shared" si="18"/>
        <v>663.68604970377692</v>
      </c>
      <c r="B588" s="22">
        <v>6636.8604970377692</v>
      </c>
      <c r="C588" s="22">
        <v>17.761999999999997</v>
      </c>
      <c r="D588" s="23">
        <f t="shared" si="19"/>
        <v>0.17761999999999997</v>
      </c>
    </row>
    <row r="589" spans="1:4">
      <c r="A589" s="22">
        <f t="shared" si="18"/>
        <v>664.818619754466</v>
      </c>
      <c r="B589" s="22">
        <v>6648.18619754466</v>
      </c>
      <c r="C589" s="22">
        <v>14.888999999999996</v>
      </c>
      <c r="D589" s="23">
        <f t="shared" si="19"/>
        <v>0.14888999999999997</v>
      </c>
    </row>
    <row r="590" spans="1:4">
      <c r="A590" s="22">
        <f t="shared" si="18"/>
        <v>665.95118980515497</v>
      </c>
      <c r="B590" s="22">
        <v>6659.5118980515499</v>
      </c>
      <c r="C590" s="22">
        <v>12.015999999999995</v>
      </c>
      <c r="D590" s="23">
        <f t="shared" si="19"/>
        <v>0.12015999999999995</v>
      </c>
    </row>
    <row r="591" spans="1:4">
      <c r="A591" s="22">
        <f t="shared" si="18"/>
        <v>667.08375985584405</v>
      </c>
      <c r="B591" s="22">
        <v>6670.8375985584407</v>
      </c>
      <c r="C591" s="22">
        <v>9.1429999999999936</v>
      </c>
      <c r="D591" s="23">
        <f t="shared" si="19"/>
        <v>9.1429999999999942E-2</v>
      </c>
    </row>
    <row r="592" spans="1:4">
      <c r="A592" s="22">
        <f t="shared" si="18"/>
        <v>668.21632990653302</v>
      </c>
      <c r="B592" s="22">
        <v>6682.1632990653306</v>
      </c>
      <c r="C592" s="22">
        <v>6.27</v>
      </c>
      <c r="D592" s="23">
        <f t="shared" si="19"/>
        <v>6.2699999999999992E-2</v>
      </c>
    </row>
    <row r="593" spans="1:4">
      <c r="A593" s="22">
        <f t="shared" si="18"/>
        <v>669.3488999572221</v>
      </c>
      <c r="B593" s="22">
        <v>6693.4889995722215</v>
      </c>
      <c r="C593" s="22">
        <v>5.6429999999999998</v>
      </c>
      <c r="D593" s="23">
        <f t="shared" si="19"/>
        <v>5.6430000000000001E-2</v>
      </c>
    </row>
    <row r="594" spans="1:4">
      <c r="A594" s="22">
        <f t="shared" si="18"/>
        <v>670.48147000791118</v>
      </c>
      <c r="B594" s="22">
        <v>6704.8147000791114</v>
      </c>
      <c r="C594" s="22">
        <v>5.016</v>
      </c>
      <c r="D594" s="23">
        <f t="shared" si="19"/>
        <v>5.0160000000000003E-2</v>
      </c>
    </row>
    <row r="595" spans="1:4">
      <c r="A595" s="22">
        <f t="shared" si="18"/>
        <v>671.61404005860027</v>
      </c>
      <c r="B595" s="22">
        <v>6716.1404005860022</v>
      </c>
      <c r="C595" s="22">
        <v>4.3890000000000002</v>
      </c>
      <c r="D595" s="23">
        <f t="shared" si="19"/>
        <v>4.3890000000000005E-2</v>
      </c>
    </row>
    <row r="596" spans="1:4">
      <c r="A596" s="22">
        <f t="shared" si="18"/>
        <v>672.74661010928924</v>
      </c>
      <c r="B596" s="22">
        <v>6727.4661010928921</v>
      </c>
      <c r="C596" s="22">
        <v>3.7620000000000005</v>
      </c>
      <c r="D596" s="23">
        <f t="shared" si="19"/>
        <v>3.7620000000000008E-2</v>
      </c>
    </row>
    <row r="597" spans="1:4">
      <c r="A597" s="22">
        <f t="shared" si="18"/>
        <v>673.87918015997832</v>
      </c>
      <c r="B597" s="22">
        <v>6738.791801599783</v>
      </c>
      <c r="C597" s="22">
        <v>3.1350000000000007</v>
      </c>
      <c r="D597" s="23">
        <f t="shared" si="19"/>
        <v>3.135000000000001E-2</v>
      </c>
    </row>
    <row r="598" spans="1:4">
      <c r="A598" s="22">
        <f t="shared" si="18"/>
        <v>675.01175021066729</v>
      </c>
      <c r="B598" s="22">
        <v>6750.1175021066729</v>
      </c>
      <c r="C598" s="22">
        <v>2.5080000000000009</v>
      </c>
      <c r="D598" s="23">
        <f t="shared" si="19"/>
        <v>2.5080000000000009E-2</v>
      </c>
    </row>
    <row r="599" spans="1:4">
      <c r="A599" s="22">
        <f t="shared" si="18"/>
        <v>676.14432026135637</v>
      </c>
      <c r="B599" s="22">
        <v>6761.4432026135637</v>
      </c>
      <c r="C599" s="22">
        <v>1.8810000000000009</v>
      </c>
      <c r="D599" s="23">
        <f t="shared" si="19"/>
        <v>1.8810000000000007E-2</v>
      </c>
    </row>
    <row r="600" spans="1:4">
      <c r="A600" s="22">
        <f t="shared" si="18"/>
        <v>677.27689031204534</v>
      </c>
      <c r="B600" s="22">
        <v>6772.7689031204536</v>
      </c>
      <c r="C600" s="22">
        <v>1.2540000000000009</v>
      </c>
      <c r="D600" s="23">
        <f t="shared" si="19"/>
        <v>1.2540000000000009E-2</v>
      </c>
    </row>
    <row r="601" spans="1:4">
      <c r="A601" s="22">
        <f t="shared" si="18"/>
        <v>678.40946036273442</v>
      </c>
      <c r="B601" s="22">
        <v>6784.0946036273444</v>
      </c>
      <c r="C601" s="22">
        <v>0.62700000000000089</v>
      </c>
      <c r="D601" s="23">
        <f t="shared" si="19"/>
        <v>6.2700000000000091E-3</v>
      </c>
    </row>
    <row r="602" spans="1:4">
      <c r="A602" s="22">
        <f t="shared" si="18"/>
        <v>679.54203041342339</v>
      </c>
      <c r="B602" s="22">
        <v>6795.4203041342344</v>
      </c>
      <c r="C602" s="22">
        <v>0</v>
      </c>
      <c r="D602" s="23">
        <f t="shared" si="1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tabColor rgb="FFFF0000"/>
  </sheetPr>
  <dimension ref="A1:D452"/>
  <sheetViews>
    <sheetView workbookViewId="0">
      <selection activeCell="L49" sqref="L49"/>
    </sheetView>
  </sheetViews>
  <sheetFormatPr baseColWidth="10" defaultColWidth="11.3984375" defaultRowHeight="14.2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f>B2/10</f>
        <v>0</v>
      </c>
      <c r="B2" s="25">
        <v>0</v>
      </c>
      <c r="C2" s="25">
        <v>33339.230000000003</v>
      </c>
      <c r="D2">
        <f>C2/100</f>
        <v>333.39230000000003</v>
      </c>
    </row>
    <row r="3" spans="1:4">
      <c r="A3">
        <f t="shared" ref="A3:A66" si="0">B3/10</f>
        <v>1</v>
      </c>
      <c r="B3" s="25">
        <v>10</v>
      </c>
      <c r="C3" s="25">
        <v>33336.397000000004</v>
      </c>
      <c r="D3">
        <f t="shared" ref="D3:D66" si="1">C3/100</f>
        <v>333.36397000000005</v>
      </c>
    </row>
    <row r="4" spans="1:4">
      <c r="A4">
        <f t="shared" si="0"/>
        <v>2</v>
      </c>
      <c r="B4" s="25">
        <v>20</v>
      </c>
      <c r="C4" s="25">
        <v>33333.564000000006</v>
      </c>
      <c r="D4">
        <f t="shared" si="1"/>
        <v>333.33564000000007</v>
      </c>
    </row>
    <row r="5" spans="1:4">
      <c r="A5">
        <f t="shared" si="0"/>
        <v>3</v>
      </c>
      <c r="B5" s="25">
        <v>30</v>
      </c>
      <c r="C5" s="25">
        <v>33330.731000000007</v>
      </c>
      <c r="D5">
        <f t="shared" si="1"/>
        <v>333.30731000000009</v>
      </c>
    </row>
    <row r="6" spans="1:4">
      <c r="A6">
        <f t="shared" si="0"/>
        <v>4</v>
      </c>
      <c r="B6" s="25">
        <v>40</v>
      </c>
      <c r="C6" s="25">
        <v>33327.898000000008</v>
      </c>
      <c r="D6">
        <f t="shared" si="1"/>
        <v>333.2789800000001</v>
      </c>
    </row>
    <row r="7" spans="1:4">
      <c r="A7">
        <f t="shared" si="0"/>
        <v>5</v>
      </c>
      <c r="B7" s="25">
        <v>50</v>
      </c>
      <c r="C7" s="25">
        <v>33325.06500000001</v>
      </c>
      <c r="D7">
        <f t="shared" si="1"/>
        <v>333.25065000000012</v>
      </c>
    </row>
    <row r="8" spans="1:4">
      <c r="A8">
        <f t="shared" si="0"/>
        <v>6</v>
      </c>
      <c r="B8" s="25">
        <v>60</v>
      </c>
      <c r="C8" s="25">
        <v>33322.232000000011</v>
      </c>
      <c r="D8">
        <f t="shared" si="1"/>
        <v>333.22232000000008</v>
      </c>
    </row>
    <row r="9" spans="1:4">
      <c r="A9">
        <f t="shared" si="0"/>
        <v>7</v>
      </c>
      <c r="B9" s="25">
        <v>70</v>
      </c>
      <c r="C9" s="25">
        <v>33319.399000000012</v>
      </c>
      <c r="D9">
        <f t="shared" si="1"/>
        <v>333.1939900000001</v>
      </c>
    </row>
    <row r="10" spans="1:4">
      <c r="A10">
        <f t="shared" si="0"/>
        <v>8</v>
      </c>
      <c r="B10" s="25">
        <v>80</v>
      </c>
      <c r="C10" s="25">
        <v>33316.566000000013</v>
      </c>
      <c r="D10">
        <f t="shared" si="1"/>
        <v>333.16566000000012</v>
      </c>
    </row>
    <row r="11" spans="1:4">
      <c r="A11">
        <f t="shared" si="0"/>
        <v>9</v>
      </c>
      <c r="B11" s="25">
        <v>90</v>
      </c>
      <c r="C11" s="25">
        <v>33313.733000000015</v>
      </c>
      <c r="D11">
        <f t="shared" si="1"/>
        <v>333.13733000000013</v>
      </c>
    </row>
    <row r="12" spans="1:4">
      <c r="A12">
        <f t="shared" si="0"/>
        <v>10</v>
      </c>
      <c r="B12" s="25">
        <v>100</v>
      </c>
      <c r="C12" s="25">
        <v>33310.9</v>
      </c>
      <c r="D12">
        <f t="shared" si="1"/>
        <v>333.10900000000004</v>
      </c>
    </row>
    <row r="13" spans="1:4">
      <c r="A13">
        <f t="shared" si="0"/>
        <v>11</v>
      </c>
      <c r="B13" s="25">
        <v>110</v>
      </c>
      <c r="C13" s="25">
        <v>33308.067000000003</v>
      </c>
      <c r="D13">
        <f t="shared" si="1"/>
        <v>333.08067000000005</v>
      </c>
    </row>
    <row r="14" spans="1:4">
      <c r="A14">
        <f t="shared" si="0"/>
        <v>12</v>
      </c>
      <c r="B14" s="25">
        <v>120</v>
      </c>
      <c r="C14" s="25">
        <v>33305.234000000004</v>
      </c>
      <c r="D14">
        <f t="shared" si="1"/>
        <v>333.05234000000002</v>
      </c>
    </row>
    <row r="15" spans="1:4">
      <c r="A15">
        <f t="shared" si="0"/>
        <v>13</v>
      </c>
      <c r="B15" s="25">
        <v>130</v>
      </c>
      <c r="C15" s="25">
        <v>33302.401000000005</v>
      </c>
      <c r="D15">
        <f t="shared" si="1"/>
        <v>333.02401000000003</v>
      </c>
    </row>
    <row r="16" spans="1:4">
      <c r="A16">
        <f t="shared" si="0"/>
        <v>14</v>
      </c>
      <c r="B16" s="25">
        <v>140</v>
      </c>
      <c r="C16" s="25">
        <v>33299.568000000007</v>
      </c>
      <c r="D16">
        <f t="shared" si="1"/>
        <v>332.99568000000005</v>
      </c>
    </row>
    <row r="17" spans="1:4">
      <c r="A17">
        <f t="shared" si="0"/>
        <v>15</v>
      </c>
      <c r="B17" s="25">
        <v>150</v>
      </c>
      <c r="C17" s="25">
        <v>33296.735000000008</v>
      </c>
      <c r="D17">
        <f t="shared" si="1"/>
        <v>332.96735000000007</v>
      </c>
    </row>
    <row r="18" spans="1:4">
      <c r="A18">
        <f t="shared" si="0"/>
        <v>16</v>
      </c>
      <c r="B18" s="25">
        <v>160</v>
      </c>
      <c r="C18" s="25">
        <v>33293.902000000009</v>
      </c>
      <c r="D18">
        <f t="shared" si="1"/>
        <v>332.93902000000008</v>
      </c>
    </row>
    <row r="19" spans="1:4">
      <c r="A19">
        <f t="shared" si="0"/>
        <v>17</v>
      </c>
      <c r="B19" s="25">
        <v>170</v>
      </c>
      <c r="C19" s="25">
        <v>33291.06900000001</v>
      </c>
      <c r="D19">
        <f t="shared" si="1"/>
        <v>332.9106900000001</v>
      </c>
    </row>
    <row r="20" spans="1:4">
      <c r="A20">
        <f t="shared" si="0"/>
        <v>18</v>
      </c>
      <c r="B20" s="25">
        <v>180</v>
      </c>
      <c r="C20" s="25">
        <v>33288.236000000012</v>
      </c>
      <c r="D20">
        <f t="shared" si="1"/>
        <v>332.88236000000012</v>
      </c>
    </row>
    <row r="21" spans="1:4">
      <c r="A21">
        <f t="shared" si="0"/>
        <v>19</v>
      </c>
      <c r="B21" s="25">
        <v>190</v>
      </c>
      <c r="C21" s="25">
        <v>33285.403000000013</v>
      </c>
      <c r="D21">
        <f t="shared" si="1"/>
        <v>332.85403000000014</v>
      </c>
    </row>
    <row r="22" spans="1:4">
      <c r="A22">
        <f t="shared" si="0"/>
        <v>20</v>
      </c>
      <c r="B22" s="25">
        <v>200</v>
      </c>
      <c r="C22" s="25">
        <v>33282.57</v>
      </c>
      <c r="D22">
        <f t="shared" si="1"/>
        <v>332.82569999999998</v>
      </c>
    </row>
    <row r="23" spans="1:4">
      <c r="A23">
        <f t="shared" si="0"/>
        <v>21</v>
      </c>
      <c r="B23" s="25">
        <v>210</v>
      </c>
      <c r="C23" s="25">
        <v>33279.737000000001</v>
      </c>
      <c r="D23">
        <f t="shared" si="1"/>
        <v>332.79737</v>
      </c>
    </row>
    <row r="24" spans="1:4">
      <c r="A24">
        <f t="shared" si="0"/>
        <v>22</v>
      </c>
      <c r="B24" s="25">
        <v>220</v>
      </c>
      <c r="C24" s="25">
        <v>33276.904000000002</v>
      </c>
      <c r="D24">
        <f t="shared" si="1"/>
        <v>332.76904000000002</v>
      </c>
    </row>
    <row r="25" spans="1:4">
      <c r="A25">
        <f t="shared" si="0"/>
        <v>23</v>
      </c>
      <c r="B25" s="25">
        <v>230</v>
      </c>
      <c r="C25" s="25">
        <v>33274.071000000004</v>
      </c>
      <c r="D25">
        <f t="shared" si="1"/>
        <v>332.74071000000004</v>
      </c>
    </row>
    <row r="26" spans="1:4">
      <c r="A26">
        <f t="shared" si="0"/>
        <v>24</v>
      </c>
      <c r="B26" s="25">
        <v>240</v>
      </c>
      <c r="C26" s="25">
        <v>33271.238000000005</v>
      </c>
      <c r="D26">
        <f t="shared" si="1"/>
        <v>332.71238000000005</v>
      </c>
    </row>
    <row r="27" spans="1:4">
      <c r="A27">
        <f t="shared" si="0"/>
        <v>25</v>
      </c>
      <c r="B27" s="25">
        <v>250</v>
      </c>
      <c r="C27" s="25">
        <v>33268.405000000006</v>
      </c>
      <c r="D27">
        <f t="shared" si="1"/>
        <v>332.68405000000007</v>
      </c>
    </row>
    <row r="28" spans="1:4">
      <c r="A28">
        <f t="shared" si="0"/>
        <v>26</v>
      </c>
      <c r="B28" s="25">
        <v>260</v>
      </c>
      <c r="C28" s="25">
        <v>33265.572000000007</v>
      </c>
      <c r="D28">
        <f t="shared" si="1"/>
        <v>332.65572000000009</v>
      </c>
    </row>
    <row r="29" spans="1:4">
      <c r="A29">
        <f t="shared" si="0"/>
        <v>27</v>
      </c>
      <c r="B29" s="25">
        <v>270</v>
      </c>
      <c r="C29" s="25">
        <v>33262.739000000009</v>
      </c>
      <c r="D29">
        <f t="shared" si="1"/>
        <v>332.6273900000001</v>
      </c>
    </row>
    <row r="30" spans="1:4">
      <c r="A30">
        <f t="shared" si="0"/>
        <v>28</v>
      </c>
      <c r="B30" s="25">
        <v>280</v>
      </c>
      <c r="C30" s="25">
        <v>33259.90600000001</v>
      </c>
      <c r="D30">
        <f t="shared" si="1"/>
        <v>332.59906000000012</v>
      </c>
    </row>
    <row r="31" spans="1:4">
      <c r="A31">
        <f t="shared" si="0"/>
        <v>29</v>
      </c>
      <c r="B31" s="25">
        <v>290</v>
      </c>
      <c r="C31" s="25">
        <v>33257.073000000011</v>
      </c>
      <c r="D31">
        <f t="shared" si="1"/>
        <v>332.57073000000014</v>
      </c>
    </row>
    <row r="32" spans="1:4">
      <c r="A32">
        <f t="shared" si="0"/>
        <v>30</v>
      </c>
      <c r="B32" s="25">
        <v>300</v>
      </c>
      <c r="C32" s="25">
        <v>33254.239999999998</v>
      </c>
      <c r="D32">
        <f t="shared" si="1"/>
        <v>332.54239999999999</v>
      </c>
    </row>
    <row r="33" spans="1:4">
      <c r="A33">
        <f t="shared" si="0"/>
        <v>31</v>
      </c>
      <c r="B33" s="25">
        <v>310</v>
      </c>
      <c r="C33" s="25">
        <v>33251.406999999999</v>
      </c>
      <c r="D33">
        <f t="shared" si="1"/>
        <v>332.51407</v>
      </c>
    </row>
    <row r="34" spans="1:4">
      <c r="A34">
        <f t="shared" si="0"/>
        <v>32</v>
      </c>
      <c r="B34" s="25">
        <v>320</v>
      </c>
      <c r="C34" s="25">
        <v>33248.574000000001</v>
      </c>
      <c r="D34">
        <f t="shared" si="1"/>
        <v>332.48574000000002</v>
      </c>
    </row>
    <row r="35" spans="1:4">
      <c r="A35">
        <f t="shared" si="0"/>
        <v>33</v>
      </c>
      <c r="B35" s="25">
        <v>330</v>
      </c>
      <c r="C35" s="25">
        <v>33245.741000000002</v>
      </c>
      <c r="D35">
        <f t="shared" si="1"/>
        <v>332.45741000000004</v>
      </c>
    </row>
    <row r="36" spans="1:4">
      <c r="A36">
        <f t="shared" si="0"/>
        <v>34</v>
      </c>
      <c r="B36" s="25">
        <v>340</v>
      </c>
      <c r="C36" s="25">
        <v>33242.908000000003</v>
      </c>
      <c r="D36">
        <f t="shared" si="1"/>
        <v>332.42908000000006</v>
      </c>
    </row>
    <row r="37" spans="1:4">
      <c r="A37">
        <f t="shared" si="0"/>
        <v>35</v>
      </c>
      <c r="B37" s="25">
        <v>350</v>
      </c>
      <c r="C37" s="25">
        <v>33240.075000000004</v>
      </c>
      <c r="D37">
        <f t="shared" si="1"/>
        <v>332.40075000000002</v>
      </c>
    </row>
    <row r="38" spans="1:4">
      <c r="A38">
        <f t="shared" si="0"/>
        <v>36</v>
      </c>
      <c r="B38" s="25">
        <v>360</v>
      </c>
      <c r="C38" s="25">
        <v>33237.242000000006</v>
      </c>
      <c r="D38">
        <f t="shared" si="1"/>
        <v>332.37242000000003</v>
      </c>
    </row>
    <row r="39" spans="1:4">
      <c r="A39">
        <f t="shared" si="0"/>
        <v>37</v>
      </c>
      <c r="B39" s="25">
        <v>370</v>
      </c>
      <c r="C39" s="25">
        <v>33234.409000000007</v>
      </c>
      <c r="D39">
        <f t="shared" si="1"/>
        <v>332.34409000000005</v>
      </c>
    </row>
    <row r="40" spans="1:4">
      <c r="A40">
        <f t="shared" si="0"/>
        <v>38</v>
      </c>
      <c r="B40" s="25">
        <v>380</v>
      </c>
      <c r="C40" s="25">
        <v>33231.576000000008</v>
      </c>
      <c r="D40">
        <f t="shared" si="1"/>
        <v>332.31576000000007</v>
      </c>
    </row>
    <row r="41" spans="1:4">
      <c r="A41">
        <f t="shared" si="0"/>
        <v>39</v>
      </c>
      <c r="B41" s="25">
        <v>390</v>
      </c>
      <c r="C41" s="25">
        <v>33228.743000000009</v>
      </c>
      <c r="D41">
        <f t="shared" si="1"/>
        <v>332.28743000000009</v>
      </c>
    </row>
    <row r="42" spans="1:4">
      <c r="A42">
        <f t="shared" si="0"/>
        <v>40</v>
      </c>
      <c r="B42" s="25">
        <v>400</v>
      </c>
      <c r="C42" s="25">
        <v>33225.910000000003</v>
      </c>
      <c r="D42">
        <f t="shared" si="1"/>
        <v>332.25910000000005</v>
      </c>
    </row>
    <row r="43" spans="1:4">
      <c r="A43">
        <f t="shared" si="0"/>
        <v>41</v>
      </c>
      <c r="B43" s="25">
        <v>410</v>
      </c>
      <c r="C43" s="25">
        <v>33223.078000000001</v>
      </c>
      <c r="D43">
        <f t="shared" si="1"/>
        <v>332.23078000000004</v>
      </c>
    </row>
    <row r="44" spans="1:4">
      <c r="A44">
        <f t="shared" si="0"/>
        <v>42</v>
      </c>
      <c r="B44" s="25">
        <v>420</v>
      </c>
      <c r="C44" s="25">
        <v>33220.245999999999</v>
      </c>
      <c r="D44">
        <f t="shared" si="1"/>
        <v>332.20245999999997</v>
      </c>
    </row>
    <row r="45" spans="1:4">
      <c r="A45">
        <f t="shared" si="0"/>
        <v>43</v>
      </c>
      <c r="B45" s="25">
        <v>430</v>
      </c>
      <c r="C45" s="25">
        <v>33217.413999999997</v>
      </c>
      <c r="D45">
        <f t="shared" si="1"/>
        <v>332.17413999999997</v>
      </c>
    </row>
    <row r="46" spans="1:4">
      <c r="A46">
        <f t="shared" si="0"/>
        <v>44</v>
      </c>
      <c r="B46" s="25">
        <v>440</v>
      </c>
      <c r="C46" s="25">
        <v>33214.581999999995</v>
      </c>
      <c r="D46">
        <f t="shared" si="1"/>
        <v>332.14581999999996</v>
      </c>
    </row>
    <row r="47" spans="1:4">
      <c r="A47">
        <f t="shared" si="0"/>
        <v>45</v>
      </c>
      <c r="B47" s="25">
        <v>450</v>
      </c>
      <c r="C47" s="25">
        <v>33211.749999999993</v>
      </c>
      <c r="D47">
        <f t="shared" si="1"/>
        <v>332.11749999999995</v>
      </c>
    </row>
    <row r="48" spans="1:4">
      <c r="A48">
        <f t="shared" si="0"/>
        <v>46</v>
      </c>
      <c r="B48" s="25">
        <v>460</v>
      </c>
      <c r="C48" s="25">
        <v>33208.917999999991</v>
      </c>
      <c r="D48">
        <f t="shared" si="1"/>
        <v>332.08917999999989</v>
      </c>
    </row>
    <row r="49" spans="1:4">
      <c r="A49">
        <f t="shared" si="0"/>
        <v>47</v>
      </c>
      <c r="B49" s="25">
        <v>470</v>
      </c>
      <c r="C49" s="25">
        <v>33206.085999999988</v>
      </c>
      <c r="D49">
        <f t="shared" si="1"/>
        <v>332.06085999999988</v>
      </c>
    </row>
    <row r="50" spans="1:4">
      <c r="A50">
        <f t="shared" si="0"/>
        <v>48</v>
      </c>
      <c r="B50" s="25">
        <v>480</v>
      </c>
      <c r="C50" s="25">
        <v>33203.253999999986</v>
      </c>
      <c r="D50">
        <f t="shared" si="1"/>
        <v>332.03253999999987</v>
      </c>
    </row>
    <row r="51" spans="1:4">
      <c r="A51">
        <f t="shared" si="0"/>
        <v>49</v>
      </c>
      <c r="B51" s="25">
        <v>490</v>
      </c>
      <c r="C51" s="25">
        <v>33200.421999999984</v>
      </c>
      <c r="D51">
        <f t="shared" si="1"/>
        <v>332.00421999999986</v>
      </c>
    </row>
    <row r="52" spans="1:4">
      <c r="A52">
        <f t="shared" si="0"/>
        <v>50</v>
      </c>
      <c r="B52" s="25">
        <v>500</v>
      </c>
      <c r="C52" s="25">
        <v>33197.589999999997</v>
      </c>
      <c r="D52">
        <f t="shared" si="1"/>
        <v>331.97589999999997</v>
      </c>
    </row>
    <row r="53" spans="1:4">
      <c r="A53">
        <f t="shared" si="0"/>
        <v>51</v>
      </c>
      <c r="B53" s="25">
        <v>510</v>
      </c>
      <c r="C53" s="25">
        <v>33189.011999999995</v>
      </c>
      <c r="D53">
        <f t="shared" si="1"/>
        <v>331.89011999999997</v>
      </c>
    </row>
    <row r="54" spans="1:4">
      <c r="A54">
        <f t="shared" si="0"/>
        <v>52</v>
      </c>
      <c r="B54" s="25">
        <v>520</v>
      </c>
      <c r="C54" s="25">
        <v>33180.433999999994</v>
      </c>
      <c r="D54">
        <f t="shared" si="1"/>
        <v>331.80433999999991</v>
      </c>
    </row>
    <row r="55" spans="1:4">
      <c r="A55">
        <f t="shared" si="0"/>
        <v>53</v>
      </c>
      <c r="B55" s="25">
        <v>530</v>
      </c>
      <c r="C55" s="25">
        <v>33171.855999999992</v>
      </c>
      <c r="D55">
        <f t="shared" si="1"/>
        <v>331.71855999999991</v>
      </c>
    </row>
    <row r="56" spans="1:4">
      <c r="A56">
        <f t="shared" si="0"/>
        <v>54</v>
      </c>
      <c r="B56" s="25">
        <v>540</v>
      </c>
      <c r="C56" s="25">
        <v>33163.277999999991</v>
      </c>
      <c r="D56">
        <f t="shared" si="1"/>
        <v>331.63277999999991</v>
      </c>
    </row>
    <row r="57" spans="1:4">
      <c r="A57">
        <f t="shared" si="0"/>
        <v>55</v>
      </c>
      <c r="B57" s="25">
        <v>550</v>
      </c>
      <c r="C57" s="25">
        <v>33154.69999999999</v>
      </c>
      <c r="D57">
        <f t="shared" si="1"/>
        <v>331.54699999999991</v>
      </c>
    </row>
    <row r="58" spans="1:4">
      <c r="A58">
        <f t="shared" si="0"/>
        <v>56</v>
      </c>
      <c r="B58" s="25">
        <v>560</v>
      </c>
      <c r="C58" s="25">
        <v>33146.121999999988</v>
      </c>
      <c r="D58">
        <f t="shared" si="1"/>
        <v>331.46121999999991</v>
      </c>
    </row>
    <row r="59" spans="1:4">
      <c r="A59">
        <f t="shared" si="0"/>
        <v>57</v>
      </c>
      <c r="B59" s="25">
        <v>570</v>
      </c>
      <c r="C59" s="25">
        <v>33137.543999999987</v>
      </c>
      <c r="D59">
        <f t="shared" si="1"/>
        <v>331.37543999999986</v>
      </c>
    </row>
    <row r="60" spans="1:4">
      <c r="A60">
        <f t="shared" si="0"/>
        <v>58</v>
      </c>
      <c r="B60" s="25">
        <v>580</v>
      </c>
      <c r="C60" s="25">
        <v>33128.965999999986</v>
      </c>
      <c r="D60">
        <f t="shared" si="1"/>
        <v>331.28965999999986</v>
      </c>
    </row>
    <row r="61" spans="1:4">
      <c r="A61">
        <f t="shared" si="0"/>
        <v>59</v>
      </c>
      <c r="B61" s="25">
        <v>590</v>
      </c>
      <c r="C61" s="25">
        <v>33120.387999999984</v>
      </c>
      <c r="D61">
        <f t="shared" si="1"/>
        <v>331.20387999999986</v>
      </c>
    </row>
    <row r="62" spans="1:4">
      <c r="A62">
        <f t="shared" si="0"/>
        <v>60</v>
      </c>
      <c r="B62" s="25">
        <v>600</v>
      </c>
      <c r="C62" s="25">
        <v>33111.81</v>
      </c>
      <c r="D62">
        <f t="shared" si="1"/>
        <v>331.11809999999997</v>
      </c>
    </row>
    <row r="63" spans="1:4">
      <c r="A63">
        <f t="shared" si="0"/>
        <v>61</v>
      </c>
      <c r="B63" s="25">
        <v>610</v>
      </c>
      <c r="C63" s="25">
        <v>33084.47</v>
      </c>
      <c r="D63">
        <f t="shared" si="1"/>
        <v>330.84469999999999</v>
      </c>
    </row>
    <row r="64" spans="1:4">
      <c r="A64">
        <f t="shared" si="0"/>
        <v>62</v>
      </c>
      <c r="B64" s="25">
        <v>620</v>
      </c>
      <c r="C64" s="25">
        <v>33057.130000000005</v>
      </c>
      <c r="D64">
        <f t="shared" si="1"/>
        <v>330.57130000000006</v>
      </c>
    </row>
    <row r="65" spans="1:4">
      <c r="A65">
        <f t="shared" si="0"/>
        <v>63</v>
      </c>
      <c r="B65" s="25">
        <v>630</v>
      </c>
      <c r="C65" s="25">
        <v>33029.790000000008</v>
      </c>
      <c r="D65">
        <f t="shared" si="1"/>
        <v>330.29790000000008</v>
      </c>
    </row>
    <row r="66" spans="1:4">
      <c r="A66">
        <f t="shared" si="0"/>
        <v>64</v>
      </c>
      <c r="B66" s="25">
        <v>640</v>
      </c>
      <c r="C66" s="25">
        <v>33002.450000000012</v>
      </c>
      <c r="D66">
        <f t="shared" si="1"/>
        <v>330.0245000000001</v>
      </c>
    </row>
    <row r="67" spans="1:4">
      <c r="A67">
        <f t="shared" ref="A67:A130" si="2">B67/10</f>
        <v>65</v>
      </c>
      <c r="B67" s="25">
        <v>650</v>
      </c>
      <c r="C67" s="25">
        <v>32975.110000000015</v>
      </c>
      <c r="D67">
        <f t="shared" ref="D67:D130" si="3">C67/100</f>
        <v>329.75110000000018</v>
      </c>
    </row>
    <row r="68" spans="1:4">
      <c r="A68">
        <f t="shared" si="2"/>
        <v>66</v>
      </c>
      <c r="B68" s="25">
        <v>660</v>
      </c>
      <c r="C68" s="25">
        <v>32947.770000000019</v>
      </c>
      <c r="D68">
        <f t="shared" si="3"/>
        <v>329.4777000000002</v>
      </c>
    </row>
    <row r="69" spans="1:4">
      <c r="A69">
        <f t="shared" si="2"/>
        <v>67</v>
      </c>
      <c r="B69" s="25">
        <v>670</v>
      </c>
      <c r="C69" s="25">
        <v>32920.430000000022</v>
      </c>
      <c r="D69">
        <f t="shared" si="3"/>
        <v>329.20430000000022</v>
      </c>
    </row>
    <row r="70" spans="1:4">
      <c r="A70">
        <f t="shared" si="2"/>
        <v>68</v>
      </c>
      <c r="B70" s="25">
        <v>680</v>
      </c>
      <c r="C70" s="25">
        <v>32893.090000000026</v>
      </c>
      <c r="D70">
        <f t="shared" si="3"/>
        <v>328.93090000000024</v>
      </c>
    </row>
    <row r="71" spans="1:4">
      <c r="A71">
        <f t="shared" si="2"/>
        <v>69</v>
      </c>
      <c r="B71" s="25">
        <v>690</v>
      </c>
      <c r="C71" s="25">
        <v>32865.750000000029</v>
      </c>
      <c r="D71">
        <f t="shared" si="3"/>
        <v>328.65750000000031</v>
      </c>
    </row>
    <row r="72" spans="1:4">
      <c r="A72">
        <f t="shared" si="2"/>
        <v>70</v>
      </c>
      <c r="B72" s="25">
        <v>700</v>
      </c>
      <c r="C72" s="25">
        <v>32838.410000000003</v>
      </c>
      <c r="D72">
        <f t="shared" si="3"/>
        <v>328.38410000000005</v>
      </c>
    </row>
    <row r="73" spans="1:4">
      <c r="A73">
        <f t="shared" si="2"/>
        <v>71</v>
      </c>
      <c r="B73" s="25">
        <v>710</v>
      </c>
      <c r="C73" s="25">
        <v>32781.399000000005</v>
      </c>
      <c r="D73">
        <f t="shared" si="3"/>
        <v>327.81399000000005</v>
      </c>
    </row>
    <row r="74" spans="1:4">
      <c r="A74">
        <f t="shared" si="2"/>
        <v>72</v>
      </c>
      <c r="B74" s="25">
        <v>720</v>
      </c>
      <c r="C74" s="25">
        <v>32724.388000000006</v>
      </c>
      <c r="D74">
        <f t="shared" si="3"/>
        <v>327.24388000000005</v>
      </c>
    </row>
    <row r="75" spans="1:4">
      <c r="A75">
        <f t="shared" si="2"/>
        <v>73</v>
      </c>
      <c r="B75" s="25">
        <v>730</v>
      </c>
      <c r="C75" s="25">
        <v>32667.377000000008</v>
      </c>
      <c r="D75">
        <f t="shared" si="3"/>
        <v>326.6737700000001</v>
      </c>
    </row>
    <row r="76" spans="1:4">
      <c r="A76">
        <f t="shared" si="2"/>
        <v>74</v>
      </c>
      <c r="B76" s="25">
        <v>740</v>
      </c>
      <c r="C76" s="25">
        <v>32610.366000000009</v>
      </c>
      <c r="D76">
        <f t="shared" si="3"/>
        <v>326.1036600000001</v>
      </c>
    </row>
    <row r="77" spans="1:4">
      <c r="A77">
        <f t="shared" si="2"/>
        <v>75</v>
      </c>
      <c r="B77" s="25">
        <v>750</v>
      </c>
      <c r="C77" s="25">
        <v>32553.35500000001</v>
      </c>
      <c r="D77">
        <f t="shared" si="3"/>
        <v>325.5335500000001</v>
      </c>
    </row>
    <row r="78" spans="1:4">
      <c r="A78">
        <f t="shared" si="2"/>
        <v>76</v>
      </c>
      <c r="B78" s="25">
        <v>760</v>
      </c>
      <c r="C78" s="25">
        <v>32496.344000000012</v>
      </c>
      <c r="D78">
        <f t="shared" si="3"/>
        <v>324.96344000000011</v>
      </c>
    </row>
    <row r="79" spans="1:4">
      <c r="A79">
        <f t="shared" si="2"/>
        <v>77</v>
      </c>
      <c r="B79" s="25">
        <v>770</v>
      </c>
      <c r="C79" s="25">
        <v>32439.333000000013</v>
      </c>
      <c r="D79">
        <f t="shared" si="3"/>
        <v>324.39333000000011</v>
      </c>
    </row>
    <row r="80" spans="1:4">
      <c r="A80">
        <f t="shared" si="2"/>
        <v>78</v>
      </c>
      <c r="B80" s="25">
        <v>780</v>
      </c>
      <c r="C80" s="25">
        <v>32382.322000000015</v>
      </c>
      <c r="D80">
        <f t="shared" si="3"/>
        <v>323.82322000000016</v>
      </c>
    </row>
    <row r="81" spans="1:4">
      <c r="A81">
        <f t="shared" si="2"/>
        <v>79</v>
      </c>
      <c r="B81" s="25">
        <v>790</v>
      </c>
      <c r="C81" s="25">
        <v>32325.311000000016</v>
      </c>
      <c r="D81">
        <f t="shared" si="3"/>
        <v>323.25311000000016</v>
      </c>
    </row>
    <row r="82" spans="1:4">
      <c r="A82">
        <f t="shared" si="2"/>
        <v>80</v>
      </c>
      <c r="B82" s="25">
        <v>800</v>
      </c>
      <c r="C82" s="25">
        <v>32268.3</v>
      </c>
      <c r="D82">
        <f t="shared" si="3"/>
        <v>322.68299999999999</v>
      </c>
    </row>
    <row r="83" spans="1:4">
      <c r="A83">
        <f t="shared" si="2"/>
        <v>81</v>
      </c>
      <c r="B83" s="25">
        <v>810</v>
      </c>
      <c r="C83" s="25">
        <v>32170.71</v>
      </c>
      <c r="D83">
        <f t="shared" si="3"/>
        <v>321.70709999999997</v>
      </c>
    </row>
    <row r="84" spans="1:4">
      <c r="A84">
        <f t="shared" si="2"/>
        <v>82</v>
      </c>
      <c r="B84" s="25">
        <v>820</v>
      </c>
      <c r="C84" s="25">
        <v>32073.119999999999</v>
      </c>
      <c r="D84">
        <f t="shared" si="3"/>
        <v>320.7312</v>
      </c>
    </row>
    <row r="85" spans="1:4">
      <c r="A85">
        <f t="shared" si="2"/>
        <v>83</v>
      </c>
      <c r="B85" s="25">
        <v>830</v>
      </c>
      <c r="C85" s="25">
        <v>31975.53</v>
      </c>
      <c r="D85">
        <f t="shared" si="3"/>
        <v>319.75529999999998</v>
      </c>
    </row>
    <row r="86" spans="1:4">
      <c r="A86">
        <f t="shared" si="2"/>
        <v>84</v>
      </c>
      <c r="B86" s="25">
        <v>840</v>
      </c>
      <c r="C86" s="25">
        <v>31877.94</v>
      </c>
      <c r="D86">
        <f t="shared" si="3"/>
        <v>318.77940000000001</v>
      </c>
    </row>
    <row r="87" spans="1:4">
      <c r="A87">
        <f t="shared" si="2"/>
        <v>85</v>
      </c>
      <c r="B87" s="25">
        <v>850</v>
      </c>
      <c r="C87" s="25">
        <v>31780.35</v>
      </c>
      <c r="D87">
        <f t="shared" si="3"/>
        <v>317.80349999999999</v>
      </c>
    </row>
    <row r="88" spans="1:4">
      <c r="A88">
        <f t="shared" si="2"/>
        <v>86</v>
      </c>
      <c r="B88" s="25">
        <v>860</v>
      </c>
      <c r="C88" s="25">
        <v>31682.76</v>
      </c>
      <c r="D88">
        <f t="shared" si="3"/>
        <v>316.82759999999996</v>
      </c>
    </row>
    <row r="89" spans="1:4">
      <c r="A89">
        <f t="shared" si="2"/>
        <v>87</v>
      </c>
      <c r="B89" s="25">
        <v>870</v>
      </c>
      <c r="C89" s="25">
        <v>31585.17</v>
      </c>
      <c r="D89">
        <f t="shared" si="3"/>
        <v>315.85169999999999</v>
      </c>
    </row>
    <row r="90" spans="1:4">
      <c r="A90">
        <f t="shared" si="2"/>
        <v>88</v>
      </c>
      <c r="B90" s="25">
        <v>880</v>
      </c>
      <c r="C90" s="25">
        <v>31487.579999999998</v>
      </c>
      <c r="D90">
        <f t="shared" si="3"/>
        <v>314.87579999999997</v>
      </c>
    </row>
    <row r="91" spans="1:4">
      <c r="A91">
        <f t="shared" si="2"/>
        <v>89</v>
      </c>
      <c r="B91" s="25">
        <v>890</v>
      </c>
      <c r="C91" s="25">
        <v>31389.989999999998</v>
      </c>
      <c r="D91">
        <f t="shared" si="3"/>
        <v>313.8999</v>
      </c>
    </row>
    <row r="92" spans="1:4">
      <c r="A92">
        <f t="shared" si="2"/>
        <v>90</v>
      </c>
      <c r="B92" s="25">
        <v>900</v>
      </c>
      <c r="C92" s="25">
        <v>31292.400000000001</v>
      </c>
      <c r="D92">
        <f t="shared" si="3"/>
        <v>312.92400000000004</v>
      </c>
    </row>
    <row r="93" spans="1:4">
      <c r="A93">
        <f t="shared" si="2"/>
        <v>91</v>
      </c>
      <c r="B93" s="25">
        <v>910</v>
      </c>
      <c r="C93" s="25">
        <v>31159.22</v>
      </c>
      <c r="D93">
        <f t="shared" si="3"/>
        <v>311.59219999999999</v>
      </c>
    </row>
    <row r="94" spans="1:4">
      <c r="A94">
        <f t="shared" si="2"/>
        <v>92</v>
      </c>
      <c r="B94" s="25">
        <v>920</v>
      </c>
      <c r="C94" s="25">
        <v>31026.04</v>
      </c>
      <c r="D94">
        <f t="shared" si="3"/>
        <v>310.2604</v>
      </c>
    </row>
    <row r="95" spans="1:4">
      <c r="A95">
        <f t="shared" si="2"/>
        <v>93</v>
      </c>
      <c r="B95" s="25">
        <v>930</v>
      </c>
      <c r="C95" s="25">
        <v>30892.86</v>
      </c>
      <c r="D95">
        <f t="shared" si="3"/>
        <v>308.92860000000002</v>
      </c>
    </row>
    <row r="96" spans="1:4">
      <c r="A96">
        <f t="shared" si="2"/>
        <v>94</v>
      </c>
      <c r="B96" s="25">
        <v>940</v>
      </c>
      <c r="C96" s="25">
        <v>30759.68</v>
      </c>
      <c r="D96">
        <f t="shared" si="3"/>
        <v>307.59680000000003</v>
      </c>
    </row>
    <row r="97" spans="1:4">
      <c r="A97">
        <f t="shared" si="2"/>
        <v>95</v>
      </c>
      <c r="B97" s="25">
        <v>950</v>
      </c>
      <c r="C97" s="25">
        <v>30626.5</v>
      </c>
      <c r="D97">
        <f t="shared" si="3"/>
        <v>306.26499999999999</v>
      </c>
    </row>
    <row r="98" spans="1:4">
      <c r="A98">
        <f t="shared" si="2"/>
        <v>96</v>
      </c>
      <c r="B98" s="25">
        <v>960</v>
      </c>
      <c r="C98" s="25">
        <v>30493.32</v>
      </c>
      <c r="D98">
        <f t="shared" si="3"/>
        <v>304.9332</v>
      </c>
    </row>
    <row r="99" spans="1:4">
      <c r="A99">
        <f t="shared" si="2"/>
        <v>97</v>
      </c>
      <c r="B99" s="25">
        <v>970</v>
      </c>
      <c r="C99" s="25">
        <v>30360.14</v>
      </c>
      <c r="D99">
        <f t="shared" si="3"/>
        <v>303.60140000000001</v>
      </c>
    </row>
    <row r="100" spans="1:4">
      <c r="A100">
        <f t="shared" si="2"/>
        <v>98</v>
      </c>
      <c r="B100" s="25">
        <v>980</v>
      </c>
      <c r="C100" s="25">
        <v>30226.959999999999</v>
      </c>
      <c r="D100">
        <f t="shared" si="3"/>
        <v>302.26959999999997</v>
      </c>
    </row>
    <row r="101" spans="1:4">
      <c r="A101">
        <f t="shared" si="2"/>
        <v>99</v>
      </c>
      <c r="B101" s="25">
        <v>990</v>
      </c>
      <c r="C101" s="25">
        <v>30093.78</v>
      </c>
      <c r="D101">
        <f t="shared" si="3"/>
        <v>300.93779999999998</v>
      </c>
    </row>
    <row r="102" spans="1:4">
      <c r="A102">
        <f t="shared" si="2"/>
        <v>100</v>
      </c>
      <c r="B102" s="25">
        <v>1000</v>
      </c>
      <c r="C102" s="25">
        <v>29960.6</v>
      </c>
      <c r="D102">
        <f t="shared" si="3"/>
        <v>299.60599999999999</v>
      </c>
    </row>
    <row r="103" spans="1:4">
      <c r="A103">
        <f t="shared" si="2"/>
        <v>101</v>
      </c>
      <c r="B103" s="25">
        <v>1010</v>
      </c>
      <c r="C103" s="25">
        <v>29812.206999999999</v>
      </c>
      <c r="D103">
        <f t="shared" si="3"/>
        <v>298.12207000000001</v>
      </c>
    </row>
    <row r="104" spans="1:4">
      <c r="A104">
        <f t="shared" si="2"/>
        <v>102</v>
      </c>
      <c r="B104" s="25">
        <v>1020</v>
      </c>
      <c r="C104" s="25">
        <v>29663.813999999998</v>
      </c>
      <c r="D104">
        <f t="shared" si="3"/>
        <v>296.63813999999996</v>
      </c>
    </row>
    <row r="105" spans="1:4">
      <c r="A105">
        <f t="shared" si="2"/>
        <v>103</v>
      </c>
      <c r="B105" s="25">
        <v>1030</v>
      </c>
      <c r="C105" s="25">
        <v>29515.420999999998</v>
      </c>
      <c r="D105">
        <f t="shared" si="3"/>
        <v>295.15420999999998</v>
      </c>
    </row>
    <row r="106" spans="1:4">
      <c r="A106">
        <f t="shared" si="2"/>
        <v>104</v>
      </c>
      <c r="B106" s="25">
        <v>1040</v>
      </c>
      <c r="C106" s="25">
        <v>29367.027999999998</v>
      </c>
      <c r="D106">
        <f t="shared" si="3"/>
        <v>293.67027999999999</v>
      </c>
    </row>
    <row r="107" spans="1:4">
      <c r="A107">
        <f t="shared" si="2"/>
        <v>105</v>
      </c>
      <c r="B107" s="25">
        <v>1050</v>
      </c>
      <c r="C107" s="25">
        <v>29218.634999999998</v>
      </c>
      <c r="D107">
        <f t="shared" si="3"/>
        <v>292.18635</v>
      </c>
    </row>
    <row r="108" spans="1:4">
      <c r="A108">
        <f t="shared" si="2"/>
        <v>106</v>
      </c>
      <c r="B108" s="25">
        <v>1060</v>
      </c>
      <c r="C108" s="25">
        <v>29070.241999999998</v>
      </c>
      <c r="D108">
        <f t="shared" si="3"/>
        <v>290.70241999999996</v>
      </c>
    </row>
    <row r="109" spans="1:4">
      <c r="A109">
        <f t="shared" si="2"/>
        <v>107</v>
      </c>
      <c r="B109" s="25">
        <v>1070</v>
      </c>
      <c r="C109" s="25">
        <v>28921.848999999998</v>
      </c>
      <c r="D109">
        <f t="shared" si="3"/>
        <v>289.21848999999997</v>
      </c>
    </row>
    <row r="110" spans="1:4">
      <c r="A110">
        <f t="shared" si="2"/>
        <v>108</v>
      </c>
      <c r="B110" s="25">
        <v>1080</v>
      </c>
      <c r="C110" s="25">
        <v>28773.455999999998</v>
      </c>
      <c r="D110">
        <f t="shared" si="3"/>
        <v>287.73455999999999</v>
      </c>
    </row>
    <row r="111" spans="1:4">
      <c r="A111">
        <f t="shared" si="2"/>
        <v>109</v>
      </c>
      <c r="B111" s="25">
        <v>1090</v>
      </c>
      <c r="C111" s="25">
        <v>28625.062999999998</v>
      </c>
      <c r="D111">
        <f t="shared" si="3"/>
        <v>286.25063</v>
      </c>
    </row>
    <row r="112" spans="1:4">
      <c r="A112">
        <f t="shared" si="2"/>
        <v>110</v>
      </c>
      <c r="B112" s="25">
        <v>1100</v>
      </c>
      <c r="C112" s="25">
        <v>28609.85</v>
      </c>
      <c r="D112">
        <f t="shared" si="3"/>
        <v>286.0985</v>
      </c>
    </row>
    <row r="113" spans="1:4">
      <c r="A113">
        <f t="shared" si="2"/>
        <v>111</v>
      </c>
      <c r="B113" s="25">
        <v>1110</v>
      </c>
      <c r="C113" s="25">
        <v>28474.764999999999</v>
      </c>
      <c r="D113">
        <f t="shared" si="3"/>
        <v>284.74765000000002</v>
      </c>
    </row>
    <row r="114" spans="1:4">
      <c r="A114">
        <f t="shared" si="2"/>
        <v>112</v>
      </c>
      <c r="B114" s="25">
        <v>1120</v>
      </c>
      <c r="C114" s="25">
        <v>28339.68</v>
      </c>
      <c r="D114">
        <f t="shared" si="3"/>
        <v>283.39679999999998</v>
      </c>
    </row>
    <row r="115" spans="1:4">
      <c r="A115">
        <f t="shared" si="2"/>
        <v>113</v>
      </c>
      <c r="B115" s="25">
        <v>1130</v>
      </c>
      <c r="C115" s="25">
        <v>28204.595000000001</v>
      </c>
      <c r="D115">
        <f t="shared" si="3"/>
        <v>282.04595</v>
      </c>
    </row>
    <row r="116" spans="1:4">
      <c r="A116">
        <f t="shared" si="2"/>
        <v>114</v>
      </c>
      <c r="B116" s="25">
        <v>1140</v>
      </c>
      <c r="C116" s="25">
        <v>28069.510000000002</v>
      </c>
      <c r="D116">
        <f t="shared" si="3"/>
        <v>280.69510000000002</v>
      </c>
    </row>
    <row r="117" spans="1:4">
      <c r="A117">
        <f t="shared" si="2"/>
        <v>115</v>
      </c>
      <c r="B117" s="25">
        <v>1150</v>
      </c>
      <c r="C117" s="25">
        <v>27934.425000000003</v>
      </c>
      <c r="D117">
        <f t="shared" si="3"/>
        <v>279.34425000000005</v>
      </c>
    </row>
    <row r="118" spans="1:4">
      <c r="A118">
        <f t="shared" si="2"/>
        <v>116</v>
      </c>
      <c r="B118" s="25">
        <v>1160</v>
      </c>
      <c r="C118" s="25">
        <v>27799.340000000004</v>
      </c>
      <c r="D118">
        <f t="shared" si="3"/>
        <v>277.99340000000007</v>
      </c>
    </row>
    <row r="119" spans="1:4">
      <c r="A119">
        <f t="shared" si="2"/>
        <v>117</v>
      </c>
      <c r="B119" s="25">
        <v>1170</v>
      </c>
      <c r="C119" s="25">
        <v>27664.255000000005</v>
      </c>
      <c r="D119">
        <f t="shared" si="3"/>
        <v>276.64255000000003</v>
      </c>
    </row>
    <row r="120" spans="1:4">
      <c r="A120">
        <f t="shared" si="2"/>
        <v>118</v>
      </c>
      <c r="B120" s="25">
        <v>1180</v>
      </c>
      <c r="C120" s="25">
        <v>27529.170000000006</v>
      </c>
      <c r="D120">
        <f t="shared" si="3"/>
        <v>275.29170000000005</v>
      </c>
    </row>
    <row r="121" spans="1:4">
      <c r="A121">
        <f t="shared" si="2"/>
        <v>119</v>
      </c>
      <c r="B121" s="25">
        <v>1190</v>
      </c>
      <c r="C121" s="25">
        <v>27394.085000000006</v>
      </c>
      <c r="D121">
        <f t="shared" si="3"/>
        <v>273.94085000000007</v>
      </c>
    </row>
    <row r="122" spans="1:4">
      <c r="A122">
        <f t="shared" si="2"/>
        <v>120</v>
      </c>
      <c r="B122" s="25">
        <v>1200</v>
      </c>
      <c r="C122" s="25">
        <v>27259</v>
      </c>
      <c r="D122">
        <f t="shared" si="3"/>
        <v>272.58999999999997</v>
      </c>
    </row>
    <row r="123" spans="1:4">
      <c r="A123">
        <f t="shared" si="2"/>
        <v>121</v>
      </c>
      <c r="B123" s="25">
        <v>1210</v>
      </c>
      <c r="C123" s="25">
        <v>27123.9303</v>
      </c>
      <c r="D123">
        <f t="shared" si="3"/>
        <v>271.23930300000001</v>
      </c>
    </row>
    <row r="124" spans="1:4">
      <c r="A124">
        <f t="shared" si="2"/>
        <v>122</v>
      </c>
      <c r="B124" s="25">
        <v>1220</v>
      </c>
      <c r="C124" s="25">
        <v>26988.8606</v>
      </c>
      <c r="D124">
        <f t="shared" si="3"/>
        <v>269.88860599999998</v>
      </c>
    </row>
    <row r="125" spans="1:4">
      <c r="A125">
        <f t="shared" si="2"/>
        <v>123</v>
      </c>
      <c r="B125" s="25">
        <v>1230</v>
      </c>
      <c r="C125" s="25">
        <v>26853.7909</v>
      </c>
      <c r="D125">
        <f t="shared" si="3"/>
        <v>268.53790900000001</v>
      </c>
    </row>
    <row r="126" spans="1:4">
      <c r="A126">
        <f t="shared" si="2"/>
        <v>124</v>
      </c>
      <c r="B126" s="25">
        <v>1240</v>
      </c>
      <c r="C126" s="25">
        <v>26718.7212</v>
      </c>
      <c r="D126">
        <f t="shared" si="3"/>
        <v>267.18721199999999</v>
      </c>
    </row>
    <row r="127" spans="1:4">
      <c r="A127">
        <f t="shared" si="2"/>
        <v>125</v>
      </c>
      <c r="B127" s="25">
        <v>1250</v>
      </c>
      <c r="C127" s="25">
        <v>26583.6515</v>
      </c>
      <c r="D127">
        <f t="shared" si="3"/>
        <v>265.83651500000002</v>
      </c>
    </row>
    <row r="128" spans="1:4">
      <c r="A128">
        <f t="shared" si="2"/>
        <v>126</v>
      </c>
      <c r="B128" s="25">
        <v>1260</v>
      </c>
      <c r="C128" s="25">
        <v>26448.5818</v>
      </c>
      <c r="D128">
        <f t="shared" si="3"/>
        <v>264.48581799999999</v>
      </c>
    </row>
    <row r="129" spans="1:4">
      <c r="A129">
        <f t="shared" si="2"/>
        <v>127</v>
      </c>
      <c r="B129" s="25">
        <v>1270</v>
      </c>
      <c r="C129" s="25">
        <v>26313.5121</v>
      </c>
      <c r="D129">
        <f t="shared" si="3"/>
        <v>263.13512100000003</v>
      </c>
    </row>
    <row r="130" spans="1:4">
      <c r="A130">
        <f t="shared" si="2"/>
        <v>128</v>
      </c>
      <c r="B130" s="25">
        <v>1280</v>
      </c>
      <c r="C130" s="25">
        <v>26178.4424</v>
      </c>
      <c r="D130">
        <f t="shared" si="3"/>
        <v>261.784424</v>
      </c>
    </row>
    <row r="131" spans="1:4">
      <c r="A131">
        <f t="shared" ref="A131:A194" si="4">B131/10</f>
        <v>129</v>
      </c>
      <c r="B131" s="25">
        <v>1290</v>
      </c>
      <c r="C131" s="25">
        <v>26043.3727</v>
      </c>
      <c r="D131">
        <f t="shared" ref="D131:D194" si="5">C131/100</f>
        <v>260.43372699999998</v>
      </c>
    </row>
    <row r="132" spans="1:4">
      <c r="A132">
        <f t="shared" si="4"/>
        <v>130</v>
      </c>
      <c r="B132" s="25">
        <v>1300</v>
      </c>
      <c r="C132" s="25">
        <v>25908.303</v>
      </c>
      <c r="D132">
        <f t="shared" si="5"/>
        <v>259.08303000000001</v>
      </c>
    </row>
    <row r="133" spans="1:4">
      <c r="A133">
        <f t="shared" si="4"/>
        <v>131</v>
      </c>
      <c r="B133" s="25">
        <v>1310</v>
      </c>
      <c r="C133" s="25">
        <v>25773.2333</v>
      </c>
      <c r="D133">
        <f t="shared" si="5"/>
        <v>257.73233299999998</v>
      </c>
    </row>
    <row r="134" spans="1:4">
      <c r="A134">
        <f t="shared" si="4"/>
        <v>132</v>
      </c>
      <c r="B134" s="25">
        <v>1320</v>
      </c>
      <c r="C134" s="25">
        <v>25638.1636</v>
      </c>
      <c r="D134">
        <f t="shared" si="5"/>
        <v>256.38163600000001</v>
      </c>
    </row>
    <row r="135" spans="1:4">
      <c r="A135">
        <f t="shared" si="4"/>
        <v>133</v>
      </c>
      <c r="B135" s="25">
        <v>1330</v>
      </c>
      <c r="C135" s="25">
        <v>25503.0939</v>
      </c>
      <c r="D135">
        <f t="shared" si="5"/>
        <v>255.03093899999999</v>
      </c>
    </row>
    <row r="136" spans="1:4">
      <c r="A136">
        <f t="shared" si="4"/>
        <v>134</v>
      </c>
      <c r="B136" s="25">
        <v>1340</v>
      </c>
      <c r="C136" s="25">
        <v>25368.0242</v>
      </c>
      <c r="D136">
        <f t="shared" si="5"/>
        <v>253.68024199999999</v>
      </c>
    </row>
    <row r="137" spans="1:4">
      <c r="A137">
        <f t="shared" si="4"/>
        <v>135</v>
      </c>
      <c r="B137" s="25">
        <v>1350</v>
      </c>
      <c r="C137" s="25">
        <v>25232.9545</v>
      </c>
      <c r="D137">
        <f t="shared" si="5"/>
        <v>252.329545</v>
      </c>
    </row>
    <row r="138" spans="1:4">
      <c r="A138">
        <f t="shared" si="4"/>
        <v>136</v>
      </c>
      <c r="B138" s="25">
        <v>1360</v>
      </c>
      <c r="C138" s="25">
        <v>25097.8848</v>
      </c>
      <c r="D138">
        <f t="shared" si="5"/>
        <v>250.978848</v>
      </c>
    </row>
    <row r="139" spans="1:4">
      <c r="A139">
        <f t="shared" si="4"/>
        <v>137</v>
      </c>
      <c r="B139" s="25">
        <v>1370</v>
      </c>
      <c r="C139" s="25">
        <v>24962.8151</v>
      </c>
      <c r="D139">
        <f t="shared" si="5"/>
        <v>249.628151</v>
      </c>
    </row>
    <row r="140" spans="1:4">
      <c r="A140">
        <f t="shared" si="4"/>
        <v>138</v>
      </c>
      <c r="B140" s="25">
        <v>1380</v>
      </c>
      <c r="C140" s="25">
        <v>24827.7454</v>
      </c>
      <c r="D140">
        <f t="shared" si="5"/>
        <v>248.27745400000001</v>
      </c>
    </row>
    <row r="141" spans="1:4">
      <c r="A141">
        <f t="shared" si="4"/>
        <v>139</v>
      </c>
      <c r="B141" s="25">
        <v>1390</v>
      </c>
      <c r="C141" s="25">
        <v>24692.6757</v>
      </c>
      <c r="D141">
        <f t="shared" si="5"/>
        <v>246.92675700000001</v>
      </c>
    </row>
    <row r="142" spans="1:4">
      <c r="A142">
        <f t="shared" si="4"/>
        <v>140</v>
      </c>
      <c r="B142" s="25">
        <v>1400</v>
      </c>
      <c r="C142" s="25">
        <v>24557.606</v>
      </c>
      <c r="D142">
        <f t="shared" si="5"/>
        <v>245.57605999999998</v>
      </c>
    </row>
    <row r="143" spans="1:4">
      <c r="A143">
        <f t="shared" si="4"/>
        <v>141</v>
      </c>
      <c r="B143" s="25">
        <v>1410</v>
      </c>
      <c r="C143" s="25">
        <v>24422.5363</v>
      </c>
      <c r="D143">
        <f t="shared" si="5"/>
        <v>244.22536299999999</v>
      </c>
    </row>
    <row r="144" spans="1:4">
      <c r="A144">
        <f t="shared" si="4"/>
        <v>142</v>
      </c>
      <c r="B144" s="25">
        <v>1420</v>
      </c>
      <c r="C144" s="25">
        <v>24287.4666</v>
      </c>
      <c r="D144">
        <f t="shared" si="5"/>
        <v>242.87466599999999</v>
      </c>
    </row>
    <row r="145" spans="1:4">
      <c r="A145">
        <f t="shared" si="4"/>
        <v>143</v>
      </c>
      <c r="B145" s="25">
        <v>1430</v>
      </c>
      <c r="C145" s="25">
        <v>24152.3969</v>
      </c>
      <c r="D145">
        <f t="shared" si="5"/>
        <v>241.52396899999999</v>
      </c>
    </row>
    <row r="146" spans="1:4">
      <c r="A146">
        <f t="shared" si="4"/>
        <v>144</v>
      </c>
      <c r="B146" s="25">
        <v>1440</v>
      </c>
      <c r="C146" s="25">
        <v>24017.3272</v>
      </c>
      <c r="D146">
        <f t="shared" si="5"/>
        <v>240.173272</v>
      </c>
    </row>
    <row r="147" spans="1:4">
      <c r="A147">
        <f t="shared" si="4"/>
        <v>145</v>
      </c>
      <c r="B147" s="25">
        <v>1450</v>
      </c>
      <c r="C147" s="25">
        <v>23882.2575</v>
      </c>
      <c r="D147">
        <f t="shared" si="5"/>
        <v>238.822575</v>
      </c>
    </row>
    <row r="148" spans="1:4">
      <c r="A148">
        <f t="shared" si="4"/>
        <v>146</v>
      </c>
      <c r="B148" s="25">
        <v>1460</v>
      </c>
      <c r="C148" s="25">
        <v>23747.1878</v>
      </c>
      <c r="D148">
        <f t="shared" si="5"/>
        <v>237.471878</v>
      </c>
    </row>
    <row r="149" spans="1:4">
      <c r="A149">
        <f t="shared" si="4"/>
        <v>147</v>
      </c>
      <c r="B149" s="25">
        <v>1470</v>
      </c>
      <c r="C149" s="25">
        <v>23612.1181</v>
      </c>
      <c r="D149">
        <f t="shared" si="5"/>
        <v>236.12118100000001</v>
      </c>
    </row>
    <row r="150" spans="1:4">
      <c r="A150">
        <f t="shared" si="4"/>
        <v>148</v>
      </c>
      <c r="B150" s="25">
        <v>1480</v>
      </c>
      <c r="C150" s="25">
        <v>23477.0484</v>
      </c>
      <c r="D150">
        <f t="shared" si="5"/>
        <v>234.77048400000001</v>
      </c>
    </row>
    <row r="151" spans="1:4">
      <c r="A151">
        <f t="shared" si="4"/>
        <v>149</v>
      </c>
      <c r="B151" s="25">
        <v>1490</v>
      </c>
      <c r="C151" s="25">
        <v>23341.9787</v>
      </c>
      <c r="D151">
        <f t="shared" si="5"/>
        <v>233.41978699999999</v>
      </c>
    </row>
    <row r="152" spans="1:4">
      <c r="A152">
        <f t="shared" si="4"/>
        <v>150</v>
      </c>
      <c r="B152" s="25">
        <v>1500</v>
      </c>
      <c r="C152" s="25">
        <v>23206.909</v>
      </c>
      <c r="D152">
        <f t="shared" si="5"/>
        <v>232.06908999999999</v>
      </c>
    </row>
    <row r="153" spans="1:4">
      <c r="A153">
        <f t="shared" si="4"/>
        <v>151</v>
      </c>
      <c r="B153" s="25">
        <v>1510</v>
      </c>
      <c r="C153" s="25">
        <v>23071.8393</v>
      </c>
      <c r="D153">
        <f t="shared" si="5"/>
        <v>230.71839299999999</v>
      </c>
    </row>
    <row r="154" spans="1:4">
      <c r="A154">
        <f t="shared" si="4"/>
        <v>152</v>
      </c>
      <c r="B154" s="25">
        <v>1520</v>
      </c>
      <c r="C154" s="25">
        <v>22936.7696</v>
      </c>
      <c r="D154">
        <f t="shared" si="5"/>
        <v>229.367696</v>
      </c>
    </row>
    <row r="155" spans="1:4">
      <c r="A155">
        <f t="shared" si="4"/>
        <v>153</v>
      </c>
      <c r="B155" s="25">
        <v>1530</v>
      </c>
      <c r="C155" s="25">
        <v>22801.6999</v>
      </c>
      <c r="D155">
        <f t="shared" si="5"/>
        <v>228.016999</v>
      </c>
    </row>
    <row r="156" spans="1:4">
      <c r="A156">
        <f t="shared" si="4"/>
        <v>154</v>
      </c>
      <c r="B156" s="25">
        <v>1540</v>
      </c>
      <c r="C156" s="25">
        <v>22666.6302</v>
      </c>
      <c r="D156">
        <f t="shared" si="5"/>
        <v>226.666302</v>
      </c>
    </row>
    <row r="157" spans="1:4">
      <c r="A157">
        <f t="shared" si="4"/>
        <v>155</v>
      </c>
      <c r="B157" s="25">
        <v>1550</v>
      </c>
      <c r="C157" s="25">
        <v>22531.5605</v>
      </c>
      <c r="D157">
        <f t="shared" si="5"/>
        <v>225.31560500000001</v>
      </c>
    </row>
    <row r="158" spans="1:4">
      <c r="A158">
        <f t="shared" si="4"/>
        <v>156</v>
      </c>
      <c r="B158" s="25">
        <v>1560</v>
      </c>
      <c r="C158" s="25">
        <v>22396.4908</v>
      </c>
      <c r="D158">
        <f t="shared" si="5"/>
        <v>223.96490800000001</v>
      </c>
    </row>
    <row r="159" spans="1:4">
      <c r="A159">
        <f t="shared" si="4"/>
        <v>157</v>
      </c>
      <c r="B159" s="25">
        <v>1570</v>
      </c>
      <c r="C159" s="25">
        <v>22261.4211</v>
      </c>
      <c r="D159">
        <f t="shared" si="5"/>
        <v>222.61421099999998</v>
      </c>
    </row>
    <row r="160" spans="1:4">
      <c r="A160">
        <f t="shared" si="4"/>
        <v>158</v>
      </c>
      <c r="B160" s="25">
        <v>1580</v>
      </c>
      <c r="C160" s="25">
        <v>22126.3514</v>
      </c>
      <c r="D160">
        <f t="shared" si="5"/>
        <v>221.26351399999999</v>
      </c>
    </row>
    <row r="161" spans="1:4">
      <c r="A161">
        <f t="shared" si="4"/>
        <v>159</v>
      </c>
      <c r="B161" s="25">
        <v>1590</v>
      </c>
      <c r="C161" s="25">
        <v>21991.2817</v>
      </c>
      <c r="D161">
        <f t="shared" si="5"/>
        <v>219.91281699999999</v>
      </c>
    </row>
    <row r="162" spans="1:4">
      <c r="A162">
        <f t="shared" si="4"/>
        <v>160</v>
      </c>
      <c r="B162" s="25">
        <v>1600</v>
      </c>
      <c r="C162" s="25">
        <v>21856.212</v>
      </c>
      <c r="D162">
        <f t="shared" si="5"/>
        <v>218.56211999999999</v>
      </c>
    </row>
    <row r="163" spans="1:4">
      <c r="A163">
        <f t="shared" si="4"/>
        <v>161</v>
      </c>
      <c r="B163" s="25">
        <v>1610</v>
      </c>
      <c r="C163" s="25">
        <v>21721.1423</v>
      </c>
      <c r="D163">
        <f t="shared" si="5"/>
        <v>217.211423</v>
      </c>
    </row>
    <row r="164" spans="1:4">
      <c r="A164">
        <f t="shared" si="4"/>
        <v>162</v>
      </c>
      <c r="B164" s="25">
        <v>1620</v>
      </c>
      <c r="C164" s="25">
        <v>21586.0726</v>
      </c>
      <c r="D164">
        <f t="shared" si="5"/>
        <v>215.860726</v>
      </c>
    </row>
    <row r="165" spans="1:4">
      <c r="A165">
        <f t="shared" si="4"/>
        <v>163</v>
      </c>
      <c r="B165" s="25">
        <v>1630</v>
      </c>
      <c r="C165" s="25">
        <v>21451.002899999999</v>
      </c>
      <c r="D165">
        <f t="shared" si="5"/>
        <v>214.510029</v>
      </c>
    </row>
    <row r="166" spans="1:4">
      <c r="A166">
        <f t="shared" si="4"/>
        <v>164</v>
      </c>
      <c r="B166" s="25">
        <v>1640</v>
      </c>
      <c r="C166" s="25">
        <v>21315.933199999999</v>
      </c>
      <c r="D166">
        <f t="shared" si="5"/>
        <v>213.15933200000001</v>
      </c>
    </row>
    <row r="167" spans="1:4">
      <c r="A167">
        <f t="shared" si="4"/>
        <v>165</v>
      </c>
      <c r="B167" s="25">
        <v>1650</v>
      </c>
      <c r="C167" s="25">
        <v>21180.863499999999</v>
      </c>
      <c r="D167">
        <f t="shared" si="5"/>
        <v>211.80863499999998</v>
      </c>
    </row>
    <row r="168" spans="1:4">
      <c r="A168">
        <f t="shared" si="4"/>
        <v>166</v>
      </c>
      <c r="B168" s="25">
        <v>1660</v>
      </c>
      <c r="C168" s="25">
        <v>21045.793799999999</v>
      </c>
      <c r="D168">
        <f t="shared" si="5"/>
        <v>210.45793799999998</v>
      </c>
    </row>
    <row r="169" spans="1:4">
      <c r="A169">
        <f t="shared" si="4"/>
        <v>167</v>
      </c>
      <c r="B169" s="25">
        <v>1670</v>
      </c>
      <c r="C169" s="25">
        <v>20910.724099999999</v>
      </c>
      <c r="D169">
        <f t="shared" si="5"/>
        <v>209.10724099999999</v>
      </c>
    </row>
    <row r="170" spans="1:4">
      <c r="A170">
        <f t="shared" si="4"/>
        <v>168</v>
      </c>
      <c r="B170" s="25">
        <v>1680</v>
      </c>
      <c r="C170" s="25">
        <v>20775.654399999999</v>
      </c>
      <c r="D170">
        <f t="shared" si="5"/>
        <v>207.75654399999999</v>
      </c>
    </row>
    <row r="171" spans="1:4">
      <c r="A171">
        <f t="shared" si="4"/>
        <v>169</v>
      </c>
      <c r="B171" s="25">
        <v>1690</v>
      </c>
      <c r="C171" s="25">
        <v>20640.584699999999</v>
      </c>
      <c r="D171">
        <f t="shared" si="5"/>
        <v>206.40584699999999</v>
      </c>
    </row>
    <row r="172" spans="1:4">
      <c r="A172">
        <f t="shared" si="4"/>
        <v>170</v>
      </c>
      <c r="B172" s="25">
        <v>1700</v>
      </c>
      <c r="C172" s="25">
        <v>20505.514999999999</v>
      </c>
      <c r="D172">
        <f t="shared" si="5"/>
        <v>205.05515</v>
      </c>
    </row>
    <row r="173" spans="1:4">
      <c r="A173">
        <f t="shared" si="4"/>
        <v>171</v>
      </c>
      <c r="B173" s="25">
        <v>1710</v>
      </c>
      <c r="C173" s="25">
        <v>20370.445299999999</v>
      </c>
      <c r="D173">
        <f t="shared" si="5"/>
        <v>203.704453</v>
      </c>
    </row>
    <row r="174" spans="1:4">
      <c r="A174">
        <f t="shared" si="4"/>
        <v>172</v>
      </c>
      <c r="B174" s="25">
        <v>1720</v>
      </c>
      <c r="C174" s="25">
        <v>20235.375599999999</v>
      </c>
      <c r="D174">
        <f t="shared" si="5"/>
        <v>202.353756</v>
      </c>
    </row>
    <row r="175" spans="1:4">
      <c r="A175">
        <f t="shared" si="4"/>
        <v>173</v>
      </c>
      <c r="B175" s="25">
        <v>1730</v>
      </c>
      <c r="C175" s="25">
        <v>20100.305899999999</v>
      </c>
      <c r="D175">
        <f t="shared" si="5"/>
        <v>201.00305900000001</v>
      </c>
    </row>
    <row r="176" spans="1:4">
      <c r="A176">
        <f t="shared" si="4"/>
        <v>174</v>
      </c>
      <c r="B176" s="25">
        <v>1740</v>
      </c>
      <c r="C176" s="25">
        <v>19965.236199999999</v>
      </c>
      <c r="D176">
        <f t="shared" si="5"/>
        <v>199.65236199999998</v>
      </c>
    </row>
    <row r="177" spans="1:4">
      <c r="A177">
        <f t="shared" si="4"/>
        <v>175</v>
      </c>
      <c r="B177" s="25">
        <v>1750</v>
      </c>
      <c r="C177" s="25">
        <v>19830.166499999999</v>
      </c>
      <c r="D177">
        <f t="shared" si="5"/>
        <v>198.30166499999999</v>
      </c>
    </row>
    <row r="178" spans="1:4">
      <c r="A178">
        <f t="shared" si="4"/>
        <v>176</v>
      </c>
      <c r="B178" s="25">
        <v>1760</v>
      </c>
      <c r="C178" s="25">
        <v>19695.096799999999</v>
      </c>
      <c r="D178">
        <f t="shared" si="5"/>
        <v>196.95096799999999</v>
      </c>
    </row>
    <row r="179" spans="1:4">
      <c r="A179">
        <f t="shared" si="4"/>
        <v>177</v>
      </c>
      <c r="B179" s="25">
        <v>1770</v>
      </c>
      <c r="C179" s="25">
        <v>19560.027099999999</v>
      </c>
      <c r="D179">
        <f t="shared" si="5"/>
        <v>195.60027099999999</v>
      </c>
    </row>
    <row r="180" spans="1:4">
      <c r="A180">
        <f t="shared" si="4"/>
        <v>178</v>
      </c>
      <c r="B180" s="25">
        <v>1780</v>
      </c>
      <c r="C180" s="25">
        <v>19424.957399999999</v>
      </c>
      <c r="D180">
        <f t="shared" si="5"/>
        <v>194.249574</v>
      </c>
    </row>
    <row r="181" spans="1:4">
      <c r="A181">
        <f t="shared" si="4"/>
        <v>179</v>
      </c>
      <c r="B181" s="25">
        <v>1790</v>
      </c>
      <c r="C181" s="25">
        <v>19289.887699999999</v>
      </c>
      <c r="D181">
        <f t="shared" si="5"/>
        <v>192.898877</v>
      </c>
    </row>
    <row r="182" spans="1:4">
      <c r="A182">
        <f t="shared" si="4"/>
        <v>180</v>
      </c>
      <c r="B182" s="25">
        <v>1800</v>
      </c>
      <c r="C182" s="25">
        <v>19154.817999999999</v>
      </c>
      <c r="D182">
        <f t="shared" si="5"/>
        <v>191.54818</v>
      </c>
    </row>
    <row r="183" spans="1:4">
      <c r="A183">
        <f t="shared" si="4"/>
        <v>181</v>
      </c>
      <c r="B183" s="25">
        <v>1810</v>
      </c>
      <c r="C183" s="25">
        <v>19019.748299999999</v>
      </c>
      <c r="D183">
        <f t="shared" si="5"/>
        <v>190.19748300000001</v>
      </c>
    </row>
    <row r="184" spans="1:4">
      <c r="A184">
        <f t="shared" si="4"/>
        <v>182</v>
      </c>
      <c r="B184" s="25">
        <v>1820</v>
      </c>
      <c r="C184" s="25">
        <v>18884.678599999999</v>
      </c>
      <c r="D184">
        <f t="shared" si="5"/>
        <v>188.84678599999998</v>
      </c>
    </row>
    <row r="185" spans="1:4">
      <c r="A185">
        <f t="shared" si="4"/>
        <v>183</v>
      </c>
      <c r="B185" s="25">
        <v>1830</v>
      </c>
      <c r="C185" s="25">
        <v>18749.608899999999</v>
      </c>
      <c r="D185">
        <f t="shared" si="5"/>
        <v>187.49608899999998</v>
      </c>
    </row>
    <row r="186" spans="1:4">
      <c r="A186">
        <f t="shared" si="4"/>
        <v>184</v>
      </c>
      <c r="B186" s="25">
        <v>1840</v>
      </c>
      <c r="C186" s="25">
        <v>18614.539199999999</v>
      </c>
      <c r="D186">
        <f t="shared" si="5"/>
        <v>186.14539199999999</v>
      </c>
    </row>
    <row r="187" spans="1:4">
      <c r="A187">
        <f t="shared" si="4"/>
        <v>185</v>
      </c>
      <c r="B187" s="25">
        <v>1850</v>
      </c>
      <c r="C187" s="25">
        <v>18479.469499999999</v>
      </c>
      <c r="D187">
        <f t="shared" si="5"/>
        <v>184.79469499999999</v>
      </c>
    </row>
    <row r="188" spans="1:4">
      <c r="A188">
        <f t="shared" si="4"/>
        <v>186</v>
      </c>
      <c r="B188" s="25">
        <v>1860</v>
      </c>
      <c r="C188" s="25">
        <v>18344.399799999999</v>
      </c>
      <c r="D188">
        <f t="shared" si="5"/>
        <v>183.44399799999999</v>
      </c>
    </row>
    <row r="189" spans="1:4">
      <c r="A189">
        <f t="shared" si="4"/>
        <v>187</v>
      </c>
      <c r="B189" s="25">
        <v>1870</v>
      </c>
      <c r="C189" s="25">
        <v>18209.330099999999</v>
      </c>
      <c r="D189">
        <f t="shared" si="5"/>
        <v>182.093301</v>
      </c>
    </row>
    <row r="190" spans="1:4">
      <c r="A190">
        <f t="shared" si="4"/>
        <v>188</v>
      </c>
      <c r="B190" s="25">
        <v>1880</v>
      </c>
      <c r="C190" s="25">
        <v>18074.260399999999</v>
      </c>
      <c r="D190">
        <f t="shared" si="5"/>
        <v>180.742604</v>
      </c>
    </row>
    <row r="191" spans="1:4">
      <c r="A191">
        <f t="shared" si="4"/>
        <v>189</v>
      </c>
      <c r="B191" s="25">
        <v>1890</v>
      </c>
      <c r="C191" s="25">
        <v>17939.190699999999</v>
      </c>
      <c r="D191">
        <f t="shared" si="5"/>
        <v>179.391907</v>
      </c>
    </row>
    <row r="192" spans="1:4">
      <c r="A192">
        <f t="shared" si="4"/>
        <v>190</v>
      </c>
      <c r="B192" s="25">
        <v>1900</v>
      </c>
      <c r="C192" s="25">
        <v>17804.120999999999</v>
      </c>
      <c r="D192">
        <f t="shared" si="5"/>
        <v>178.04120999999998</v>
      </c>
    </row>
    <row r="193" spans="1:4">
      <c r="A193">
        <f t="shared" si="4"/>
        <v>191</v>
      </c>
      <c r="B193" s="25">
        <v>1910</v>
      </c>
      <c r="C193" s="25">
        <v>17669.051299999999</v>
      </c>
      <c r="D193">
        <f t="shared" si="5"/>
        <v>176.69051299999998</v>
      </c>
    </row>
    <row r="194" spans="1:4">
      <c r="A194">
        <f t="shared" si="4"/>
        <v>192</v>
      </c>
      <c r="B194" s="25">
        <v>1920</v>
      </c>
      <c r="C194" s="25">
        <v>17533.981599999999</v>
      </c>
      <c r="D194">
        <f t="shared" si="5"/>
        <v>175.33981599999998</v>
      </c>
    </row>
    <row r="195" spans="1:4">
      <c r="A195">
        <f t="shared" ref="A195:A258" si="6">B195/10</f>
        <v>193</v>
      </c>
      <c r="B195" s="25">
        <v>1930</v>
      </c>
      <c r="C195" s="25">
        <v>17398.911899999999</v>
      </c>
      <c r="D195">
        <f t="shared" ref="D195:D258" si="7">C195/100</f>
        <v>173.98911899999999</v>
      </c>
    </row>
    <row r="196" spans="1:4">
      <c r="A196">
        <f t="shared" si="6"/>
        <v>194</v>
      </c>
      <c r="B196" s="25">
        <v>1940</v>
      </c>
      <c r="C196" s="25">
        <v>17263.842199999999</v>
      </c>
      <c r="D196">
        <f t="shared" si="7"/>
        <v>172.63842199999999</v>
      </c>
    </row>
    <row r="197" spans="1:4">
      <c r="A197">
        <f t="shared" si="6"/>
        <v>195</v>
      </c>
      <c r="B197" s="25">
        <v>1950</v>
      </c>
      <c r="C197" s="25">
        <v>17128.772499999999</v>
      </c>
      <c r="D197">
        <f t="shared" si="7"/>
        <v>171.28772499999999</v>
      </c>
    </row>
    <row r="198" spans="1:4">
      <c r="A198">
        <f t="shared" si="6"/>
        <v>196</v>
      </c>
      <c r="B198" s="25">
        <v>1960</v>
      </c>
      <c r="C198" s="25">
        <v>16993.702799999999</v>
      </c>
      <c r="D198">
        <f t="shared" si="7"/>
        <v>169.937028</v>
      </c>
    </row>
    <row r="199" spans="1:4">
      <c r="A199">
        <f t="shared" si="6"/>
        <v>197</v>
      </c>
      <c r="B199" s="25">
        <v>1970</v>
      </c>
      <c r="C199" s="25">
        <v>16858.633099999999</v>
      </c>
      <c r="D199">
        <f t="shared" si="7"/>
        <v>168.586331</v>
      </c>
    </row>
    <row r="200" spans="1:4">
      <c r="A200">
        <f t="shared" si="6"/>
        <v>198</v>
      </c>
      <c r="B200" s="25">
        <v>1980</v>
      </c>
      <c r="C200" s="25">
        <v>16723.563399999999</v>
      </c>
      <c r="D200">
        <f t="shared" si="7"/>
        <v>167.235634</v>
      </c>
    </row>
    <row r="201" spans="1:4">
      <c r="A201">
        <f t="shared" si="6"/>
        <v>199</v>
      </c>
      <c r="B201" s="25">
        <v>1990</v>
      </c>
      <c r="C201" s="25">
        <v>16588.493699999999</v>
      </c>
      <c r="D201">
        <f t="shared" si="7"/>
        <v>165.88493699999998</v>
      </c>
    </row>
    <row r="202" spans="1:4">
      <c r="A202">
        <f t="shared" si="6"/>
        <v>200</v>
      </c>
      <c r="B202" s="25">
        <v>2000</v>
      </c>
      <c r="C202" s="25">
        <v>16453.423999999999</v>
      </c>
      <c r="D202">
        <f t="shared" si="7"/>
        <v>164.53423999999998</v>
      </c>
    </row>
    <row r="203" spans="1:4">
      <c r="A203">
        <f t="shared" si="6"/>
        <v>201</v>
      </c>
      <c r="B203" s="25">
        <v>2010</v>
      </c>
      <c r="C203" s="25">
        <v>16318.354299999999</v>
      </c>
      <c r="D203">
        <f t="shared" si="7"/>
        <v>163.18354299999999</v>
      </c>
    </row>
    <row r="204" spans="1:4">
      <c r="A204">
        <f t="shared" si="6"/>
        <v>202</v>
      </c>
      <c r="B204" s="25">
        <v>2020</v>
      </c>
      <c r="C204" s="25">
        <v>16183.284599999999</v>
      </c>
      <c r="D204">
        <f t="shared" si="7"/>
        <v>161.83284599999999</v>
      </c>
    </row>
    <row r="205" spans="1:4">
      <c r="A205">
        <f t="shared" si="6"/>
        <v>203</v>
      </c>
      <c r="B205" s="25">
        <v>2030</v>
      </c>
      <c r="C205" s="25">
        <v>16048.214899999999</v>
      </c>
      <c r="D205">
        <f t="shared" si="7"/>
        <v>160.48214899999999</v>
      </c>
    </row>
    <row r="206" spans="1:4">
      <c r="A206">
        <f t="shared" si="6"/>
        <v>204</v>
      </c>
      <c r="B206" s="25">
        <v>2040</v>
      </c>
      <c r="C206" s="25">
        <v>15913.145199999999</v>
      </c>
      <c r="D206">
        <f t="shared" si="7"/>
        <v>159.131452</v>
      </c>
    </row>
    <row r="207" spans="1:4">
      <c r="A207">
        <f t="shared" si="6"/>
        <v>205</v>
      </c>
      <c r="B207" s="25">
        <v>2050</v>
      </c>
      <c r="C207" s="25">
        <v>15778.075499999999</v>
      </c>
      <c r="D207">
        <f t="shared" si="7"/>
        <v>157.780755</v>
      </c>
    </row>
    <row r="208" spans="1:4">
      <c r="A208">
        <f t="shared" si="6"/>
        <v>206</v>
      </c>
      <c r="B208" s="25">
        <v>2060</v>
      </c>
      <c r="C208" s="25">
        <v>15643.005799999999</v>
      </c>
      <c r="D208">
        <f t="shared" si="7"/>
        <v>156.430058</v>
      </c>
    </row>
    <row r="209" spans="1:4">
      <c r="A209">
        <f t="shared" si="6"/>
        <v>207</v>
      </c>
      <c r="B209" s="25">
        <v>2070</v>
      </c>
      <c r="C209" s="25">
        <v>15507.936099999999</v>
      </c>
      <c r="D209">
        <f t="shared" si="7"/>
        <v>155.07936099999998</v>
      </c>
    </row>
    <row r="210" spans="1:4">
      <c r="A210">
        <f t="shared" si="6"/>
        <v>208</v>
      </c>
      <c r="B210" s="25">
        <v>2080</v>
      </c>
      <c r="C210" s="25">
        <v>15372.866399999999</v>
      </c>
      <c r="D210">
        <f t="shared" si="7"/>
        <v>153.72866399999998</v>
      </c>
    </row>
    <row r="211" spans="1:4">
      <c r="A211">
        <f t="shared" si="6"/>
        <v>209</v>
      </c>
      <c r="B211" s="25">
        <v>2090</v>
      </c>
      <c r="C211" s="25">
        <v>15237.796699999999</v>
      </c>
      <c r="D211">
        <f t="shared" si="7"/>
        <v>152.37796699999998</v>
      </c>
    </row>
    <row r="212" spans="1:4">
      <c r="A212">
        <f t="shared" si="6"/>
        <v>210</v>
      </c>
      <c r="B212" s="25">
        <v>2100</v>
      </c>
      <c r="C212" s="25">
        <v>15104.48</v>
      </c>
      <c r="D212">
        <f t="shared" si="7"/>
        <v>151.04480000000001</v>
      </c>
    </row>
    <row r="213" spans="1:4">
      <c r="A213">
        <f t="shared" si="6"/>
        <v>211</v>
      </c>
      <c r="B213" s="25">
        <v>2110</v>
      </c>
      <c r="C213" s="25">
        <v>14969.662</v>
      </c>
      <c r="D213">
        <f t="shared" si="7"/>
        <v>149.69662</v>
      </c>
    </row>
    <row r="214" spans="1:4">
      <c r="A214">
        <f t="shared" si="6"/>
        <v>212</v>
      </c>
      <c r="B214" s="25">
        <v>2120</v>
      </c>
      <c r="C214" s="25">
        <v>14834.844000000001</v>
      </c>
      <c r="D214">
        <f t="shared" si="7"/>
        <v>148.34844000000001</v>
      </c>
    </row>
    <row r="215" spans="1:4">
      <c r="A215">
        <f t="shared" si="6"/>
        <v>213</v>
      </c>
      <c r="B215" s="25">
        <v>2130</v>
      </c>
      <c r="C215" s="25">
        <v>14700.026000000002</v>
      </c>
      <c r="D215">
        <f t="shared" si="7"/>
        <v>147.00026000000003</v>
      </c>
    </row>
    <row r="216" spans="1:4">
      <c r="A216">
        <f t="shared" si="6"/>
        <v>214</v>
      </c>
      <c r="B216" s="25">
        <v>2140</v>
      </c>
      <c r="C216" s="25">
        <v>14565.208000000002</v>
      </c>
      <c r="D216">
        <f t="shared" si="7"/>
        <v>145.65208000000001</v>
      </c>
    </row>
    <row r="217" spans="1:4">
      <c r="A217">
        <f t="shared" si="6"/>
        <v>215</v>
      </c>
      <c r="B217" s="25">
        <v>2150</v>
      </c>
      <c r="C217" s="25">
        <v>14430.390000000003</v>
      </c>
      <c r="D217">
        <f t="shared" si="7"/>
        <v>144.30390000000003</v>
      </c>
    </row>
    <row r="218" spans="1:4">
      <c r="A218">
        <f t="shared" si="6"/>
        <v>216</v>
      </c>
      <c r="B218" s="25">
        <v>2160</v>
      </c>
      <c r="C218" s="25">
        <v>14295.572000000004</v>
      </c>
      <c r="D218">
        <f t="shared" si="7"/>
        <v>142.95572000000004</v>
      </c>
    </row>
    <row r="219" spans="1:4">
      <c r="A219">
        <f t="shared" si="6"/>
        <v>217</v>
      </c>
      <c r="B219" s="25">
        <v>2170</v>
      </c>
      <c r="C219" s="25">
        <v>14160.754000000004</v>
      </c>
      <c r="D219">
        <f t="shared" si="7"/>
        <v>141.60754000000006</v>
      </c>
    </row>
    <row r="220" spans="1:4">
      <c r="A220">
        <f t="shared" si="6"/>
        <v>218</v>
      </c>
      <c r="B220" s="25">
        <v>2180</v>
      </c>
      <c r="C220" s="25">
        <v>14025.936000000005</v>
      </c>
      <c r="D220">
        <f t="shared" si="7"/>
        <v>140.25936000000004</v>
      </c>
    </row>
    <row r="221" spans="1:4">
      <c r="A221">
        <f t="shared" si="6"/>
        <v>219</v>
      </c>
      <c r="B221" s="25">
        <v>2190</v>
      </c>
      <c r="C221" s="25">
        <v>13891.118000000006</v>
      </c>
      <c r="D221">
        <f t="shared" si="7"/>
        <v>138.91118000000006</v>
      </c>
    </row>
    <row r="222" spans="1:4">
      <c r="A222">
        <f t="shared" si="6"/>
        <v>220</v>
      </c>
      <c r="B222" s="25">
        <v>2200</v>
      </c>
      <c r="C222" s="25">
        <v>13756.3</v>
      </c>
      <c r="D222">
        <f t="shared" si="7"/>
        <v>137.56299999999999</v>
      </c>
    </row>
    <row r="223" spans="1:4">
      <c r="A223">
        <f t="shared" si="6"/>
        <v>221</v>
      </c>
      <c r="B223" s="25">
        <v>2210</v>
      </c>
      <c r="C223" s="25">
        <v>13623.114</v>
      </c>
      <c r="D223">
        <f t="shared" si="7"/>
        <v>136.23113999999998</v>
      </c>
    </row>
    <row r="224" spans="1:4">
      <c r="A224">
        <f t="shared" si="6"/>
        <v>222</v>
      </c>
      <c r="B224" s="25">
        <v>2220</v>
      </c>
      <c r="C224" s="25">
        <v>13489.928</v>
      </c>
      <c r="D224">
        <f t="shared" si="7"/>
        <v>134.89928</v>
      </c>
    </row>
    <row r="225" spans="1:4">
      <c r="A225">
        <f t="shared" si="6"/>
        <v>223</v>
      </c>
      <c r="B225" s="25">
        <v>2230</v>
      </c>
      <c r="C225" s="25">
        <v>13356.742</v>
      </c>
      <c r="D225">
        <f t="shared" si="7"/>
        <v>133.56742</v>
      </c>
    </row>
    <row r="226" spans="1:4">
      <c r="A226">
        <f t="shared" si="6"/>
        <v>224</v>
      </c>
      <c r="B226" s="25">
        <v>2240</v>
      </c>
      <c r="C226" s="25">
        <v>13223.556</v>
      </c>
      <c r="D226">
        <f t="shared" si="7"/>
        <v>132.23555999999999</v>
      </c>
    </row>
    <row r="227" spans="1:4">
      <c r="A227">
        <f t="shared" si="6"/>
        <v>225</v>
      </c>
      <c r="B227" s="25">
        <v>2250</v>
      </c>
      <c r="C227" s="25">
        <v>13090.37</v>
      </c>
      <c r="D227">
        <f t="shared" si="7"/>
        <v>130.90370000000001</v>
      </c>
    </row>
    <row r="228" spans="1:4">
      <c r="A228">
        <f t="shared" si="6"/>
        <v>226</v>
      </c>
      <c r="B228" s="25">
        <v>2260</v>
      </c>
      <c r="C228" s="25">
        <v>12957.184000000001</v>
      </c>
      <c r="D228">
        <f t="shared" si="7"/>
        <v>129.57184000000001</v>
      </c>
    </row>
    <row r="229" spans="1:4">
      <c r="A229">
        <f t="shared" si="6"/>
        <v>227</v>
      </c>
      <c r="B229" s="25">
        <v>2270</v>
      </c>
      <c r="C229" s="25">
        <v>12823.998000000001</v>
      </c>
      <c r="D229">
        <f t="shared" si="7"/>
        <v>128.23998</v>
      </c>
    </row>
    <row r="230" spans="1:4">
      <c r="A230">
        <f t="shared" si="6"/>
        <v>228</v>
      </c>
      <c r="B230" s="25">
        <v>2280</v>
      </c>
      <c r="C230" s="25">
        <v>12690.812000000002</v>
      </c>
      <c r="D230">
        <f t="shared" si="7"/>
        <v>126.90812000000001</v>
      </c>
    </row>
    <row r="231" spans="1:4">
      <c r="A231">
        <f t="shared" si="6"/>
        <v>229</v>
      </c>
      <c r="B231" s="25">
        <v>2290</v>
      </c>
      <c r="C231" s="25">
        <v>12557.626000000002</v>
      </c>
      <c r="D231">
        <f t="shared" si="7"/>
        <v>125.57626000000002</v>
      </c>
    </row>
    <row r="232" spans="1:4">
      <c r="A232">
        <f t="shared" si="6"/>
        <v>230</v>
      </c>
      <c r="B232" s="25">
        <v>2300</v>
      </c>
      <c r="C232" s="25">
        <v>12424.44</v>
      </c>
      <c r="D232">
        <f t="shared" si="7"/>
        <v>124.2444</v>
      </c>
    </row>
    <row r="233" spans="1:4">
      <c r="A233">
        <f t="shared" si="6"/>
        <v>231</v>
      </c>
      <c r="B233" s="25">
        <v>2310</v>
      </c>
      <c r="C233" s="25">
        <v>12294.208000000001</v>
      </c>
      <c r="D233">
        <f t="shared" si="7"/>
        <v>122.94208</v>
      </c>
    </row>
    <row r="234" spans="1:4">
      <c r="A234">
        <f t="shared" si="6"/>
        <v>232</v>
      </c>
      <c r="B234" s="25">
        <v>2320</v>
      </c>
      <c r="C234" s="25">
        <v>12163.976000000001</v>
      </c>
      <c r="D234">
        <f t="shared" si="7"/>
        <v>121.63976000000001</v>
      </c>
    </row>
    <row r="235" spans="1:4">
      <c r="A235">
        <f t="shared" si="6"/>
        <v>233</v>
      </c>
      <c r="B235" s="25">
        <v>2330</v>
      </c>
      <c r="C235" s="25">
        <v>12033.744000000001</v>
      </c>
      <c r="D235">
        <f t="shared" si="7"/>
        <v>120.33744</v>
      </c>
    </row>
    <row r="236" spans="1:4">
      <c r="A236">
        <f t="shared" si="6"/>
        <v>234</v>
      </c>
      <c r="B236" s="25">
        <v>2340</v>
      </c>
      <c r="C236" s="25">
        <v>11903.512000000001</v>
      </c>
      <c r="D236">
        <f t="shared" si="7"/>
        <v>119.03512000000001</v>
      </c>
    </row>
    <row r="237" spans="1:4">
      <c r="A237">
        <f t="shared" si="6"/>
        <v>235</v>
      </c>
      <c r="B237" s="25">
        <v>2350</v>
      </c>
      <c r="C237" s="25">
        <v>11773.28</v>
      </c>
      <c r="D237">
        <f t="shared" si="7"/>
        <v>117.73280000000001</v>
      </c>
    </row>
    <row r="238" spans="1:4">
      <c r="A238">
        <f t="shared" si="6"/>
        <v>236</v>
      </c>
      <c r="B238" s="25">
        <v>2360</v>
      </c>
      <c r="C238" s="25">
        <v>11643.048000000001</v>
      </c>
      <c r="D238">
        <f t="shared" si="7"/>
        <v>116.43048</v>
      </c>
    </row>
    <row r="239" spans="1:4">
      <c r="A239">
        <f t="shared" si="6"/>
        <v>237</v>
      </c>
      <c r="B239" s="25">
        <v>2370</v>
      </c>
      <c r="C239" s="25">
        <v>11512.816000000001</v>
      </c>
      <c r="D239">
        <f t="shared" si="7"/>
        <v>115.12816000000001</v>
      </c>
    </row>
    <row r="240" spans="1:4">
      <c r="A240">
        <f t="shared" si="6"/>
        <v>238</v>
      </c>
      <c r="B240" s="25">
        <v>2380</v>
      </c>
      <c r="C240" s="25">
        <v>11382.584000000001</v>
      </c>
      <c r="D240">
        <f t="shared" si="7"/>
        <v>113.82584000000001</v>
      </c>
    </row>
    <row r="241" spans="1:4">
      <c r="A241">
        <f t="shared" si="6"/>
        <v>239</v>
      </c>
      <c r="B241" s="25">
        <v>2390</v>
      </c>
      <c r="C241" s="25">
        <v>11252.352000000001</v>
      </c>
      <c r="D241">
        <f t="shared" si="7"/>
        <v>112.52352</v>
      </c>
    </row>
    <row r="242" spans="1:4">
      <c r="A242">
        <f t="shared" si="6"/>
        <v>240</v>
      </c>
      <c r="B242" s="25">
        <v>2400</v>
      </c>
      <c r="C242" s="25">
        <v>11122.12</v>
      </c>
      <c r="D242">
        <f t="shared" si="7"/>
        <v>111.22120000000001</v>
      </c>
    </row>
    <row r="243" spans="1:4">
      <c r="A243">
        <f t="shared" si="6"/>
        <v>241</v>
      </c>
      <c r="B243" s="25">
        <v>2410</v>
      </c>
      <c r="C243" s="25">
        <v>10996.461000000001</v>
      </c>
      <c r="D243">
        <f t="shared" si="7"/>
        <v>109.96461000000001</v>
      </c>
    </row>
    <row r="244" spans="1:4">
      <c r="A244">
        <f t="shared" si="6"/>
        <v>242</v>
      </c>
      <c r="B244" s="25">
        <v>2420</v>
      </c>
      <c r="C244" s="25">
        <v>10870.802000000001</v>
      </c>
      <c r="D244">
        <f t="shared" si="7"/>
        <v>108.70802000000002</v>
      </c>
    </row>
    <row r="245" spans="1:4">
      <c r="A245">
        <f t="shared" si="6"/>
        <v>243</v>
      </c>
      <c r="B245" s="25">
        <v>2430</v>
      </c>
      <c r="C245" s="25">
        <v>10745.143000000002</v>
      </c>
      <c r="D245">
        <f t="shared" si="7"/>
        <v>107.45143000000002</v>
      </c>
    </row>
    <row r="246" spans="1:4">
      <c r="A246">
        <f t="shared" si="6"/>
        <v>244</v>
      </c>
      <c r="B246" s="25">
        <v>2440</v>
      </c>
      <c r="C246" s="25">
        <v>10619.484000000002</v>
      </c>
      <c r="D246">
        <f t="shared" si="7"/>
        <v>106.19484000000003</v>
      </c>
    </row>
    <row r="247" spans="1:4">
      <c r="A247">
        <f t="shared" si="6"/>
        <v>245</v>
      </c>
      <c r="B247" s="25">
        <v>2450</v>
      </c>
      <c r="C247" s="25">
        <v>10493.825000000003</v>
      </c>
      <c r="D247">
        <f t="shared" si="7"/>
        <v>104.93825000000002</v>
      </c>
    </row>
    <row r="248" spans="1:4">
      <c r="A248">
        <f t="shared" si="6"/>
        <v>246</v>
      </c>
      <c r="B248" s="25">
        <v>2460</v>
      </c>
      <c r="C248" s="25">
        <v>10368.166000000003</v>
      </c>
      <c r="D248">
        <f t="shared" si="7"/>
        <v>103.68166000000002</v>
      </c>
    </row>
    <row r="249" spans="1:4">
      <c r="A249">
        <f t="shared" si="6"/>
        <v>247</v>
      </c>
      <c r="B249" s="25">
        <v>2470</v>
      </c>
      <c r="C249" s="25">
        <v>10242.507000000003</v>
      </c>
      <c r="D249">
        <f t="shared" si="7"/>
        <v>102.42507000000003</v>
      </c>
    </row>
    <row r="250" spans="1:4">
      <c r="A250">
        <f t="shared" si="6"/>
        <v>248</v>
      </c>
      <c r="B250" s="25">
        <v>2480</v>
      </c>
      <c r="C250" s="25">
        <v>10116.848000000004</v>
      </c>
      <c r="D250">
        <f t="shared" si="7"/>
        <v>101.16848000000003</v>
      </c>
    </row>
    <row r="251" spans="1:4">
      <c r="A251">
        <f t="shared" si="6"/>
        <v>249</v>
      </c>
      <c r="B251" s="25">
        <v>2490</v>
      </c>
      <c r="C251" s="25">
        <v>9991.1890000000039</v>
      </c>
      <c r="D251">
        <f t="shared" si="7"/>
        <v>99.911890000000042</v>
      </c>
    </row>
    <row r="252" spans="1:4">
      <c r="A252">
        <f t="shared" si="6"/>
        <v>250</v>
      </c>
      <c r="B252" s="25">
        <v>2500</v>
      </c>
      <c r="C252" s="25">
        <v>9865.5300000000007</v>
      </c>
      <c r="D252">
        <f t="shared" si="7"/>
        <v>98.655300000000011</v>
      </c>
    </row>
    <row r="253" spans="1:4">
      <c r="A253">
        <f t="shared" si="6"/>
        <v>251</v>
      </c>
      <c r="B253" s="25">
        <v>2510</v>
      </c>
      <c r="C253" s="25">
        <v>9746.9470000000001</v>
      </c>
      <c r="D253">
        <f t="shared" si="7"/>
        <v>97.469470000000001</v>
      </c>
    </row>
    <row r="254" spans="1:4">
      <c r="A254">
        <f t="shared" si="6"/>
        <v>252</v>
      </c>
      <c r="B254" s="25">
        <v>2520</v>
      </c>
      <c r="C254" s="25">
        <v>9628.3639999999996</v>
      </c>
      <c r="D254">
        <f t="shared" si="7"/>
        <v>96.283639999999991</v>
      </c>
    </row>
    <row r="255" spans="1:4">
      <c r="A255">
        <f t="shared" si="6"/>
        <v>253</v>
      </c>
      <c r="B255" s="25">
        <v>2530</v>
      </c>
      <c r="C255" s="25">
        <v>9509.780999999999</v>
      </c>
      <c r="D255">
        <f t="shared" si="7"/>
        <v>95.097809999999996</v>
      </c>
    </row>
    <row r="256" spans="1:4">
      <c r="A256">
        <f t="shared" si="6"/>
        <v>254</v>
      </c>
      <c r="B256" s="25">
        <v>2540</v>
      </c>
      <c r="C256" s="25">
        <v>9391.1979999999985</v>
      </c>
      <c r="D256">
        <f t="shared" si="7"/>
        <v>93.911979999999986</v>
      </c>
    </row>
    <row r="257" spans="1:4">
      <c r="A257">
        <f t="shared" si="6"/>
        <v>255</v>
      </c>
      <c r="B257" s="25">
        <v>2550</v>
      </c>
      <c r="C257" s="25">
        <v>9272.614999999998</v>
      </c>
      <c r="D257">
        <f t="shared" si="7"/>
        <v>92.726149999999976</v>
      </c>
    </row>
    <row r="258" spans="1:4">
      <c r="A258">
        <f t="shared" si="6"/>
        <v>256</v>
      </c>
      <c r="B258" s="25">
        <v>2560</v>
      </c>
      <c r="C258" s="25">
        <v>9154.0319999999974</v>
      </c>
      <c r="D258">
        <f t="shared" si="7"/>
        <v>91.54031999999998</v>
      </c>
    </row>
    <row r="259" spans="1:4">
      <c r="A259">
        <f t="shared" ref="A259:A322" si="8">B259/10</f>
        <v>257</v>
      </c>
      <c r="B259" s="25">
        <v>2570</v>
      </c>
      <c r="C259" s="25">
        <v>9035.4489999999969</v>
      </c>
      <c r="D259">
        <f t="shared" ref="D259:D322" si="9">C259/100</f>
        <v>90.35448999999997</v>
      </c>
    </row>
    <row r="260" spans="1:4">
      <c r="A260">
        <f t="shared" si="8"/>
        <v>258</v>
      </c>
      <c r="B260" s="25">
        <v>2580</v>
      </c>
      <c r="C260" s="25">
        <v>8916.8659999999963</v>
      </c>
      <c r="D260">
        <f t="shared" si="9"/>
        <v>89.16865999999996</v>
      </c>
    </row>
    <row r="261" spans="1:4">
      <c r="A261">
        <f t="shared" si="8"/>
        <v>259</v>
      </c>
      <c r="B261" s="25">
        <v>2590</v>
      </c>
      <c r="C261" s="25">
        <v>8798.2829999999958</v>
      </c>
      <c r="D261">
        <f t="shared" si="9"/>
        <v>87.982829999999964</v>
      </c>
    </row>
    <row r="262" spans="1:4">
      <c r="A262">
        <f t="shared" si="8"/>
        <v>260</v>
      </c>
      <c r="B262" s="25">
        <v>2600</v>
      </c>
      <c r="C262" s="25">
        <v>8679.7000000000007</v>
      </c>
      <c r="D262">
        <f t="shared" si="9"/>
        <v>86.797000000000011</v>
      </c>
    </row>
    <row r="263" spans="1:4">
      <c r="A263">
        <f t="shared" si="8"/>
        <v>261</v>
      </c>
      <c r="B263" s="25">
        <v>2610</v>
      </c>
      <c r="C263" s="25">
        <v>8569.7780000000002</v>
      </c>
      <c r="D263">
        <f t="shared" si="9"/>
        <v>85.697780000000009</v>
      </c>
    </row>
    <row r="264" spans="1:4">
      <c r="A264">
        <f t="shared" si="8"/>
        <v>262</v>
      </c>
      <c r="B264" s="25">
        <v>2620</v>
      </c>
      <c r="C264" s="25">
        <v>8459.8559999999998</v>
      </c>
      <c r="D264">
        <f t="shared" si="9"/>
        <v>84.598559999999992</v>
      </c>
    </row>
    <row r="265" spans="1:4">
      <c r="A265">
        <f t="shared" si="8"/>
        <v>263</v>
      </c>
      <c r="B265" s="25">
        <v>2630</v>
      </c>
      <c r="C265" s="25">
        <v>8349.9339999999993</v>
      </c>
      <c r="D265">
        <f t="shared" si="9"/>
        <v>83.499339999999989</v>
      </c>
    </row>
    <row r="266" spans="1:4">
      <c r="A266">
        <f t="shared" si="8"/>
        <v>264</v>
      </c>
      <c r="B266" s="25">
        <v>2640</v>
      </c>
      <c r="C266" s="25">
        <v>8240.0119999999988</v>
      </c>
      <c r="D266">
        <f t="shared" si="9"/>
        <v>82.400119999999987</v>
      </c>
    </row>
    <row r="267" spans="1:4">
      <c r="A267">
        <f t="shared" si="8"/>
        <v>265</v>
      </c>
      <c r="B267" s="25">
        <v>2650</v>
      </c>
      <c r="C267" s="25">
        <v>8130.0899999999983</v>
      </c>
      <c r="D267">
        <f t="shared" si="9"/>
        <v>81.300899999999984</v>
      </c>
    </row>
    <row r="268" spans="1:4">
      <c r="A268">
        <f t="shared" si="8"/>
        <v>266</v>
      </c>
      <c r="B268" s="25">
        <v>2660</v>
      </c>
      <c r="C268" s="25">
        <v>8020.1679999999978</v>
      </c>
      <c r="D268">
        <f t="shared" si="9"/>
        <v>80.201679999999982</v>
      </c>
    </row>
    <row r="269" spans="1:4">
      <c r="A269">
        <f t="shared" si="8"/>
        <v>267</v>
      </c>
      <c r="B269" s="25">
        <v>2670</v>
      </c>
      <c r="C269" s="25">
        <v>7910.2459999999974</v>
      </c>
      <c r="D269">
        <f t="shared" si="9"/>
        <v>79.102459999999979</v>
      </c>
    </row>
    <row r="270" spans="1:4">
      <c r="A270">
        <f t="shared" si="8"/>
        <v>268</v>
      </c>
      <c r="B270" s="25">
        <v>2680</v>
      </c>
      <c r="C270" s="25">
        <v>7800.3239999999969</v>
      </c>
      <c r="D270">
        <f t="shared" si="9"/>
        <v>78.003239999999963</v>
      </c>
    </row>
    <row r="271" spans="1:4">
      <c r="A271">
        <f t="shared" si="8"/>
        <v>269</v>
      </c>
      <c r="B271" s="25">
        <v>2690</v>
      </c>
      <c r="C271" s="25">
        <v>7690.4019999999964</v>
      </c>
      <c r="D271">
        <f t="shared" si="9"/>
        <v>76.90401999999996</v>
      </c>
    </row>
    <row r="272" spans="1:4">
      <c r="A272">
        <f t="shared" si="8"/>
        <v>270</v>
      </c>
      <c r="B272" s="25">
        <v>2700</v>
      </c>
      <c r="C272" s="25">
        <v>7580.48</v>
      </c>
      <c r="D272">
        <f t="shared" si="9"/>
        <v>75.8048</v>
      </c>
    </row>
    <row r="273" spans="1:4">
      <c r="A273">
        <f t="shared" si="8"/>
        <v>271</v>
      </c>
      <c r="B273" s="25">
        <v>2710</v>
      </c>
      <c r="C273" s="25">
        <v>7479.0829999999996</v>
      </c>
      <c r="D273">
        <f t="shared" si="9"/>
        <v>74.79083</v>
      </c>
    </row>
    <row r="274" spans="1:4">
      <c r="A274">
        <f t="shared" si="8"/>
        <v>272</v>
      </c>
      <c r="B274" s="25">
        <v>2720</v>
      </c>
      <c r="C274" s="25">
        <v>7377.6859999999997</v>
      </c>
      <c r="D274">
        <f t="shared" si="9"/>
        <v>73.776859999999999</v>
      </c>
    </row>
    <row r="275" spans="1:4">
      <c r="A275">
        <f t="shared" si="8"/>
        <v>273</v>
      </c>
      <c r="B275" s="25">
        <v>2730</v>
      </c>
      <c r="C275" s="25">
        <v>7276.2889999999998</v>
      </c>
      <c r="D275">
        <f t="shared" si="9"/>
        <v>72.762889999999999</v>
      </c>
    </row>
    <row r="276" spans="1:4">
      <c r="A276">
        <f t="shared" si="8"/>
        <v>274</v>
      </c>
      <c r="B276" s="25">
        <v>2740</v>
      </c>
      <c r="C276" s="25">
        <v>7174.8919999999998</v>
      </c>
      <c r="D276">
        <f t="shared" si="9"/>
        <v>71.748919999999998</v>
      </c>
    </row>
    <row r="277" spans="1:4">
      <c r="A277">
        <f t="shared" si="8"/>
        <v>275</v>
      </c>
      <c r="B277" s="25">
        <v>2750</v>
      </c>
      <c r="C277" s="25">
        <v>7073.4949999999999</v>
      </c>
      <c r="D277">
        <f t="shared" si="9"/>
        <v>70.734949999999998</v>
      </c>
    </row>
    <row r="278" spans="1:4">
      <c r="A278">
        <f t="shared" si="8"/>
        <v>276</v>
      </c>
      <c r="B278" s="25">
        <v>2760</v>
      </c>
      <c r="C278" s="25">
        <v>6972.098</v>
      </c>
      <c r="D278">
        <f t="shared" si="9"/>
        <v>69.720979999999997</v>
      </c>
    </row>
    <row r="279" spans="1:4">
      <c r="A279">
        <f t="shared" si="8"/>
        <v>277</v>
      </c>
      <c r="B279" s="25">
        <v>2770</v>
      </c>
      <c r="C279" s="25">
        <v>6870.701</v>
      </c>
      <c r="D279">
        <f t="shared" si="9"/>
        <v>68.707009999999997</v>
      </c>
    </row>
    <row r="280" spans="1:4">
      <c r="A280">
        <f t="shared" si="8"/>
        <v>278</v>
      </c>
      <c r="B280" s="25">
        <v>2780</v>
      </c>
      <c r="C280" s="25">
        <v>6769.3040000000001</v>
      </c>
      <c r="D280">
        <f t="shared" si="9"/>
        <v>67.693039999999996</v>
      </c>
    </row>
    <row r="281" spans="1:4">
      <c r="A281">
        <f t="shared" si="8"/>
        <v>279</v>
      </c>
      <c r="B281" s="25">
        <v>2790</v>
      </c>
      <c r="C281" s="25">
        <v>6667.9070000000002</v>
      </c>
      <c r="D281">
        <f t="shared" si="9"/>
        <v>66.679069999999996</v>
      </c>
    </row>
    <row r="282" spans="1:4">
      <c r="A282">
        <f t="shared" si="8"/>
        <v>280</v>
      </c>
      <c r="B282" s="25">
        <v>2800</v>
      </c>
      <c r="C282" s="25">
        <v>6566.51</v>
      </c>
      <c r="D282">
        <f t="shared" si="9"/>
        <v>65.665099999999995</v>
      </c>
    </row>
    <row r="283" spans="1:4">
      <c r="A283">
        <f t="shared" si="8"/>
        <v>281</v>
      </c>
      <c r="B283" s="25">
        <v>2810</v>
      </c>
      <c r="C283" s="25">
        <v>6473.3829999999998</v>
      </c>
      <c r="D283">
        <f t="shared" si="9"/>
        <v>64.733829999999998</v>
      </c>
    </row>
    <row r="284" spans="1:4">
      <c r="A284">
        <f t="shared" si="8"/>
        <v>282</v>
      </c>
      <c r="B284" s="25">
        <v>2820</v>
      </c>
      <c r="C284" s="25">
        <v>6380.2559999999994</v>
      </c>
      <c r="D284">
        <f t="shared" si="9"/>
        <v>63.802559999999993</v>
      </c>
    </row>
    <row r="285" spans="1:4">
      <c r="A285">
        <f t="shared" si="8"/>
        <v>283</v>
      </c>
      <c r="B285" s="25">
        <v>2830</v>
      </c>
      <c r="C285" s="25">
        <v>6287.128999999999</v>
      </c>
      <c r="D285">
        <f t="shared" si="9"/>
        <v>62.871289999999988</v>
      </c>
    </row>
    <row r="286" spans="1:4">
      <c r="A286">
        <f t="shared" si="8"/>
        <v>284</v>
      </c>
      <c r="B286" s="25">
        <v>2840</v>
      </c>
      <c r="C286" s="25">
        <v>6194.0019999999986</v>
      </c>
      <c r="D286">
        <f t="shared" si="9"/>
        <v>61.940019999999983</v>
      </c>
    </row>
    <row r="287" spans="1:4">
      <c r="A287">
        <f t="shared" si="8"/>
        <v>285</v>
      </c>
      <c r="B287" s="25">
        <v>2850</v>
      </c>
      <c r="C287" s="25">
        <v>6100.8749999999982</v>
      </c>
      <c r="D287">
        <f t="shared" si="9"/>
        <v>61.008749999999985</v>
      </c>
    </row>
    <row r="288" spans="1:4">
      <c r="A288">
        <f t="shared" si="8"/>
        <v>286</v>
      </c>
      <c r="B288" s="25">
        <v>2860</v>
      </c>
      <c r="C288" s="25">
        <v>6007.7479999999978</v>
      </c>
      <c r="D288">
        <f t="shared" si="9"/>
        <v>60.07747999999998</v>
      </c>
    </row>
    <row r="289" spans="1:4">
      <c r="A289">
        <f t="shared" si="8"/>
        <v>287</v>
      </c>
      <c r="B289" s="25">
        <v>2870</v>
      </c>
      <c r="C289" s="25">
        <v>5914.6209999999974</v>
      </c>
      <c r="D289">
        <f t="shared" si="9"/>
        <v>59.146209999999975</v>
      </c>
    </row>
    <row r="290" spans="1:4">
      <c r="A290">
        <f t="shared" si="8"/>
        <v>288</v>
      </c>
      <c r="B290" s="25">
        <v>2880</v>
      </c>
      <c r="C290" s="25">
        <v>5821.493999999997</v>
      </c>
      <c r="D290">
        <f t="shared" si="9"/>
        <v>58.21493999999997</v>
      </c>
    </row>
    <row r="291" spans="1:4">
      <c r="A291">
        <f t="shared" si="8"/>
        <v>289</v>
      </c>
      <c r="B291" s="25">
        <v>2890</v>
      </c>
      <c r="C291" s="25">
        <v>5728.3669999999966</v>
      </c>
      <c r="D291">
        <f t="shared" si="9"/>
        <v>57.283669999999965</v>
      </c>
    </row>
    <row r="292" spans="1:4">
      <c r="A292">
        <f t="shared" si="8"/>
        <v>290</v>
      </c>
      <c r="B292" s="25">
        <v>2900</v>
      </c>
      <c r="C292" s="25">
        <v>5635.24</v>
      </c>
      <c r="D292">
        <f t="shared" si="9"/>
        <v>56.352399999999996</v>
      </c>
    </row>
    <row r="293" spans="1:4">
      <c r="A293">
        <f t="shared" si="8"/>
        <v>291</v>
      </c>
      <c r="B293" s="25">
        <v>2910</v>
      </c>
      <c r="C293" s="25">
        <v>5550.3269999999993</v>
      </c>
      <c r="D293">
        <f t="shared" si="9"/>
        <v>55.503269999999993</v>
      </c>
    </row>
    <row r="294" spans="1:4">
      <c r="A294">
        <f t="shared" si="8"/>
        <v>292</v>
      </c>
      <c r="B294" s="25">
        <v>2920</v>
      </c>
      <c r="C294" s="25">
        <v>5465.4139999999989</v>
      </c>
      <c r="D294">
        <f t="shared" si="9"/>
        <v>54.654139999999991</v>
      </c>
    </row>
    <row r="295" spans="1:4">
      <c r="A295">
        <f t="shared" si="8"/>
        <v>293</v>
      </c>
      <c r="B295" s="25">
        <v>2930</v>
      </c>
      <c r="C295" s="25">
        <v>5380.5009999999984</v>
      </c>
      <c r="D295">
        <f t="shared" si="9"/>
        <v>53.805009999999982</v>
      </c>
    </row>
    <row r="296" spans="1:4">
      <c r="A296">
        <f t="shared" si="8"/>
        <v>294</v>
      </c>
      <c r="B296" s="25">
        <v>2940</v>
      </c>
      <c r="C296" s="25">
        <v>5295.5879999999979</v>
      </c>
      <c r="D296">
        <f t="shared" si="9"/>
        <v>52.955879999999979</v>
      </c>
    </row>
    <row r="297" spans="1:4">
      <c r="A297">
        <f t="shared" si="8"/>
        <v>295</v>
      </c>
      <c r="B297" s="25">
        <v>2950</v>
      </c>
      <c r="C297" s="25">
        <v>5210.6749999999975</v>
      </c>
      <c r="D297">
        <f t="shared" si="9"/>
        <v>52.106749999999977</v>
      </c>
    </row>
    <row r="298" spans="1:4">
      <c r="A298">
        <f t="shared" si="8"/>
        <v>296</v>
      </c>
      <c r="B298" s="25">
        <v>2960</v>
      </c>
      <c r="C298" s="25">
        <v>5125.761999999997</v>
      </c>
      <c r="D298">
        <f t="shared" si="9"/>
        <v>51.257619999999967</v>
      </c>
    </row>
    <row r="299" spans="1:4">
      <c r="A299">
        <f t="shared" si="8"/>
        <v>297</v>
      </c>
      <c r="B299" s="25">
        <v>2970</v>
      </c>
      <c r="C299" s="25">
        <v>5040.8489999999965</v>
      </c>
      <c r="D299">
        <f t="shared" si="9"/>
        <v>50.408489999999965</v>
      </c>
    </row>
    <row r="300" spans="1:4">
      <c r="A300">
        <f t="shared" si="8"/>
        <v>298</v>
      </c>
      <c r="B300" s="25">
        <v>2980</v>
      </c>
      <c r="C300" s="25">
        <v>4955.9359999999961</v>
      </c>
      <c r="D300">
        <f t="shared" si="9"/>
        <v>49.559359999999963</v>
      </c>
    </row>
    <row r="301" spans="1:4">
      <c r="A301">
        <f t="shared" si="8"/>
        <v>299</v>
      </c>
      <c r="B301" s="25">
        <v>2990</v>
      </c>
      <c r="C301" s="25">
        <v>4871.0229999999956</v>
      </c>
      <c r="D301">
        <f t="shared" si="9"/>
        <v>48.710229999999953</v>
      </c>
    </row>
    <row r="302" spans="1:4">
      <c r="A302">
        <f t="shared" si="8"/>
        <v>300</v>
      </c>
      <c r="B302" s="25">
        <v>3000</v>
      </c>
      <c r="C302" s="25">
        <v>4786.1099999999997</v>
      </c>
      <c r="D302">
        <f t="shared" si="9"/>
        <v>47.861099999999993</v>
      </c>
    </row>
    <row r="303" spans="1:4">
      <c r="A303">
        <f t="shared" si="8"/>
        <v>301</v>
      </c>
      <c r="B303" s="25">
        <v>3010</v>
      </c>
      <c r="C303" s="25">
        <v>4709.076</v>
      </c>
      <c r="D303">
        <f t="shared" si="9"/>
        <v>47.090760000000003</v>
      </c>
    </row>
    <row r="304" spans="1:4">
      <c r="A304">
        <f t="shared" si="8"/>
        <v>302</v>
      </c>
      <c r="B304" s="25">
        <v>3020</v>
      </c>
      <c r="C304" s="25">
        <v>4632.0420000000004</v>
      </c>
      <c r="D304">
        <f t="shared" si="9"/>
        <v>46.320420000000006</v>
      </c>
    </row>
    <row r="305" spans="1:4">
      <c r="A305">
        <f t="shared" si="8"/>
        <v>303</v>
      </c>
      <c r="B305" s="25">
        <v>3030</v>
      </c>
      <c r="C305" s="25">
        <v>4555.0080000000007</v>
      </c>
      <c r="D305">
        <f t="shared" si="9"/>
        <v>45.550080000000008</v>
      </c>
    </row>
    <row r="306" spans="1:4">
      <c r="A306">
        <f t="shared" si="8"/>
        <v>304</v>
      </c>
      <c r="B306" s="25">
        <v>3040</v>
      </c>
      <c r="C306" s="25">
        <v>4477.9740000000011</v>
      </c>
      <c r="D306">
        <f t="shared" si="9"/>
        <v>44.779740000000011</v>
      </c>
    </row>
    <row r="307" spans="1:4">
      <c r="A307">
        <f t="shared" si="8"/>
        <v>305</v>
      </c>
      <c r="B307" s="25">
        <v>3050</v>
      </c>
      <c r="C307" s="25">
        <v>4400.9400000000014</v>
      </c>
      <c r="D307">
        <f t="shared" si="9"/>
        <v>44.009400000000014</v>
      </c>
    </row>
    <row r="308" spans="1:4">
      <c r="A308">
        <f t="shared" si="8"/>
        <v>306</v>
      </c>
      <c r="B308" s="25">
        <v>3060</v>
      </c>
      <c r="C308" s="25">
        <v>4323.9060000000018</v>
      </c>
      <c r="D308">
        <f t="shared" si="9"/>
        <v>43.239060000000016</v>
      </c>
    </row>
    <row r="309" spans="1:4">
      <c r="A309">
        <f t="shared" si="8"/>
        <v>307</v>
      </c>
      <c r="B309" s="25">
        <v>3070</v>
      </c>
      <c r="C309" s="25">
        <v>4246.8720000000021</v>
      </c>
      <c r="D309">
        <f t="shared" si="9"/>
        <v>42.468720000000019</v>
      </c>
    </row>
    <row r="310" spans="1:4">
      <c r="A310">
        <f t="shared" si="8"/>
        <v>308</v>
      </c>
      <c r="B310" s="25">
        <v>3080</v>
      </c>
      <c r="C310" s="25">
        <v>4169.8380000000025</v>
      </c>
      <c r="D310">
        <f t="shared" si="9"/>
        <v>41.698380000000022</v>
      </c>
    </row>
    <row r="311" spans="1:4">
      <c r="A311">
        <f t="shared" si="8"/>
        <v>309</v>
      </c>
      <c r="B311" s="25">
        <v>3090</v>
      </c>
      <c r="C311" s="25">
        <v>4092.8040000000024</v>
      </c>
      <c r="D311">
        <f t="shared" si="9"/>
        <v>40.928040000000024</v>
      </c>
    </row>
    <row r="312" spans="1:4">
      <c r="A312">
        <f t="shared" si="8"/>
        <v>310</v>
      </c>
      <c r="B312" s="25">
        <v>3100</v>
      </c>
      <c r="C312" s="25">
        <v>4015.77</v>
      </c>
      <c r="D312">
        <f t="shared" si="9"/>
        <v>40.157699999999998</v>
      </c>
    </row>
    <row r="313" spans="1:4">
      <c r="A313">
        <f t="shared" si="8"/>
        <v>311</v>
      </c>
      <c r="B313" s="25">
        <v>3110</v>
      </c>
      <c r="C313" s="25">
        <v>3946.5680000000002</v>
      </c>
      <c r="D313">
        <f t="shared" si="9"/>
        <v>39.465679999999999</v>
      </c>
    </row>
    <row r="314" spans="1:4">
      <c r="A314">
        <f t="shared" si="8"/>
        <v>312</v>
      </c>
      <c r="B314" s="25">
        <v>3120</v>
      </c>
      <c r="C314" s="25">
        <v>3877.366</v>
      </c>
      <c r="D314">
        <f t="shared" si="9"/>
        <v>38.77366</v>
      </c>
    </row>
    <row r="315" spans="1:4">
      <c r="A315">
        <f t="shared" si="8"/>
        <v>313</v>
      </c>
      <c r="B315" s="25">
        <v>3130</v>
      </c>
      <c r="C315" s="25">
        <v>3808.1639999999998</v>
      </c>
      <c r="D315">
        <f t="shared" si="9"/>
        <v>38.08164</v>
      </c>
    </row>
    <row r="316" spans="1:4">
      <c r="A316">
        <f t="shared" si="8"/>
        <v>314</v>
      </c>
      <c r="B316" s="25">
        <v>3140</v>
      </c>
      <c r="C316" s="25">
        <v>3738.9619999999995</v>
      </c>
      <c r="D316">
        <f t="shared" si="9"/>
        <v>37.389619999999994</v>
      </c>
    </row>
    <row r="317" spans="1:4">
      <c r="A317">
        <f t="shared" si="8"/>
        <v>315</v>
      </c>
      <c r="B317" s="25">
        <v>3150</v>
      </c>
      <c r="C317" s="25">
        <v>3669.7599999999993</v>
      </c>
      <c r="D317">
        <f t="shared" si="9"/>
        <v>36.697599999999994</v>
      </c>
    </row>
    <row r="318" spans="1:4">
      <c r="A318">
        <f t="shared" si="8"/>
        <v>316</v>
      </c>
      <c r="B318" s="25">
        <v>3160</v>
      </c>
      <c r="C318" s="25">
        <v>3600.5579999999991</v>
      </c>
      <c r="D318">
        <f t="shared" si="9"/>
        <v>36.005579999999988</v>
      </c>
    </row>
    <row r="319" spans="1:4">
      <c r="A319">
        <f t="shared" si="8"/>
        <v>317</v>
      </c>
      <c r="B319" s="25">
        <v>3170</v>
      </c>
      <c r="C319" s="25">
        <v>3531.3559999999989</v>
      </c>
      <c r="D319">
        <f t="shared" si="9"/>
        <v>35.313559999999988</v>
      </c>
    </row>
    <row r="320" spans="1:4">
      <c r="A320">
        <f t="shared" si="8"/>
        <v>318</v>
      </c>
      <c r="B320" s="25">
        <v>3180</v>
      </c>
      <c r="C320" s="25">
        <v>3462.1539999999986</v>
      </c>
      <c r="D320">
        <f t="shared" si="9"/>
        <v>34.621539999999989</v>
      </c>
    </row>
    <row r="321" spans="1:4">
      <c r="A321">
        <f t="shared" si="8"/>
        <v>319</v>
      </c>
      <c r="B321" s="25">
        <v>3190</v>
      </c>
      <c r="C321" s="25">
        <v>3392.9519999999984</v>
      </c>
      <c r="D321">
        <f t="shared" si="9"/>
        <v>33.929519999999982</v>
      </c>
    </row>
    <row r="322" spans="1:4">
      <c r="A322">
        <f t="shared" si="8"/>
        <v>320</v>
      </c>
      <c r="B322" s="25">
        <v>3200</v>
      </c>
      <c r="C322" s="25">
        <v>3323.75</v>
      </c>
      <c r="D322">
        <f t="shared" si="9"/>
        <v>33.237499999999997</v>
      </c>
    </row>
    <row r="323" spans="1:4">
      <c r="A323">
        <f t="shared" ref="A323:A386" si="10">B323/10</f>
        <v>321</v>
      </c>
      <c r="B323" s="25">
        <v>3210</v>
      </c>
      <c r="C323" s="25">
        <v>3262.0720000000001</v>
      </c>
      <c r="D323">
        <f t="shared" ref="D323:D386" si="11">C323/100</f>
        <v>32.620719999999999</v>
      </c>
    </row>
    <row r="324" spans="1:4">
      <c r="A324">
        <f t="shared" si="10"/>
        <v>322</v>
      </c>
      <c r="B324" s="25">
        <v>3220</v>
      </c>
      <c r="C324" s="25">
        <v>3200.3940000000002</v>
      </c>
      <c r="D324">
        <f t="shared" si="11"/>
        <v>32.00394</v>
      </c>
    </row>
    <row r="325" spans="1:4">
      <c r="A325">
        <f t="shared" si="10"/>
        <v>323</v>
      </c>
      <c r="B325" s="25">
        <v>3230</v>
      </c>
      <c r="C325" s="25">
        <v>3138.7160000000003</v>
      </c>
      <c r="D325">
        <f t="shared" si="11"/>
        <v>31.387160000000005</v>
      </c>
    </row>
    <row r="326" spans="1:4">
      <c r="A326">
        <f t="shared" si="10"/>
        <v>324</v>
      </c>
      <c r="B326" s="25">
        <v>3240</v>
      </c>
      <c r="C326" s="25">
        <v>3077.0380000000005</v>
      </c>
      <c r="D326">
        <f t="shared" si="11"/>
        <v>30.770380000000003</v>
      </c>
    </row>
    <row r="327" spans="1:4">
      <c r="A327">
        <f t="shared" si="10"/>
        <v>325</v>
      </c>
      <c r="B327" s="25">
        <v>3250</v>
      </c>
      <c r="C327" s="25">
        <v>3015.3600000000006</v>
      </c>
      <c r="D327">
        <f t="shared" si="11"/>
        <v>30.153600000000004</v>
      </c>
    </row>
    <row r="328" spans="1:4">
      <c r="A328">
        <f t="shared" si="10"/>
        <v>326</v>
      </c>
      <c r="B328" s="25">
        <v>3260</v>
      </c>
      <c r="C328" s="25">
        <v>2953.6820000000007</v>
      </c>
      <c r="D328">
        <f t="shared" si="11"/>
        <v>29.536820000000006</v>
      </c>
    </row>
    <row r="329" spans="1:4">
      <c r="A329">
        <f t="shared" si="10"/>
        <v>327</v>
      </c>
      <c r="B329" s="25">
        <v>3270</v>
      </c>
      <c r="C329" s="25">
        <v>2892.0040000000008</v>
      </c>
      <c r="D329">
        <f t="shared" si="11"/>
        <v>28.920040000000007</v>
      </c>
    </row>
    <row r="330" spans="1:4">
      <c r="A330">
        <f t="shared" si="10"/>
        <v>328</v>
      </c>
      <c r="B330" s="25">
        <v>3280</v>
      </c>
      <c r="C330" s="25">
        <v>2830.3260000000009</v>
      </c>
      <c r="D330">
        <f t="shared" si="11"/>
        <v>28.303260000000009</v>
      </c>
    </row>
    <row r="331" spans="1:4">
      <c r="A331">
        <f t="shared" si="10"/>
        <v>329</v>
      </c>
      <c r="B331" s="25">
        <v>3290</v>
      </c>
      <c r="C331" s="25">
        <v>2768.648000000001</v>
      </c>
      <c r="D331">
        <f t="shared" si="11"/>
        <v>27.68648000000001</v>
      </c>
    </row>
    <row r="332" spans="1:4">
      <c r="A332">
        <f t="shared" si="10"/>
        <v>330</v>
      </c>
      <c r="B332" s="25">
        <v>3300</v>
      </c>
      <c r="C332" s="25">
        <v>2706.97</v>
      </c>
      <c r="D332">
        <f t="shared" si="11"/>
        <v>27.069699999999997</v>
      </c>
    </row>
    <row r="333" spans="1:4">
      <c r="A333">
        <f t="shared" si="10"/>
        <v>331</v>
      </c>
      <c r="B333" s="25">
        <v>3310</v>
      </c>
      <c r="C333" s="25">
        <v>2652.5940000000001</v>
      </c>
      <c r="D333">
        <f t="shared" si="11"/>
        <v>26.525940000000002</v>
      </c>
    </row>
    <row r="334" spans="1:4">
      <c r="A334">
        <f t="shared" si="10"/>
        <v>332</v>
      </c>
      <c r="B334" s="25">
        <v>3320</v>
      </c>
      <c r="C334" s="25">
        <v>2598.2179999999998</v>
      </c>
      <c r="D334">
        <f t="shared" si="11"/>
        <v>25.98218</v>
      </c>
    </row>
    <row r="335" spans="1:4">
      <c r="A335">
        <f t="shared" si="10"/>
        <v>333</v>
      </c>
      <c r="B335" s="25">
        <v>3330</v>
      </c>
      <c r="C335" s="25">
        <v>2543.8419999999996</v>
      </c>
      <c r="D335">
        <f t="shared" si="11"/>
        <v>25.438419999999997</v>
      </c>
    </row>
    <row r="336" spans="1:4">
      <c r="A336">
        <f t="shared" si="10"/>
        <v>334</v>
      </c>
      <c r="B336" s="25">
        <v>3340</v>
      </c>
      <c r="C336" s="25">
        <v>2489.4659999999994</v>
      </c>
      <c r="D336">
        <f t="shared" si="11"/>
        <v>24.894659999999995</v>
      </c>
    </row>
    <row r="337" spans="1:4">
      <c r="A337">
        <f t="shared" si="10"/>
        <v>335</v>
      </c>
      <c r="B337" s="25">
        <v>3350</v>
      </c>
      <c r="C337" s="25">
        <v>2435.0899999999992</v>
      </c>
      <c r="D337">
        <f t="shared" si="11"/>
        <v>24.350899999999992</v>
      </c>
    </row>
    <row r="338" spans="1:4">
      <c r="A338">
        <f t="shared" si="10"/>
        <v>336</v>
      </c>
      <c r="B338" s="25">
        <v>3360</v>
      </c>
      <c r="C338" s="25">
        <v>2380.713999999999</v>
      </c>
      <c r="D338">
        <f t="shared" si="11"/>
        <v>23.80713999999999</v>
      </c>
    </row>
    <row r="339" spans="1:4">
      <c r="A339">
        <f t="shared" si="10"/>
        <v>337</v>
      </c>
      <c r="B339" s="25">
        <v>3370</v>
      </c>
      <c r="C339" s="25">
        <v>2326.3379999999988</v>
      </c>
      <c r="D339">
        <f t="shared" si="11"/>
        <v>23.263379999999987</v>
      </c>
    </row>
    <row r="340" spans="1:4">
      <c r="A340">
        <f t="shared" si="10"/>
        <v>338</v>
      </c>
      <c r="B340" s="25">
        <v>3380</v>
      </c>
      <c r="C340" s="25">
        <v>2271.9619999999986</v>
      </c>
      <c r="D340">
        <f t="shared" si="11"/>
        <v>22.719619999999985</v>
      </c>
    </row>
    <row r="341" spans="1:4">
      <c r="A341">
        <f t="shared" si="10"/>
        <v>339</v>
      </c>
      <c r="B341" s="25">
        <v>3390</v>
      </c>
      <c r="C341" s="25">
        <v>2217.5859999999984</v>
      </c>
      <c r="D341">
        <f t="shared" si="11"/>
        <v>22.175859999999986</v>
      </c>
    </row>
    <row r="342" spans="1:4">
      <c r="A342">
        <f t="shared" si="10"/>
        <v>340</v>
      </c>
      <c r="B342" s="25">
        <v>3400</v>
      </c>
      <c r="C342" s="25">
        <v>2163.21</v>
      </c>
      <c r="D342">
        <f t="shared" si="11"/>
        <v>21.632100000000001</v>
      </c>
    </row>
    <row r="343" spans="1:4">
      <c r="A343">
        <f t="shared" si="10"/>
        <v>341</v>
      </c>
      <c r="B343" s="25">
        <v>3410</v>
      </c>
      <c r="C343" s="25">
        <v>2115.84</v>
      </c>
      <c r="D343">
        <f t="shared" si="11"/>
        <v>21.1584</v>
      </c>
    </row>
    <row r="344" spans="1:4">
      <c r="A344">
        <f t="shared" si="10"/>
        <v>342</v>
      </c>
      <c r="B344" s="25">
        <v>3420</v>
      </c>
      <c r="C344" s="25">
        <v>2068.4700000000003</v>
      </c>
      <c r="D344">
        <f t="shared" si="11"/>
        <v>20.684700000000003</v>
      </c>
    </row>
    <row r="345" spans="1:4">
      <c r="A345">
        <f t="shared" si="10"/>
        <v>343</v>
      </c>
      <c r="B345" s="25">
        <v>3430</v>
      </c>
      <c r="C345" s="25">
        <v>2021.1000000000004</v>
      </c>
      <c r="D345">
        <f t="shared" si="11"/>
        <v>20.211000000000002</v>
      </c>
    </row>
    <row r="346" spans="1:4">
      <c r="A346">
        <f t="shared" si="10"/>
        <v>344</v>
      </c>
      <c r="B346" s="25">
        <v>3440</v>
      </c>
      <c r="C346" s="25">
        <v>1973.7300000000005</v>
      </c>
      <c r="D346">
        <f t="shared" si="11"/>
        <v>19.737300000000005</v>
      </c>
    </row>
    <row r="347" spans="1:4">
      <c r="A347">
        <f t="shared" si="10"/>
        <v>345</v>
      </c>
      <c r="B347" s="25">
        <v>3450</v>
      </c>
      <c r="C347" s="25">
        <v>1926.3600000000006</v>
      </c>
      <c r="D347">
        <f t="shared" si="11"/>
        <v>19.263600000000007</v>
      </c>
    </row>
    <row r="348" spans="1:4">
      <c r="A348">
        <f t="shared" si="10"/>
        <v>346</v>
      </c>
      <c r="B348" s="25">
        <v>3460</v>
      </c>
      <c r="C348" s="25">
        <v>1878.9900000000007</v>
      </c>
      <c r="D348">
        <f t="shared" si="11"/>
        <v>18.789900000000006</v>
      </c>
    </row>
    <row r="349" spans="1:4">
      <c r="A349">
        <f t="shared" si="10"/>
        <v>347</v>
      </c>
      <c r="B349" s="25">
        <v>3470</v>
      </c>
      <c r="C349" s="25">
        <v>1831.6200000000008</v>
      </c>
      <c r="D349">
        <f t="shared" si="11"/>
        <v>18.316200000000009</v>
      </c>
    </row>
    <row r="350" spans="1:4">
      <c r="A350">
        <f t="shared" si="10"/>
        <v>348</v>
      </c>
      <c r="B350" s="25">
        <v>3480</v>
      </c>
      <c r="C350" s="25">
        <v>1784.2500000000009</v>
      </c>
      <c r="D350">
        <f t="shared" si="11"/>
        <v>17.842500000000008</v>
      </c>
    </row>
    <row r="351" spans="1:4">
      <c r="A351">
        <f t="shared" si="10"/>
        <v>349</v>
      </c>
      <c r="B351" s="25">
        <v>3490</v>
      </c>
      <c r="C351" s="25">
        <v>1736.880000000001</v>
      </c>
      <c r="D351">
        <f t="shared" si="11"/>
        <v>17.368800000000011</v>
      </c>
    </row>
    <row r="352" spans="1:4">
      <c r="A352">
        <f t="shared" si="10"/>
        <v>350</v>
      </c>
      <c r="B352" s="25">
        <v>3500</v>
      </c>
      <c r="C352" s="25">
        <v>1689.51</v>
      </c>
      <c r="D352">
        <f t="shared" si="11"/>
        <v>16.895099999999999</v>
      </c>
    </row>
    <row r="353" spans="1:4">
      <c r="A353">
        <f t="shared" si="10"/>
        <v>351</v>
      </c>
      <c r="B353" s="25">
        <v>3510</v>
      </c>
      <c r="C353" s="25">
        <v>1648.8869999999999</v>
      </c>
      <c r="D353">
        <f t="shared" si="11"/>
        <v>16.488869999999999</v>
      </c>
    </row>
    <row r="354" spans="1:4">
      <c r="A354">
        <f t="shared" si="10"/>
        <v>352</v>
      </c>
      <c r="B354" s="25">
        <v>3520</v>
      </c>
      <c r="C354" s="25">
        <v>1608.2639999999999</v>
      </c>
      <c r="D354">
        <f t="shared" si="11"/>
        <v>16.082639999999998</v>
      </c>
    </row>
    <row r="355" spans="1:4">
      <c r="A355">
        <f t="shared" si="10"/>
        <v>353</v>
      </c>
      <c r="B355" s="25">
        <v>3530</v>
      </c>
      <c r="C355" s="25">
        <v>1567.6409999999998</v>
      </c>
      <c r="D355">
        <f t="shared" si="11"/>
        <v>15.676409999999999</v>
      </c>
    </row>
    <row r="356" spans="1:4">
      <c r="A356">
        <f t="shared" si="10"/>
        <v>354</v>
      </c>
      <c r="B356" s="25">
        <v>3540</v>
      </c>
      <c r="C356" s="25">
        <v>1527.0179999999998</v>
      </c>
      <c r="D356">
        <f t="shared" si="11"/>
        <v>15.270179999999998</v>
      </c>
    </row>
    <row r="357" spans="1:4">
      <c r="A357">
        <f t="shared" si="10"/>
        <v>355</v>
      </c>
      <c r="B357" s="25">
        <v>3550</v>
      </c>
      <c r="C357" s="25">
        <v>1486.3949999999998</v>
      </c>
      <c r="D357">
        <f t="shared" si="11"/>
        <v>14.863949999999997</v>
      </c>
    </row>
    <row r="358" spans="1:4">
      <c r="A358">
        <f t="shared" si="10"/>
        <v>356</v>
      </c>
      <c r="B358" s="25">
        <v>3560</v>
      </c>
      <c r="C358" s="25">
        <v>1445.7719999999997</v>
      </c>
      <c r="D358">
        <f t="shared" si="11"/>
        <v>14.457719999999997</v>
      </c>
    </row>
    <row r="359" spans="1:4">
      <c r="A359">
        <f t="shared" si="10"/>
        <v>357</v>
      </c>
      <c r="B359" s="25">
        <v>3570</v>
      </c>
      <c r="C359" s="25">
        <v>1405.1489999999997</v>
      </c>
      <c r="D359">
        <f t="shared" si="11"/>
        <v>14.051489999999996</v>
      </c>
    </row>
    <row r="360" spans="1:4">
      <c r="A360">
        <f t="shared" si="10"/>
        <v>358</v>
      </c>
      <c r="B360" s="25">
        <v>3580</v>
      </c>
      <c r="C360" s="25">
        <v>1364.5259999999996</v>
      </c>
      <c r="D360">
        <f t="shared" si="11"/>
        <v>13.645259999999997</v>
      </c>
    </row>
    <row r="361" spans="1:4">
      <c r="A361">
        <f t="shared" si="10"/>
        <v>359</v>
      </c>
      <c r="B361" s="25">
        <v>3590</v>
      </c>
      <c r="C361" s="25">
        <v>1323.9029999999996</v>
      </c>
      <c r="D361">
        <f t="shared" si="11"/>
        <v>13.239029999999996</v>
      </c>
    </row>
    <row r="362" spans="1:4">
      <c r="A362">
        <f t="shared" si="10"/>
        <v>360</v>
      </c>
      <c r="B362" s="25">
        <v>3600</v>
      </c>
      <c r="C362" s="25">
        <v>1283.28</v>
      </c>
      <c r="D362">
        <f t="shared" si="11"/>
        <v>12.832799999999999</v>
      </c>
    </row>
    <row r="363" spans="1:4">
      <c r="A363">
        <f t="shared" si="10"/>
        <v>361</v>
      </c>
      <c r="B363" s="25">
        <v>3610</v>
      </c>
      <c r="C363" s="25">
        <v>1249.0740000000001</v>
      </c>
      <c r="D363">
        <f t="shared" si="11"/>
        <v>12.490740000000001</v>
      </c>
    </row>
    <row r="364" spans="1:4">
      <c r="A364">
        <f t="shared" si="10"/>
        <v>362</v>
      </c>
      <c r="B364" s="25">
        <v>3620</v>
      </c>
      <c r="C364" s="25">
        <v>1214.8680000000002</v>
      </c>
      <c r="D364">
        <f t="shared" si="11"/>
        <v>12.148680000000002</v>
      </c>
    </row>
    <row r="365" spans="1:4">
      <c r="A365">
        <f t="shared" si="10"/>
        <v>363</v>
      </c>
      <c r="B365" s="25">
        <v>3630</v>
      </c>
      <c r="C365" s="25">
        <v>1180.6620000000003</v>
      </c>
      <c r="D365">
        <f t="shared" si="11"/>
        <v>11.806620000000002</v>
      </c>
    </row>
    <row r="366" spans="1:4">
      <c r="A366">
        <f t="shared" si="10"/>
        <v>364</v>
      </c>
      <c r="B366" s="25">
        <v>3640</v>
      </c>
      <c r="C366" s="25">
        <v>1146.4560000000004</v>
      </c>
      <c r="D366">
        <f t="shared" si="11"/>
        <v>11.464560000000004</v>
      </c>
    </row>
    <row r="367" spans="1:4">
      <c r="A367">
        <f t="shared" si="10"/>
        <v>365</v>
      </c>
      <c r="B367" s="25">
        <v>3650</v>
      </c>
      <c r="C367" s="25">
        <v>1112.2500000000005</v>
      </c>
      <c r="D367">
        <f t="shared" si="11"/>
        <v>11.122500000000004</v>
      </c>
    </row>
    <row r="368" spans="1:4">
      <c r="A368">
        <f t="shared" si="10"/>
        <v>366</v>
      </c>
      <c r="B368" s="25">
        <v>3660</v>
      </c>
      <c r="C368" s="25">
        <v>1078.0440000000006</v>
      </c>
      <c r="D368">
        <f t="shared" si="11"/>
        <v>10.780440000000006</v>
      </c>
    </row>
    <row r="369" spans="1:4">
      <c r="A369">
        <f t="shared" si="10"/>
        <v>367</v>
      </c>
      <c r="B369" s="25">
        <v>3670</v>
      </c>
      <c r="C369" s="25">
        <v>1043.8380000000006</v>
      </c>
      <c r="D369">
        <f t="shared" si="11"/>
        <v>10.438380000000006</v>
      </c>
    </row>
    <row r="370" spans="1:4">
      <c r="A370">
        <f t="shared" si="10"/>
        <v>368</v>
      </c>
      <c r="B370" s="25">
        <v>3680</v>
      </c>
      <c r="C370" s="25">
        <v>1009.6320000000006</v>
      </c>
      <c r="D370">
        <f t="shared" si="11"/>
        <v>10.096320000000006</v>
      </c>
    </row>
    <row r="371" spans="1:4">
      <c r="A371">
        <f t="shared" si="10"/>
        <v>369</v>
      </c>
      <c r="B371" s="25">
        <v>3690</v>
      </c>
      <c r="C371" s="25">
        <v>975.42600000000061</v>
      </c>
      <c r="D371">
        <f t="shared" si="11"/>
        <v>9.7542600000000057</v>
      </c>
    </row>
    <row r="372" spans="1:4">
      <c r="A372">
        <f t="shared" si="10"/>
        <v>370</v>
      </c>
      <c r="B372" s="25">
        <v>3700</v>
      </c>
      <c r="C372" s="25">
        <v>941.22</v>
      </c>
      <c r="D372">
        <f t="shared" si="11"/>
        <v>9.4122000000000003</v>
      </c>
    </row>
    <row r="373" spans="1:4">
      <c r="A373">
        <f t="shared" si="10"/>
        <v>371</v>
      </c>
      <c r="B373" s="25">
        <v>3710</v>
      </c>
      <c r="C373" s="25">
        <v>913.096</v>
      </c>
      <c r="D373">
        <f t="shared" si="11"/>
        <v>9.13096</v>
      </c>
    </row>
    <row r="374" spans="1:4">
      <c r="A374">
        <f t="shared" si="10"/>
        <v>372</v>
      </c>
      <c r="B374" s="25">
        <v>3720</v>
      </c>
      <c r="C374" s="25">
        <v>884.97199999999998</v>
      </c>
      <c r="D374">
        <f t="shared" si="11"/>
        <v>8.8497199999999996</v>
      </c>
    </row>
    <row r="375" spans="1:4">
      <c r="A375">
        <f t="shared" si="10"/>
        <v>373</v>
      </c>
      <c r="B375" s="25">
        <v>3730</v>
      </c>
      <c r="C375" s="25">
        <v>856.84799999999996</v>
      </c>
      <c r="D375">
        <f t="shared" si="11"/>
        <v>8.5684799999999992</v>
      </c>
    </row>
    <row r="376" spans="1:4">
      <c r="A376">
        <f t="shared" si="10"/>
        <v>374</v>
      </c>
      <c r="B376" s="25">
        <v>3740</v>
      </c>
      <c r="C376" s="25">
        <v>828.72399999999993</v>
      </c>
      <c r="D376">
        <f t="shared" si="11"/>
        <v>8.2872399999999988</v>
      </c>
    </row>
    <row r="377" spans="1:4">
      <c r="A377">
        <f t="shared" si="10"/>
        <v>375</v>
      </c>
      <c r="B377" s="25">
        <v>3750</v>
      </c>
      <c r="C377" s="25">
        <v>800.59999999999991</v>
      </c>
      <c r="D377">
        <f t="shared" si="11"/>
        <v>8.0059999999999985</v>
      </c>
    </row>
    <row r="378" spans="1:4">
      <c r="A378">
        <f t="shared" si="10"/>
        <v>376</v>
      </c>
      <c r="B378" s="25">
        <v>3760</v>
      </c>
      <c r="C378" s="25">
        <v>772.47599999999989</v>
      </c>
      <c r="D378">
        <f t="shared" si="11"/>
        <v>7.724759999999999</v>
      </c>
    </row>
    <row r="379" spans="1:4">
      <c r="A379">
        <f t="shared" si="10"/>
        <v>377</v>
      </c>
      <c r="B379" s="25">
        <v>3770</v>
      </c>
      <c r="C379" s="25">
        <v>744.35199999999986</v>
      </c>
      <c r="D379">
        <f t="shared" si="11"/>
        <v>7.4435199999999986</v>
      </c>
    </row>
    <row r="380" spans="1:4">
      <c r="A380">
        <f t="shared" si="10"/>
        <v>378</v>
      </c>
      <c r="B380" s="25">
        <v>3780</v>
      </c>
      <c r="C380" s="25">
        <v>716.22799999999984</v>
      </c>
      <c r="D380">
        <f t="shared" si="11"/>
        <v>7.1622799999999982</v>
      </c>
    </row>
    <row r="381" spans="1:4">
      <c r="A381">
        <f t="shared" si="10"/>
        <v>379</v>
      </c>
      <c r="B381" s="25">
        <v>3790</v>
      </c>
      <c r="C381" s="25">
        <v>688.10399999999981</v>
      </c>
      <c r="D381">
        <f t="shared" si="11"/>
        <v>6.8810399999999978</v>
      </c>
    </row>
    <row r="382" spans="1:4">
      <c r="A382">
        <f t="shared" si="10"/>
        <v>380</v>
      </c>
      <c r="B382" s="25">
        <v>3800</v>
      </c>
      <c r="C382" s="25">
        <v>659.98</v>
      </c>
      <c r="D382">
        <f t="shared" si="11"/>
        <v>6.5998000000000001</v>
      </c>
    </row>
    <row r="383" spans="1:4">
      <c r="A383">
        <f t="shared" si="10"/>
        <v>381</v>
      </c>
      <c r="B383" s="25">
        <v>3810</v>
      </c>
      <c r="C383" s="25">
        <v>637.56200000000001</v>
      </c>
      <c r="D383">
        <f t="shared" si="11"/>
        <v>6.3756200000000005</v>
      </c>
    </row>
    <row r="384" spans="1:4">
      <c r="A384">
        <f t="shared" si="10"/>
        <v>382</v>
      </c>
      <c r="B384" s="25">
        <v>3820</v>
      </c>
      <c r="C384" s="25">
        <v>615.14400000000001</v>
      </c>
      <c r="D384">
        <f t="shared" si="11"/>
        <v>6.15144</v>
      </c>
    </row>
    <row r="385" spans="1:4">
      <c r="A385">
        <f t="shared" si="10"/>
        <v>383</v>
      </c>
      <c r="B385" s="25">
        <v>3830</v>
      </c>
      <c r="C385" s="25">
        <v>592.726</v>
      </c>
      <c r="D385">
        <f t="shared" si="11"/>
        <v>5.9272600000000004</v>
      </c>
    </row>
    <row r="386" spans="1:4">
      <c r="A386">
        <f t="shared" si="10"/>
        <v>384</v>
      </c>
      <c r="B386" s="25">
        <v>3840</v>
      </c>
      <c r="C386" s="25">
        <v>570.30799999999999</v>
      </c>
      <c r="D386">
        <f t="shared" si="11"/>
        <v>5.7030799999999999</v>
      </c>
    </row>
    <row r="387" spans="1:4">
      <c r="A387">
        <f t="shared" ref="A387:A447" si="12">B387/10</f>
        <v>385</v>
      </c>
      <c r="B387" s="25">
        <v>3850</v>
      </c>
      <c r="C387" s="25">
        <v>547.89</v>
      </c>
      <c r="D387">
        <f t="shared" ref="D387:D447" si="13">C387/100</f>
        <v>5.4788999999999994</v>
      </c>
    </row>
    <row r="388" spans="1:4">
      <c r="A388">
        <f t="shared" si="12"/>
        <v>386</v>
      </c>
      <c r="B388" s="25">
        <v>3860</v>
      </c>
      <c r="C388" s="25">
        <v>525.47199999999998</v>
      </c>
      <c r="D388">
        <f t="shared" si="13"/>
        <v>5.2547199999999998</v>
      </c>
    </row>
    <row r="389" spans="1:4">
      <c r="A389">
        <f t="shared" si="12"/>
        <v>387</v>
      </c>
      <c r="B389" s="25">
        <v>3870</v>
      </c>
      <c r="C389" s="25">
        <v>503.05399999999997</v>
      </c>
      <c r="D389">
        <f t="shared" si="13"/>
        <v>5.0305399999999993</v>
      </c>
    </row>
    <row r="390" spans="1:4">
      <c r="A390">
        <f t="shared" si="12"/>
        <v>388</v>
      </c>
      <c r="B390" s="25">
        <v>3880</v>
      </c>
      <c r="C390" s="25">
        <v>480.63599999999997</v>
      </c>
      <c r="D390">
        <f t="shared" si="13"/>
        <v>4.8063599999999997</v>
      </c>
    </row>
    <row r="391" spans="1:4">
      <c r="A391">
        <f t="shared" si="12"/>
        <v>389</v>
      </c>
      <c r="B391" s="25">
        <v>3890</v>
      </c>
      <c r="C391" s="25">
        <v>458.21799999999996</v>
      </c>
      <c r="D391">
        <f t="shared" si="13"/>
        <v>4.5821799999999993</v>
      </c>
    </row>
    <row r="392" spans="1:4">
      <c r="A392">
        <f t="shared" si="12"/>
        <v>390</v>
      </c>
      <c r="B392" s="25">
        <v>3900</v>
      </c>
      <c r="C392" s="25">
        <v>435.8</v>
      </c>
      <c r="D392">
        <f t="shared" si="13"/>
        <v>4.3580000000000005</v>
      </c>
    </row>
    <row r="393" spans="1:4">
      <c r="A393">
        <f t="shared" si="12"/>
        <v>391</v>
      </c>
      <c r="B393" s="25">
        <v>3910</v>
      </c>
      <c r="C393" s="25">
        <v>418.67099999999999</v>
      </c>
      <c r="D393">
        <f t="shared" si="13"/>
        <v>4.1867099999999997</v>
      </c>
    </row>
    <row r="394" spans="1:4">
      <c r="A394">
        <f t="shared" si="12"/>
        <v>392</v>
      </c>
      <c r="B394" s="25">
        <v>3920</v>
      </c>
      <c r="C394" s="25">
        <v>401.54199999999997</v>
      </c>
      <c r="D394">
        <f t="shared" si="13"/>
        <v>4.0154199999999998</v>
      </c>
    </row>
    <row r="395" spans="1:4">
      <c r="A395">
        <f t="shared" si="12"/>
        <v>393</v>
      </c>
      <c r="B395" s="25">
        <v>3930</v>
      </c>
      <c r="C395" s="25">
        <v>384.41299999999995</v>
      </c>
      <c r="D395">
        <f t="shared" si="13"/>
        <v>3.8441299999999994</v>
      </c>
    </row>
    <row r="396" spans="1:4">
      <c r="A396">
        <f t="shared" si="12"/>
        <v>394</v>
      </c>
      <c r="B396" s="25">
        <v>3940</v>
      </c>
      <c r="C396" s="25">
        <v>367.28399999999993</v>
      </c>
      <c r="D396">
        <f t="shared" si="13"/>
        <v>3.6728399999999994</v>
      </c>
    </row>
    <row r="397" spans="1:4">
      <c r="A397">
        <f t="shared" si="12"/>
        <v>395</v>
      </c>
      <c r="B397" s="25">
        <v>3950</v>
      </c>
      <c r="C397" s="25">
        <v>350.15499999999992</v>
      </c>
      <c r="D397">
        <f t="shared" si="13"/>
        <v>3.5015499999999991</v>
      </c>
    </row>
    <row r="398" spans="1:4">
      <c r="A398">
        <f t="shared" si="12"/>
        <v>396</v>
      </c>
      <c r="B398" s="25">
        <v>3960</v>
      </c>
      <c r="C398" s="25">
        <v>333.0259999999999</v>
      </c>
      <c r="D398">
        <f t="shared" si="13"/>
        <v>3.3302599999999991</v>
      </c>
    </row>
    <row r="399" spans="1:4">
      <c r="A399">
        <f t="shared" si="12"/>
        <v>397</v>
      </c>
      <c r="B399" s="25">
        <v>3970</v>
      </c>
      <c r="C399" s="25">
        <v>315.89699999999988</v>
      </c>
      <c r="D399">
        <f t="shared" si="13"/>
        <v>3.1589699999999987</v>
      </c>
    </row>
    <row r="400" spans="1:4">
      <c r="A400">
        <f t="shared" si="12"/>
        <v>398</v>
      </c>
      <c r="B400" s="25">
        <v>3980</v>
      </c>
      <c r="C400" s="25">
        <v>298.76799999999986</v>
      </c>
      <c r="D400">
        <f t="shared" si="13"/>
        <v>2.9876799999999988</v>
      </c>
    </row>
    <row r="401" spans="1:4">
      <c r="A401">
        <f t="shared" si="12"/>
        <v>399</v>
      </c>
      <c r="B401" s="25">
        <v>3990</v>
      </c>
      <c r="C401" s="25">
        <v>281.63899999999984</v>
      </c>
      <c r="D401">
        <f t="shared" si="13"/>
        <v>2.8163899999999984</v>
      </c>
    </row>
    <row r="402" spans="1:4">
      <c r="A402">
        <f t="shared" si="12"/>
        <v>400</v>
      </c>
      <c r="B402" s="25">
        <v>4000</v>
      </c>
      <c r="C402" s="25">
        <v>264.51</v>
      </c>
      <c r="D402">
        <f t="shared" si="13"/>
        <v>2.6450999999999998</v>
      </c>
    </row>
    <row r="403" spans="1:4">
      <c r="A403">
        <f t="shared" si="12"/>
        <v>401</v>
      </c>
      <c r="B403" s="25">
        <v>4010</v>
      </c>
      <c r="C403" s="25">
        <v>252.19799999999998</v>
      </c>
      <c r="D403">
        <f t="shared" si="13"/>
        <v>2.5219799999999997</v>
      </c>
    </row>
    <row r="404" spans="1:4">
      <c r="A404">
        <f t="shared" si="12"/>
        <v>402</v>
      </c>
      <c r="B404" s="25">
        <v>4020</v>
      </c>
      <c r="C404" s="25">
        <v>239.88599999999997</v>
      </c>
      <c r="D404">
        <f t="shared" si="13"/>
        <v>2.3988599999999995</v>
      </c>
    </row>
    <row r="405" spans="1:4">
      <c r="A405">
        <f t="shared" si="12"/>
        <v>403</v>
      </c>
      <c r="B405" s="25">
        <v>4030</v>
      </c>
      <c r="C405" s="25">
        <v>227.57399999999996</v>
      </c>
      <c r="D405">
        <f t="shared" si="13"/>
        <v>2.2757399999999994</v>
      </c>
    </row>
    <row r="406" spans="1:4">
      <c r="A406">
        <f t="shared" si="12"/>
        <v>404</v>
      </c>
      <c r="B406" s="25">
        <v>4040</v>
      </c>
      <c r="C406" s="25">
        <v>215.26199999999994</v>
      </c>
      <c r="D406">
        <f t="shared" si="13"/>
        <v>2.1526199999999993</v>
      </c>
    </row>
    <row r="407" spans="1:4">
      <c r="A407">
        <f t="shared" si="12"/>
        <v>405</v>
      </c>
      <c r="B407" s="25">
        <v>4050</v>
      </c>
      <c r="C407" s="25">
        <v>202.94999999999993</v>
      </c>
      <c r="D407">
        <f t="shared" si="13"/>
        <v>2.0294999999999992</v>
      </c>
    </row>
    <row r="408" spans="1:4">
      <c r="A408">
        <f t="shared" si="12"/>
        <v>406</v>
      </c>
      <c r="B408" s="25">
        <v>4060</v>
      </c>
      <c r="C408" s="25">
        <v>190.63799999999992</v>
      </c>
      <c r="D408">
        <f t="shared" si="13"/>
        <v>1.9063799999999993</v>
      </c>
    </row>
    <row r="409" spans="1:4">
      <c r="A409">
        <f t="shared" si="12"/>
        <v>407</v>
      </c>
      <c r="B409" s="25">
        <v>4070</v>
      </c>
      <c r="C409" s="25">
        <v>178.32599999999991</v>
      </c>
      <c r="D409">
        <f t="shared" si="13"/>
        <v>1.7832599999999992</v>
      </c>
    </row>
    <row r="410" spans="1:4">
      <c r="A410">
        <f t="shared" si="12"/>
        <v>408</v>
      </c>
      <c r="B410" s="25">
        <v>4080</v>
      </c>
      <c r="C410" s="25">
        <v>166.0139999999999</v>
      </c>
      <c r="D410">
        <f t="shared" si="13"/>
        <v>1.6601399999999991</v>
      </c>
    </row>
    <row r="411" spans="1:4">
      <c r="A411">
        <f t="shared" si="12"/>
        <v>409</v>
      </c>
      <c r="B411" s="25">
        <v>4090</v>
      </c>
      <c r="C411" s="25">
        <v>153.70199999999988</v>
      </c>
      <c r="D411">
        <f t="shared" si="13"/>
        <v>1.5370199999999989</v>
      </c>
    </row>
    <row r="412" spans="1:4">
      <c r="A412">
        <f t="shared" si="12"/>
        <v>410</v>
      </c>
      <c r="B412" s="25">
        <v>4100</v>
      </c>
      <c r="C412" s="25">
        <v>141.38999999999999</v>
      </c>
      <c r="D412">
        <f t="shared" si="13"/>
        <v>1.4138999999999999</v>
      </c>
    </row>
    <row r="413" spans="1:4">
      <c r="A413">
        <f t="shared" si="12"/>
        <v>411</v>
      </c>
      <c r="B413" s="25">
        <v>4110</v>
      </c>
      <c r="C413" s="25">
        <v>133.35399999999998</v>
      </c>
      <c r="D413">
        <f t="shared" si="13"/>
        <v>1.3335399999999999</v>
      </c>
    </row>
    <row r="414" spans="1:4">
      <c r="A414">
        <f t="shared" si="12"/>
        <v>412</v>
      </c>
      <c r="B414" s="25">
        <v>4120</v>
      </c>
      <c r="C414" s="25">
        <v>125.31799999999998</v>
      </c>
      <c r="D414">
        <f t="shared" si="13"/>
        <v>1.2531799999999997</v>
      </c>
    </row>
    <row r="415" spans="1:4">
      <c r="A415">
        <f t="shared" si="12"/>
        <v>413</v>
      </c>
      <c r="B415" s="25">
        <v>4130</v>
      </c>
      <c r="C415" s="25">
        <v>117.28199999999998</v>
      </c>
      <c r="D415">
        <f t="shared" si="13"/>
        <v>1.1728199999999998</v>
      </c>
    </row>
    <row r="416" spans="1:4">
      <c r="A416">
        <f t="shared" si="12"/>
        <v>414</v>
      </c>
      <c r="B416" s="25">
        <v>4140</v>
      </c>
      <c r="C416" s="25">
        <v>109.24599999999998</v>
      </c>
      <c r="D416">
        <f t="shared" si="13"/>
        <v>1.0924599999999998</v>
      </c>
    </row>
    <row r="417" spans="1:4">
      <c r="A417">
        <f t="shared" si="12"/>
        <v>415</v>
      </c>
      <c r="B417" s="25">
        <v>4150</v>
      </c>
      <c r="C417" s="25">
        <v>101.20999999999998</v>
      </c>
      <c r="D417">
        <f t="shared" si="13"/>
        <v>1.0120999999999998</v>
      </c>
    </row>
    <row r="418" spans="1:4">
      <c r="A418">
        <f t="shared" si="12"/>
        <v>416</v>
      </c>
      <c r="B418" s="25">
        <v>4160</v>
      </c>
      <c r="C418" s="25">
        <v>93.173999999999978</v>
      </c>
      <c r="D418">
        <f t="shared" si="13"/>
        <v>0.93173999999999979</v>
      </c>
    </row>
    <row r="419" spans="1:4">
      <c r="A419">
        <f t="shared" si="12"/>
        <v>417</v>
      </c>
      <c r="B419" s="25">
        <v>4170</v>
      </c>
      <c r="C419" s="25">
        <v>85.137999999999977</v>
      </c>
      <c r="D419">
        <f t="shared" si="13"/>
        <v>0.8513799999999998</v>
      </c>
    </row>
    <row r="420" spans="1:4">
      <c r="A420">
        <f t="shared" si="12"/>
        <v>418</v>
      </c>
      <c r="B420" s="25">
        <v>4180</v>
      </c>
      <c r="C420" s="25">
        <v>77.101999999999975</v>
      </c>
      <c r="D420">
        <f t="shared" si="13"/>
        <v>0.77101999999999971</v>
      </c>
    </row>
    <row r="421" spans="1:4">
      <c r="A421">
        <f t="shared" si="12"/>
        <v>419</v>
      </c>
      <c r="B421" s="25">
        <v>4190</v>
      </c>
      <c r="C421" s="25">
        <v>69.065999999999974</v>
      </c>
      <c r="D421">
        <f t="shared" si="13"/>
        <v>0.69065999999999972</v>
      </c>
    </row>
    <row r="422" spans="1:4">
      <c r="A422">
        <f t="shared" si="12"/>
        <v>420</v>
      </c>
      <c r="B422" s="25">
        <v>4200</v>
      </c>
      <c r="C422" s="25">
        <v>61.03</v>
      </c>
      <c r="D422">
        <f t="shared" si="13"/>
        <v>0.61030000000000006</v>
      </c>
    </row>
    <row r="423" spans="1:4">
      <c r="A423">
        <f t="shared" si="12"/>
        <v>421</v>
      </c>
      <c r="B423" s="25">
        <v>4210</v>
      </c>
      <c r="C423" s="25">
        <v>56.625999999999998</v>
      </c>
      <c r="D423">
        <f t="shared" si="13"/>
        <v>0.56625999999999999</v>
      </c>
    </row>
    <row r="424" spans="1:4">
      <c r="A424">
        <f t="shared" si="12"/>
        <v>422</v>
      </c>
      <c r="B424" s="25">
        <v>4220</v>
      </c>
      <c r="C424" s="25">
        <v>52.221999999999994</v>
      </c>
      <c r="D424">
        <f t="shared" si="13"/>
        <v>0.52221999999999991</v>
      </c>
    </row>
    <row r="425" spans="1:4">
      <c r="A425">
        <f t="shared" si="12"/>
        <v>423</v>
      </c>
      <c r="B425" s="25">
        <v>4230</v>
      </c>
      <c r="C425" s="25">
        <v>47.817999999999991</v>
      </c>
      <c r="D425">
        <f t="shared" si="13"/>
        <v>0.47817999999999988</v>
      </c>
    </row>
    <row r="426" spans="1:4">
      <c r="A426">
        <f t="shared" si="12"/>
        <v>424</v>
      </c>
      <c r="B426" s="25">
        <v>4240</v>
      </c>
      <c r="C426" s="25">
        <v>43.413999999999987</v>
      </c>
      <c r="D426">
        <f t="shared" si="13"/>
        <v>0.43413999999999986</v>
      </c>
    </row>
    <row r="427" spans="1:4">
      <c r="A427">
        <f t="shared" si="12"/>
        <v>425</v>
      </c>
      <c r="B427" s="25">
        <v>4250</v>
      </c>
      <c r="C427" s="25">
        <v>39.009999999999984</v>
      </c>
      <c r="D427">
        <f t="shared" si="13"/>
        <v>0.39009999999999984</v>
      </c>
    </row>
    <row r="428" spans="1:4">
      <c r="A428">
        <f t="shared" si="12"/>
        <v>426</v>
      </c>
      <c r="B428" s="25">
        <v>4260</v>
      </c>
      <c r="C428" s="25">
        <v>34.60599999999998</v>
      </c>
      <c r="D428">
        <f t="shared" si="13"/>
        <v>0.34605999999999981</v>
      </c>
    </row>
    <row r="429" spans="1:4">
      <c r="A429">
        <f t="shared" si="12"/>
        <v>427</v>
      </c>
      <c r="B429" s="25">
        <v>4270</v>
      </c>
      <c r="C429" s="25">
        <v>30.20199999999998</v>
      </c>
      <c r="D429">
        <f t="shared" si="13"/>
        <v>0.30201999999999979</v>
      </c>
    </row>
    <row r="430" spans="1:4">
      <c r="A430">
        <f t="shared" si="12"/>
        <v>428</v>
      </c>
      <c r="B430" s="25">
        <v>4280</v>
      </c>
      <c r="C430" s="25">
        <v>25.797999999999981</v>
      </c>
      <c r="D430">
        <f t="shared" si="13"/>
        <v>0.25797999999999982</v>
      </c>
    </row>
    <row r="431" spans="1:4">
      <c r="A431">
        <f t="shared" si="12"/>
        <v>429</v>
      </c>
      <c r="B431" s="25">
        <v>4290</v>
      </c>
      <c r="C431" s="25">
        <v>21.393999999999981</v>
      </c>
      <c r="D431">
        <f t="shared" si="13"/>
        <v>0.2139399999999998</v>
      </c>
    </row>
    <row r="432" spans="1:4">
      <c r="A432">
        <f t="shared" si="12"/>
        <v>430</v>
      </c>
      <c r="B432" s="25">
        <v>4300</v>
      </c>
      <c r="C432" s="25">
        <v>16.989999999999998</v>
      </c>
      <c r="D432">
        <f t="shared" si="13"/>
        <v>0.1699</v>
      </c>
    </row>
    <row r="433" spans="1:4">
      <c r="A433">
        <f t="shared" si="12"/>
        <v>431</v>
      </c>
      <c r="B433" s="25">
        <v>4310</v>
      </c>
      <c r="C433" s="25">
        <v>15.397999999999998</v>
      </c>
      <c r="D433">
        <f t="shared" si="13"/>
        <v>0.15397999999999998</v>
      </c>
    </row>
    <row r="434" spans="1:4">
      <c r="A434">
        <f t="shared" si="12"/>
        <v>432</v>
      </c>
      <c r="B434" s="25">
        <v>4320</v>
      </c>
      <c r="C434" s="25">
        <v>13.805999999999997</v>
      </c>
      <c r="D434">
        <f t="shared" si="13"/>
        <v>0.13805999999999996</v>
      </c>
    </row>
    <row r="435" spans="1:4">
      <c r="A435">
        <f t="shared" si="12"/>
        <v>433</v>
      </c>
      <c r="B435" s="25">
        <v>4330</v>
      </c>
      <c r="C435" s="25">
        <v>12.213999999999997</v>
      </c>
      <c r="D435">
        <f t="shared" si="13"/>
        <v>0.12213999999999997</v>
      </c>
    </row>
    <row r="436" spans="1:4">
      <c r="A436">
        <f t="shared" si="12"/>
        <v>434</v>
      </c>
      <c r="B436" s="25">
        <v>4340</v>
      </c>
      <c r="C436" s="25">
        <v>10.621999999999996</v>
      </c>
      <c r="D436">
        <f t="shared" si="13"/>
        <v>0.10621999999999997</v>
      </c>
    </row>
    <row r="437" spans="1:4">
      <c r="A437">
        <f t="shared" si="12"/>
        <v>435</v>
      </c>
      <c r="B437" s="25">
        <v>4350</v>
      </c>
      <c r="C437" s="25">
        <v>9.0299999999999958</v>
      </c>
      <c r="D437">
        <f t="shared" si="13"/>
        <v>9.0299999999999964E-2</v>
      </c>
    </row>
    <row r="438" spans="1:4">
      <c r="A438">
        <f t="shared" si="12"/>
        <v>436</v>
      </c>
      <c r="B438" s="25">
        <v>4360</v>
      </c>
      <c r="C438" s="25">
        <v>7.4379999999999962</v>
      </c>
      <c r="D438">
        <f t="shared" si="13"/>
        <v>7.437999999999996E-2</v>
      </c>
    </row>
    <row r="439" spans="1:4">
      <c r="A439">
        <f t="shared" si="12"/>
        <v>437</v>
      </c>
      <c r="B439" s="25">
        <v>4370</v>
      </c>
      <c r="C439" s="25">
        <v>5.8459999999999965</v>
      </c>
      <c r="D439">
        <f t="shared" si="13"/>
        <v>5.8459999999999963E-2</v>
      </c>
    </row>
    <row r="440" spans="1:4">
      <c r="A440">
        <f t="shared" si="12"/>
        <v>438</v>
      </c>
      <c r="B440" s="25">
        <v>4380</v>
      </c>
      <c r="C440" s="25">
        <v>4.2539999999999969</v>
      </c>
      <c r="D440">
        <f t="shared" si="13"/>
        <v>4.2539999999999967E-2</v>
      </c>
    </row>
    <row r="441" spans="1:4">
      <c r="A441">
        <f t="shared" si="12"/>
        <v>439</v>
      </c>
      <c r="B441" s="25">
        <v>4390</v>
      </c>
      <c r="C441" s="25">
        <v>2.6619999999999973</v>
      </c>
      <c r="D441">
        <f t="shared" si="13"/>
        <v>2.6619999999999974E-2</v>
      </c>
    </row>
    <row r="442" spans="1:4">
      <c r="A442">
        <f t="shared" si="12"/>
        <v>440</v>
      </c>
      <c r="B442" s="25">
        <v>4400</v>
      </c>
      <c r="C442" s="25">
        <v>1.07</v>
      </c>
      <c r="D442">
        <f t="shared" si="13"/>
        <v>1.0700000000000001E-2</v>
      </c>
    </row>
    <row r="443" spans="1:4">
      <c r="A443">
        <f t="shared" si="12"/>
        <v>441</v>
      </c>
      <c r="B443" s="25">
        <v>4410</v>
      </c>
      <c r="C443" s="25">
        <v>0.85600000000000009</v>
      </c>
      <c r="D443">
        <f t="shared" si="13"/>
        <v>8.5600000000000016E-3</v>
      </c>
    </row>
    <row r="444" spans="1:4">
      <c r="A444">
        <f t="shared" si="12"/>
        <v>442</v>
      </c>
      <c r="B444" s="25">
        <v>4420</v>
      </c>
      <c r="C444" s="25">
        <v>0.64200000000000013</v>
      </c>
      <c r="D444">
        <f t="shared" si="13"/>
        <v>6.4200000000000012E-3</v>
      </c>
    </row>
    <row r="445" spans="1:4">
      <c r="A445">
        <f t="shared" si="12"/>
        <v>443</v>
      </c>
      <c r="B445" s="25">
        <v>4430</v>
      </c>
      <c r="C445" s="25">
        <v>0.4280000000000001</v>
      </c>
      <c r="D445">
        <f t="shared" si="13"/>
        <v>4.2800000000000008E-3</v>
      </c>
    </row>
    <row r="446" spans="1:4">
      <c r="A446">
        <f t="shared" si="12"/>
        <v>444</v>
      </c>
      <c r="B446" s="25">
        <v>4440</v>
      </c>
      <c r="C446" s="25">
        <v>0.21400000000000008</v>
      </c>
      <c r="D446">
        <f t="shared" si="13"/>
        <v>2.1400000000000008E-3</v>
      </c>
    </row>
    <row r="447" spans="1:4">
      <c r="A447">
        <f t="shared" si="12"/>
        <v>445</v>
      </c>
      <c r="B447" s="25">
        <v>4450</v>
      </c>
      <c r="C447" s="25">
        <v>0</v>
      </c>
      <c r="D447">
        <f t="shared" si="13"/>
        <v>0</v>
      </c>
    </row>
    <row r="448" spans="1:4">
      <c r="B448" s="25"/>
    </row>
    <row r="449" spans="2:2">
      <c r="B449" s="25"/>
    </row>
    <row r="450" spans="2:2">
      <c r="B450" s="25"/>
    </row>
    <row r="451" spans="2:2">
      <c r="B451" s="25"/>
    </row>
    <row r="452" spans="2:2">
      <c r="B452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FF0000"/>
  </sheetPr>
  <dimension ref="A1:D327"/>
  <sheetViews>
    <sheetView workbookViewId="0">
      <selection activeCell="D2" sqref="D2"/>
    </sheetView>
  </sheetViews>
  <sheetFormatPr baseColWidth="10" defaultColWidth="10.3984375" defaultRowHeight="14.25"/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 s="22">
        <f>$B2/10</f>
        <v>0</v>
      </c>
      <c r="B2">
        <v>0</v>
      </c>
      <c r="C2">
        <v>19031.05</v>
      </c>
      <c r="D2" s="23">
        <f>$C2/100</f>
        <v>190.31049999999999</v>
      </c>
    </row>
    <row r="3" spans="1:4">
      <c r="A3" s="22">
        <f t="shared" ref="A3:A66" si="0">$B3/10</f>
        <v>1.0946362785060466</v>
      </c>
      <c r="B3">
        <v>10.946362785060467</v>
      </c>
      <c r="C3">
        <v>19029.085999999999</v>
      </c>
      <c r="D3" s="23">
        <f t="shared" ref="D3:D66" si="1">$C3/100</f>
        <v>190.29085999999998</v>
      </c>
    </row>
    <row r="4" spans="1:4">
      <c r="A4" s="22">
        <f t="shared" si="0"/>
        <v>2.1892725570120932</v>
      </c>
      <c r="B4">
        <v>21.892725570120934</v>
      </c>
      <c r="C4">
        <v>19027.121999999999</v>
      </c>
      <c r="D4" s="23">
        <f t="shared" si="1"/>
        <v>190.27122</v>
      </c>
    </row>
    <row r="5" spans="1:4">
      <c r="A5" s="22">
        <f t="shared" si="0"/>
        <v>3.2839088355181403</v>
      </c>
      <c r="B5">
        <v>32.839088355181403</v>
      </c>
      <c r="C5">
        <v>19025.157999999999</v>
      </c>
      <c r="D5" s="23">
        <f t="shared" si="1"/>
        <v>190.25157999999999</v>
      </c>
    </row>
    <row r="6" spans="1:4">
      <c r="A6" s="22">
        <f t="shared" si="0"/>
        <v>4.3785451140241864</v>
      </c>
      <c r="B6">
        <v>43.785451140241868</v>
      </c>
      <c r="C6">
        <v>19023.194</v>
      </c>
      <c r="D6" s="23">
        <f t="shared" si="1"/>
        <v>190.23194000000001</v>
      </c>
    </row>
    <row r="7" spans="1:4">
      <c r="A7" s="22">
        <f t="shared" si="0"/>
        <v>5.4731813925302344</v>
      </c>
      <c r="B7">
        <v>54.73181392530234</v>
      </c>
      <c r="C7">
        <v>19021.23</v>
      </c>
      <c r="D7" s="23">
        <f t="shared" si="1"/>
        <v>190.2123</v>
      </c>
    </row>
    <row r="8" spans="1:4">
      <c r="A8" s="22">
        <f t="shared" si="0"/>
        <v>6.5678176710362806</v>
      </c>
      <c r="B8">
        <v>65.678176710362806</v>
      </c>
      <c r="C8">
        <v>19019.266</v>
      </c>
      <c r="D8" s="23">
        <f t="shared" si="1"/>
        <v>190.19265999999999</v>
      </c>
    </row>
    <row r="9" spans="1:4">
      <c r="A9" s="22">
        <f t="shared" si="0"/>
        <v>7.6624539495423276</v>
      </c>
      <c r="B9">
        <v>76.624539495423278</v>
      </c>
      <c r="C9">
        <v>19017.302</v>
      </c>
      <c r="D9" s="23">
        <f t="shared" si="1"/>
        <v>190.17302000000001</v>
      </c>
    </row>
    <row r="10" spans="1:4">
      <c r="A10" s="22">
        <f t="shared" si="0"/>
        <v>8.7570902280483729</v>
      </c>
      <c r="B10">
        <v>87.570902280483736</v>
      </c>
      <c r="C10">
        <v>19015.338</v>
      </c>
      <c r="D10" s="23">
        <f t="shared" si="1"/>
        <v>190.15338</v>
      </c>
    </row>
    <row r="11" spans="1:4">
      <c r="A11" s="22">
        <f t="shared" si="0"/>
        <v>9.8517265065544208</v>
      </c>
      <c r="B11">
        <v>98.517265065544208</v>
      </c>
      <c r="C11">
        <v>19013.374</v>
      </c>
      <c r="D11" s="23">
        <f t="shared" si="1"/>
        <v>190.13373999999999</v>
      </c>
    </row>
    <row r="12" spans="1:4">
      <c r="A12" s="22">
        <f t="shared" si="0"/>
        <v>10.946362785060469</v>
      </c>
      <c r="B12">
        <v>109.46362785060468</v>
      </c>
      <c r="C12">
        <v>19011.41</v>
      </c>
      <c r="D12" s="23">
        <f t="shared" si="1"/>
        <v>190.11410000000001</v>
      </c>
    </row>
    <row r="13" spans="1:4">
      <c r="A13" s="22">
        <f t="shared" si="0"/>
        <v>12.040999063566513</v>
      </c>
      <c r="B13">
        <v>120.40999063566514</v>
      </c>
      <c r="C13">
        <v>19009.446</v>
      </c>
      <c r="D13" s="23">
        <f t="shared" si="1"/>
        <v>190.09446</v>
      </c>
    </row>
    <row r="14" spans="1:4">
      <c r="A14" s="22">
        <f t="shared" si="0"/>
        <v>13.135635342072561</v>
      </c>
      <c r="B14">
        <v>131.35635342072561</v>
      </c>
      <c r="C14">
        <v>19007.482</v>
      </c>
      <c r="D14" s="23">
        <f t="shared" si="1"/>
        <v>190.07481999999999</v>
      </c>
    </row>
    <row r="15" spans="1:4">
      <c r="A15" s="22">
        <f t="shared" si="0"/>
        <v>14.230271620578609</v>
      </c>
      <c r="B15">
        <v>142.30271620578608</v>
      </c>
      <c r="C15">
        <v>19005.518</v>
      </c>
      <c r="D15" s="23">
        <f t="shared" si="1"/>
        <v>190.05518000000001</v>
      </c>
    </row>
    <row r="16" spans="1:4">
      <c r="A16" s="22">
        <f t="shared" si="0"/>
        <v>15.324907899084655</v>
      </c>
      <c r="B16">
        <v>153.24907899084656</v>
      </c>
      <c r="C16">
        <v>19003.554</v>
      </c>
      <c r="D16" s="23">
        <f t="shared" si="1"/>
        <v>190.03554</v>
      </c>
    </row>
    <row r="17" spans="1:4">
      <c r="A17" s="22">
        <f t="shared" si="0"/>
        <v>16.419544177590701</v>
      </c>
      <c r="B17">
        <v>164.19544177590703</v>
      </c>
      <c r="C17">
        <v>19001.59</v>
      </c>
      <c r="D17" s="23">
        <f t="shared" si="1"/>
        <v>190.01589999999999</v>
      </c>
    </row>
    <row r="18" spans="1:4">
      <c r="A18" s="22">
        <f t="shared" si="0"/>
        <v>17.514180456096746</v>
      </c>
      <c r="B18">
        <v>175.14180456096747</v>
      </c>
      <c r="C18">
        <v>18999.626</v>
      </c>
      <c r="D18" s="23">
        <f t="shared" si="1"/>
        <v>189.99626000000001</v>
      </c>
    </row>
    <row r="19" spans="1:4">
      <c r="A19" s="22">
        <f t="shared" si="0"/>
        <v>18.608816734602794</v>
      </c>
      <c r="B19">
        <v>186.08816734602794</v>
      </c>
      <c r="C19">
        <v>18997.662</v>
      </c>
      <c r="D19" s="23">
        <f t="shared" si="1"/>
        <v>189.97662</v>
      </c>
    </row>
    <row r="20" spans="1:4">
      <c r="A20" s="22">
        <f t="shared" si="0"/>
        <v>19.703453013108842</v>
      </c>
      <c r="B20">
        <v>197.03453013108842</v>
      </c>
      <c r="C20">
        <v>18995.698</v>
      </c>
      <c r="D20" s="23">
        <f t="shared" si="1"/>
        <v>189.95698000000002</v>
      </c>
    </row>
    <row r="21" spans="1:4">
      <c r="A21" s="22">
        <f t="shared" si="0"/>
        <v>20.79808929161489</v>
      </c>
      <c r="B21">
        <v>207.98089291614889</v>
      </c>
      <c r="C21">
        <v>18993.734</v>
      </c>
      <c r="D21" s="23">
        <f t="shared" si="1"/>
        <v>189.93734000000001</v>
      </c>
    </row>
    <row r="22" spans="1:4">
      <c r="A22" s="22">
        <f t="shared" si="0"/>
        <v>21.892725570120938</v>
      </c>
      <c r="B22">
        <v>218.92725570120936</v>
      </c>
      <c r="C22">
        <v>18991.77</v>
      </c>
      <c r="D22" s="23">
        <f t="shared" si="1"/>
        <v>189.9177</v>
      </c>
    </row>
    <row r="23" spans="1:4">
      <c r="A23" s="22">
        <f t="shared" si="0"/>
        <v>22.987361848626982</v>
      </c>
      <c r="B23">
        <v>229.87361848626983</v>
      </c>
      <c r="C23">
        <v>18989.803</v>
      </c>
      <c r="D23" s="23">
        <f t="shared" si="1"/>
        <v>189.89803000000001</v>
      </c>
    </row>
    <row r="24" spans="1:4">
      <c r="A24" s="22">
        <f t="shared" si="0"/>
        <v>24.081998127133026</v>
      </c>
      <c r="B24">
        <v>240.81998127133028</v>
      </c>
      <c r="C24">
        <v>18987.835999999999</v>
      </c>
      <c r="D24" s="23">
        <f t="shared" si="1"/>
        <v>189.87835999999999</v>
      </c>
    </row>
    <row r="25" spans="1:4">
      <c r="A25" s="22">
        <f t="shared" si="0"/>
        <v>25.176634405639074</v>
      </c>
      <c r="B25">
        <v>251.76634405639075</v>
      </c>
      <c r="C25">
        <v>18985.868999999999</v>
      </c>
      <c r="D25" s="23">
        <f t="shared" si="1"/>
        <v>189.85869</v>
      </c>
    </row>
    <row r="26" spans="1:4">
      <c r="A26" s="22">
        <f t="shared" si="0"/>
        <v>26.271270684145122</v>
      </c>
      <c r="B26">
        <v>262.71270684145122</v>
      </c>
      <c r="C26">
        <v>18983.901999999998</v>
      </c>
      <c r="D26" s="23">
        <f>$C26/100</f>
        <v>189.83901999999998</v>
      </c>
    </row>
    <row r="27" spans="1:4">
      <c r="A27" s="22">
        <f t="shared" si="0"/>
        <v>27.365906962651167</v>
      </c>
      <c r="B27">
        <v>273.65906962651167</v>
      </c>
      <c r="C27">
        <v>18981.934999999998</v>
      </c>
      <c r="D27" s="23">
        <f t="shared" si="1"/>
        <v>189.81934999999999</v>
      </c>
    </row>
    <row r="28" spans="1:4">
      <c r="A28" s="22">
        <f t="shared" si="0"/>
        <v>28.460543241157218</v>
      </c>
      <c r="B28">
        <v>284.60543241157217</v>
      </c>
      <c r="C28">
        <v>18979.967999999997</v>
      </c>
      <c r="D28" s="23">
        <f t="shared" si="1"/>
        <v>189.79967999999997</v>
      </c>
    </row>
    <row r="29" spans="1:4">
      <c r="A29" s="22">
        <f t="shared" si="0"/>
        <v>29.555179519663263</v>
      </c>
      <c r="B29">
        <v>295.55179519663261</v>
      </c>
      <c r="C29">
        <v>18978.000999999997</v>
      </c>
      <c r="D29" s="23">
        <f t="shared" si="1"/>
        <v>189.78000999999998</v>
      </c>
    </row>
    <row r="30" spans="1:4">
      <c r="A30" s="22">
        <f t="shared" si="0"/>
        <v>30.64981579816931</v>
      </c>
      <c r="B30">
        <v>306.49815798169311</v>
      </c>
      <c r="C30">
        <v>18976.033999999996</v>
      </c>
      <c r="D30" s="23">
        <f t="shared" si="1"/>
        <v>189.76033999999996</v>
      </c>
    </row>
    <row r="31" spans="1:4">
      <c r="A31" s="22">
        <f t="shared" si="0"/>
        <v>31.744452076675355</v>
      </c>
      <c r="B31">
        <v>317.44452076675356</v>
      </c>
      <c r="C31">
        <v>18974.066999999995</v>
      </c>
      <c r="D31" s="23">
        <f t="shared" si="1"/>
        <v>189.74066999999997</v>
      </c>
    </row>
    <row r="32" spans="1:4">
      <c r="A32" s="22">
        <f t="shared" si="0"/>
        <v>32.839088355181403</v>
      </c>
      <c r="B32">
        <v>328.39088355181406</v>
      </c>
      <c r="C32">
        <v>18972.099999999999</v>
      </c>
      <c r="D32" s="23">
        <f t="shared" si="1"/>
        <v>189.72099999999998</v>
      </c>
    </row>
    <row r="33" spans="1:4">
      <c r="A33" s="22">
        <f t="shared" si="0"/>
        <v>33.933724633687447</v>
      </c>
      <c r="B33">
        <v>339.3372463368745</v>
      </c>
      <c r="C33">
        <v>18968.477999999999</v>
      </c>
      <c r="D33" s="23">
        <f t="shared" si="1"/>
        <v>189.68477999999999</v>
      </c>
    </row>
    <row r="34" spans="1:4">
      <c r="A34" s="22">
        <f t="shared" si="0"/>
        <v>35.028360912193492</v>
      </c>
      <c r="B34">
        <v>350.28360912193494</v>
      </c>
      <c r="C34">
        <v>18964.856</v>
      </c>
      <c r="D34" s="23">
        <f t="shared" si="1"/>
        <v>189.64856</v>
      </c>
    </row>
    <row r="35" spans="1:4">
      <c r="A35" s="22">
        <f t="shared" si="0"/>
        <v>36.122997190699543</v>
      </c>
      <c r="B35">
        <v>361.22997190699544</v>
      </c>
      <c r="C35">
        <v>18961.234</v>
      </c>
      <c r="D35" s="23">
        <f t="shared" si="1"/>
        <v>189.61234000000002</v>
      </c>
    </row>
    <row r="36" spans="1:4">
      <c r="A36" s="22">
        <f t="shared" si="0"/>
        <v>37.217633469205587</v>
      </c>
      <c r="B36">
        <v>372.17633469205589</v>
      </c>
      <c r="C36">
        <v>18957.612000000001</v>
      </c>
      <c r="D36" s="23">
        <f t="shared" si="1"/>
        <v>189.57612</v>
      </c>
    </row>
    <row r="37" spans="1:4">
      <c r="A37" s="22">
        <f t="shared" si="0"/>
        <v>38.312269747711639</v>
      </c>
      <c r="B37">
        <v>383.12269747711639</v>
      </c>
      <c r="C37">
        <v>18953.990000000002</v>
      </c>
      <c r="D37" s="23">
        <f t="shared" si="1"/>
        <v>189.53990000000002</v>
      </c>
    </row>
    <row r="38" spans="1:4">
      <c r="A38" s="22">
        <f t="shared" si="0"/>
        <v>39.406906026217683</v>
      </c>
      <c r="B38">
        <v>394.06906026217683</v>
      </c>
      <c r="C38">
        <v>18950.368000000002</v>
      </c>
      <c r="D38" s="23">
        <f t="shared" si="1"/>
        <v>189.50368000000003</v>
      </c>
    </row>
    <row r="39" spans="1:4">
      <c r="A39" s="22">
        <f t="shared" si="0"/>
        <v>40.501542304723735</v>
      </c>
      <c r="B39">
        <v>405.01542304723733</v>
      </c>
      <c r="C39">
        <v>18946.746000000003</v>
      </c>
      <c r="D39" s="23">
        <f t="shared" si="1"/>
        <v>189.46746000000002</v>
      </c>
    </row>
    <row r="40" spans="1:4">
      <c r="A40" s="22">
        <f t="shared" si="0"/>
        <v>41.596178583229779</v>
      </c>
      <c r="B40">
        <v>415.96178583229778</v>
      </c>
      <c r="C40">
        <v>18943.124000000003</v>
      </c>
      <c r="D40" s="23">
        <f t="shared" si="1"/>
        <v>189.43124000000003</v>
      </c>
    </row>
    <row r="41" spans="1:4">
      <c r="A41" s="22">
        <f t="shared" si="0"/>
        <v>42.690814861735824</v>
      </c>
      <c r="B41">
        <v>426.90814861735822</v>
      </c>
      <c r="C41">
        <v>18939.502000000004</v>
      </c>
      <c r="D41" s="23">
        <f t="shared" si="1"/>
        <v>189.39502000000005</v>
      </c>
    </row>
    <row r="42" spans="1:4">
      <c r="A42" s="22">
        <f t="shared" si="0"/>
        <v>43.785451140241875</v>
      </c>
      <c r="B42">
        <v>437.85451140241872</v>
      </c>
      <c r="C42">
        <v>18935.88</v>
      </c>
      <c r="D42" s="23">
        <f t="shared" si="1"/>
        <v>189.3588</v>
      </c>
    </row>
    <row r="43" spans="1:4">
      <c r="A43" s="22">
        <f t="shared" si="0"/>
        <v>44.88008741874792</v>
      </c>
      <c r="B43">
        <v>448.80087418747917</v>
      </c>
      <c r="C43">
        <v>18902.669000000002</v>
      </c>
      <c r="D43" s="23">
        <f t="shared" si="1"/>
        <v>189.02669000000003</v>
      </c>
    </row>
    <row r="44" spans="1:4">
      <c r="A44" s="22">
        <f t="shared" si="0"/>
        <v>45.974723697253964</v>
      </c>
      <c r="B44">
        <v>459.74723697253967</v>
      </c>
      <c r="C44">
        <v>18869.458000000002</v>
      </c>
      <c r="D44" s="23">
        <f t="shared" si="1"/>
        <v>188.69458000000003</v>
      </c>
    </row>
    <row r="45" spans="1:4">
      <c r="A45" s="22">
        <f t="shared" si="0"/>
        <v>47.069359975760008</v>
      </c>
      <c r="B45">
        <v>470.69359975760011</v>
      </c>
      <c r="C45">
        <v>18836.247000000003</v>
      </c>
      <c r="D45" s="23">
        <f t="shared" si="1"/>
        <v>188.36247000000003</v>
      </c>
    </row>
    <row r="46" spans="1:4">
      <c r="A46" s="22">
        <f t="shared" si="0"/>
        <v>48.163996254266053</v>
      </c>
      <c r="B46">
        <v>481.63996254266056</v>
      </c>
      <c r="C46">
        <v>18803.036000000004</v>
      </c>
      <c r="D46" s="23">
        <f t="shared" si="1"/>
        <v>188.03036000000003</v>
      </c>
    </row>
    <row r="47" spans="1:4">
      <c r="A47" s="22">
        <f t="shared" si="0"/>
        <v>49.258632532772104</v>
      </c>
      <c r="B47">
        <v>492.58632532772106</v>
      </c>
      <c r="C47">
        <v>18769.825000000004</v>
      </c>
      <c r="D47" s="23">
        <f t="shared" si="1"/>
        <v>187.69825000000003</v>
      </c>
    </row>
    <row r="48" spans="1:4">
      <c r="A48" s="22">
        <f t="shared" si="0"/>
        <v>50.353268811278149</v>
      </c>
      <c r="B48">
        <v>503.5326881127815</v>
      </c>
      <c r="C48">
        <v>18736.614000000005</v>
      </c>
      <c r="D48" s="23">
        <f t="shared" si="1"/>
        <v>187.36614000000006</v>
      </c>
    </row>
    <row r="49" spans="1:4">
      <c r="A49" s="22">
        <f t="shared" si="0"/>
        <v>51.447905089784193</v>
      </c>
      <c r="B49">
        <v>514.47905089784194</v>
      </c>
      <c r="C49">
        <v>18703.403000000006</v>
      </c>
      <c r="D49" s="23">
        <f t="shared" si="1"/>
        <v>187.03403000000006</v>
      </c>
    </row>
    <row r="50" spans="1:4">
      <c r="A50" s="22">
        <f t="shared" si="0"/>
        <v>52.542541368290244</v>
      </c>
      <c r="B50">
        <v>525.42541368290244</v>
      </c>
      <c r="C50">
        <v>18670.192000000006</v>
      </c>
      <c r="D50" s="23">
        <f t="shared" si="1"/>
        <v>186.70192000000006</v>
      </c>
    </row>
    <row r="51" spans="1:4">
      <c r="A51" s="22">
        <f t="shared" si="0"/>
        <v>53.637177646796296</v>
      </c>
      <c r="B51">
        <v>536.37177646796295</v>
      </c>
      <c r="C51">
        <v>18636.981000000007</v>
      </c>
      <c r="D51" s="23">
        <f t="shared" si="1"/>
        <v>186.36981000000006</v>
      </c>
    </row>
    <row r="52" spans="1:4">
      <c r="A52" s="22">
        <f t="shared" si="0"/>
        <v>54.731813925302333</v>
      </c>
      <c r="B52">
        <v>547.31813925302333</v>
      </c>
      <c r="C52">
        <v>18603.77</v>
      </c>
      <c r="D52" s="23">
        <f t="shared" si="1"/>
        <v>186.0377</v>
      </c>
    </row>
    <row r="53" spans="1:4">
      <c r="A53" s="22">
        <f t="shared" si="0"/>
        <v>55.826450203808385</v>
      </c>
      <c r="B53">
        <v>558.26450203808383</v>
      </c>
      <c r="C53">
        <v>18544.538</v>
      </c>
      <c r="D53" s="23">
        <f t="shared" si="1"/>
        <v>185.44538</v>
      </c>
    </row>
    <row r="54" spans="1:4">
      <c r="A54" s="22">
        <f t="shared" si="0"/>
        <v>56.921086482314436</v>
      </c>
      <c r="B54">
        <v>569.21086482314433</v>
      </c>
      <c r="C54">
        <v>18485.306</v>
      </c>
      <c r="D54" s="23">
        <f t="shared" si="1"/>
        <v>184.85306</v>
      </c>
    </row>
    <row r="55" spans="1:4">
      <c r="A55" s="22">
        <f t="shared" si="0"/>
        <v>58.015722760820481</v>
      </c>
      <c r="B55">
        <v>580.15722760820483</v>
      </c>
      <c r="C55">
        <v>18426.074000000001</v>
      </c>
      <c r="D55" s="23">
        <f t="shared" si="1"/>
        <v>184.26074</v>
      </c>
    </row>
    <row r="56" spans="1:4">
      <c r="A56" s="22">
        <f t="shared" si="0"/>
        <v>59.110359039326525</v>
      </c>
      <c r="B56">
        <v>591.10359039326522</v>
      </c>
      <c r="C56">
        <v>18366.842000000001</v>
      </c>
      <c r="D56" s="23">
        <f t="shared" si="1"/>
        <v>183.66842</v>
      </c>
    </row>
    <row r="57" spans="1:4">
      <c r="A57" s="22">
        <f t="shared" si="0"/>
        <v>60.204995317832569</v>
      </c>
      <c r="B57">
        <v>602.04995317832572</v>
      </c>
      <c r="C57">
        <v>18307.61</v>
      </c>
      <c r="D57" s="23">
        <f t="shared" si="1"/>
        <v>183.0761</v>
      </c>
    </row>
    <row r="58" spans="1:4">
      <c r="A58" s="22">
        <f t="shared" si="0"/>
        <v>61.299631596338621</v>
      </c>
      <c r="B58">
        <v>612.99631596338622</v>
      </c>
      <c r="C58">
        <v>18248.378000000001</v>
      </c>
      <c r="D58" s="23">
        <f t="shared" si="1"/>
        <v>182.48378</v>
      </c>
    </row>
    <row r="59" spans="1:4">
      <c r="A59" s="22">
        <f t="shared" si="0"/>
        <v>62.394267874844658</v>
      </c>
      <c r="B59">
        <v>623.94267874844661</v>
      </c>
      <c r="C59">
        <v>18189.146000000001</v>
      </c>
      <c r="D59" s="23">
        <f t="shared" si="1"/>
        <v>181.89146</v>
      </c>
    </row>
    <row r="60" spans="1:4">
      <c r="A60" s="22">
        <f t="shared" si="0"/>
        <v>63.48890415335071</v>
      </c>
      <c r="B60">
        <v>634.88904153350711</v>
      </c>
      <c r="C60">
        <v>18129.914000000001</v>
      </c>
      <c r="D60" s="23">
        <f t="shared" si="1"/>
        <v>181.29913999999999</v>
      </c>
    </row>
    <row r="61" spans="1:4">
      <c r="A61" s="22">
        <f t="shared" si="0"/>
        <v>64.583540431856761</v>
      </c>
      <c r="B61">
        <v>645.83540431856761</v>
      </c>
      <c r="C61">
        <v>18070.682000000001</v>
      </c>
      <c r="D61" s="23">
        <f t="shared" si="1"/>
        <v>180.70681999999999</v>
      </c>
    </row>
    <row r="62" spans="1:4">
      <c r="A62" s="22">
        <f t="shared" si="0"/>
        <v>65.678176710362806</v>
      </c>
      <c r="B62">
        <v>656.78176710362811</v>
      </c>
      <c r="C62">
        <v>18011.45</v>
      </c>
      <c r="D62" s="23">
        <f t="shared" si="1"/>
        <v>180.11450000000002</v>
      </c>
    </row>
    <row r="63" spans="1:4">
      <c r="A63" s="22">
        <f t="shared" si="0"/>
        <v>66.77281298886885</v>
      </c>
      <c r="B63">
        <v>667.7281298886885</v>
      </c>
      <c r="C63">
        <v>17941.525000000001</v>
      </c>
      <c r="D63" s="23">
        <f t="shared" si="1"/>
        <v>179.41525000000001</v>
      </c>
    </row>
    <row r="64" spans="1:4">
      <c r="A64" s="22">
        <f t="shared" si="0"/>
        <v>67.867449267374894</v>
      </c>
      <c r="B64">
        <v>678.674492673749</v>
      </c>
      <c r="C64">
        <v>17871.600000000002</v>
      </c>
      <c r="D64" s="23">
        <f t="shared" si="1"/>
        <v>178.71600000000001</v>
      </c>
    </row>
    <row r="65" spans="1:4">
      <c r="A65" s="22">
        <f t="shared" si="0"/>
        <v>68.962085545880953</v>
      </c>
      <c r="B65">
        <v>689.6208554588095</v>
      </c>
      <c r="C65">
        <v>17801.675000000003</v>
      </c>
      <c r="D65" s="23">
        <f t="shared" si="1"/>
        <v>178.01675000000003</v>
      </c>
    </row>
    <row r="66" spans="1:4">
      <c r="A66" s="22">
        <f t="shared" si="0"/>
        <v>70.056721824386983</v>
      </c>
      <c r="B66">
        <v>700.56721824386989</v>
      </c>
      <c r="C66">
        <v>17731.750000000004</v>
      </c>
      <c r="D66" s="23">
        <f t="shared" si="1"/>
        <v>177.31750000000002</v>
      </c>
    </row>
    <row r="67" spans="1:4">
      <c r="A67" s="22">
        <f t="shared" ref="A67:A130" si="2">$B67/10</f>
        <v>71.151358102893042</v>
      </c>
      <c r="B67">
        <v>711.51358102893039</v>
      </c>
      <c r="C67">
        <v>17661.825000000004</v>
      </c>
      <c r="D67" s="23">
        <f t="shared" ref="D67:D130" si="3">$C67/100</f>
        <v>176.61825000000005</v>
      </c>
    </row>
    <row r="68" spans="1:4">
      <c r="A68" s="22">
        <f t="shared" si="2"/>
        <v>72.245994381399086</v>
      </c>
      <c r="B68">
        <v>722.45994381399089</v>
      </c>
      <c r="C68">
        <v>17591.900000000005</v>
      </c>
      <c r="D68" s="23">
        <f t="shared" si="3"/>
        <v>175.91900000000004</v>
      </c>
    </row>
    <row r="69" spans="1:4">
      <c r="A69" s="22">
        <f t="shared" si="2"/>
        <v>73.340630659905145</v>
      </c>
      <c r="B69">
        <v>733.40630659905139</v>
      </c>
      <c r="C69">
        <v>17521.975000000006</v>
      </c>
      <c r="D69" s="23">
        <f t="shared" si="3"/>
        <v>175.21975000000006</v>
      </c>
    </row>
    <row r="70" spans="1:4">
      <c r="A70" s="22">
        <f t="shared" si="2"/>
        <v>74.435266938411175</v>
      </c>
      <c r="B70">
        <v>744.35266938411178</v>
      </c>
      <c r="C70">
        <v>17452.050000000007</v>
      </c>
      <c r="D70" s="23">
        <f t="shared" si="3"/>
        <v>174.52050000000006</v>
      </c>
    </row>
    <row r="71" spans="1:4">
      <c r="A71" s="22">
        <f t="shared" si="2"/>
        <v>75.529903216917234</v>
      </c>
      <c r="B71">
        <v>755.29903216917228</v>
      </c>
      <c r="C71">
        <v>17382.125000000007</v>
      </c>
      <c r="D71" s="23">
        <f t="shared" si="3"/>
        <v>173.82125000000008</v>
      </c>
    </row>
    <row r="72" spans="1:4">
      <c r="A72" s="22">
        <f t="shared" si="2"/>
        <v>76.624539495423278</v>
      </c>
      <c r="B72">
        <v>766.24539495423278</v>
      </c>
      <c r="C72">
        <v>17312.2</v>
      </c>
      <c r="D72" s="23">
        <f t="shared" si="3"/>
        <v>173.12200000000001</v>
      </c>
    </row>
    <row r="73" spans="1:4">
      <c r="A73" s="22">
        <f t="shared" si="2"/>
        <v>77.719175773929322</v>
      </c>
      <c r="B73">
        <v>777.19175773929317</v>
      </c>
      <c r="C73">
        <v>17242.766</v>
      </c>
      <c r="D73" s="23">
        <f t="shared" si="3"/>
        <v>172.42766</v>
      </c>
    </row>
    <row r="74" spans="1:4">
      <c r="A74" s="22">
        <f t="shared" si="2"/>
        <v>78.813812052435367</v>
      </c>
      <c r="B74">
        <v>788.13812052435367</v>
      </c>
      <c r="C74">
        <v>17173.331999999999</v>
      </c>
      <c r="D74" s="23">
        <f t="shared" si="3"/>
        <v>171.73331999999999</v>
      </c>
    </row>
    <row r="75" spans="1:4">
      <c r="A75" s="22">
        <f t="shared" si="2"/>
        <v>79.908448330941411</v>
      </c>
      <c r="B75">
        <v>799.08448330941417</v>
      </c>
      <c r="C75">
        <v>17103.897999999997</v>
      </c>
      <c r="D75" s="23">
        <f t="shared" si="3"/>
        <v>171.03897999999998</v>
      </c>
    </row>
    <row r="76" spans="1:4">
      <c r="A76" s="22">
        <f t="shared" si="2"/>
        <v>81.00308460944747</v>
      </c>
      <c r="B76">
        <v>810.03084609447467</v>
      </c>
      <c r="C76">
        <v>17034.463999999996</v>
      </c>
      <c r="D76" s="23">
        <f t="shared" si="3"/>
        <v>170.34463999999997</v>
      </c>
    </row>
    <row r="77" spans="1:4">
      <c r="A77" s="22">
        <f t="shared" si="2"/>
        <v>82.0977208879535</v>
      </c>
      <c r="B77">
        <v>820.97720887953506</v>
      </c>
      <c r="C77">
        <v>16965.029999999995</v>
      </c>
      <c r="D77" s="23">
        <f t="shared" si="3"/>
        <v>169.65029999999996</v>
      </c>
    </row>
    <row r="78" spans="1:4">
      <c r="A78" s="22">
        <f t="shared" si="2"/>
        <v>83.192357166459558</v>
      </c>
      <c r="B78">
        <v>831.92357166459556</v>
      </c>
      <c r="C78">
        <v>16895.595999999994</v>
      </c>
      <c r="D78" s="23">
        <f t="shared" si="3"/>
        <v>168.95595999999995</v>
      </c>
    </row>
    <row r="79" spans="1:4">
      <c r="A79" s="22">
        <f t="shared" si="2"/>
        <v>84.286993444965603</v>
      </c>
      <c r="B79">
        <v>842.86993444965606</v>
      </c>
      <c r="C79">
        <v>16826.161999999993</v>
      </c>
      <c r="D79" s="23">
        <f t="shared" si="3"/>
        <v>168.26161999999994</v>
      </c>
    </row>
    <row r="80" spans="1:4">
      <c r="A80" s="22">
        <f t="shared" si="2"/>
        <v>85.381629723471647</v>
      </c>
      <c r="B80">
        <v>853.81629723471644</v>
      </c>
      <c r="C80">
        <v>16756.727999999992</v>
      </c>
      <c r="D80" s="23">
        <f t="shared" si="3"/>
        <v>167.56727999999993</v>
      </c>
    </row>
    <row r="81" spans="1:4">
      <c r="A81" s="22">
        <f t="shared" si="2"/>
        <v>86.476266001977692</v>
      </c>
      <c r="B81">
        <v>864.76266001977694</v>
      </c>
      <c r="C81">
        <v>16687.293999999991</v>
      </c>
      <c r="D81" s="23">
        <f t="shared" si="3"/>
        <v>166.87293999999991</v>
      </c>
    </row>
    <row r="82" spans="1:4">
      <c r="A82" s="22">
        <f t="shared" si="2"/>
        <v>87.57090228048375</v>
      </c>
      <c r="B82">
        <v>875.70902280483745</v>
      </c>
      <c r="C82">
        <v>16617.86</v>
      </c>
      <c r="D82" s="23">
        <f t="shared" si="3"/>
        <v>166.17860000000002</v>
      </c>
    </row>
    <row r="83" spans="1:4">
      <c r="A83" s="22">
        <f t="shared" si="2"/>
        <v>88.66553855898978</v>
      </c>
      <c r="B83">
        <v>886.65538558989783</v>
      </c>
      <c r="C83">
        <v>16549.184000000001</v>
      </c>
      <c r="D83" s="23">
        <f t="shared" si="3"/>
        <v>165.49184000000002</v>
      </c>
    </row>
    <row r="84" spans="1:4">
      <c r="A84" s="22">
        <f t="shared" si="2"/>
        <v>89.760174837495839</v>
      </c>
      <c r="B84">
        <v>897.60174837495833</v>
      </c>
      <c r="C84">
        <v>16480.508000000002</v>
      </c>
      <c r="D84" s="23">
        <f t="shared" si="3"/>
        <v>164.80508</v>
      </c>
    </row>
    <row r="85" spans="1:4">
      <c r="A85" s="22">
        <f t="shared" si="2"/>
        <v>90.854811116001883</v>
      </c>
      <c r="B85">
        <v>908.54811116001883</v>
      </c>
      <c r="C85">
        <v>16411.832000000002</v>
      </c>
      <c r="D85" s="23">
        <f t="shared" si="3"/>
        <v>164.11832000000001</v>
      </c>
    </row>
    <row r="86" spans="1:4">
      <c r="A86" s="22">
        <f t="shared" si="2"/>
        <v>91.949447394507928</v>
      </c>
      <c r="B86">
        <v>919.49447394507933</v>
      </c>
      <c r="C86">
        <v>16343.156000000003</v>
      </c>
      <c r="D86" s="23">
        <f t="shared" si="3"/>
        <v>163.43156000000002</v>
      </c>
    </row>
    <row r="87" spans="1:4">
      <c r="A87" s="22">
        <f t="shared" si="2"/>
        <v>93.044083673013972</v>
      </c>
      <c r="B87">
        <v>930.44083673013972</v>
      </c>
      <c r="C87">
        <v>16274.480000000003</v>
      </c>
      <c r="D87" s="23">
        <f t="shared" si="3"/>
        <v>162.74480000000003</v>
      </c>
    </row>
    <row r="88" spans="1:4">
      <c r="A88" s="22">
        <f t="shared" si="2"/>
        <v>94.138719951520017</v>
      </c>
      <c r="B88">
        <v>941.38719951520022</v>
      </c>
      <c r="C88">
        <v>16205.804000000004</v>
      </c>
      <c r="D88" s="23">
        <f t="shared" si="3"/>
        <v>162.05804000000003</v>
      </c>
    </row>
    <row r="89" spans="1:4">
      <c r="A89" s="22">
        <f t="shared" si="2"/>
        <v>95.233356230026075</v>
      </c>
      <c r="B89">
        <v>952.33356230026072</v>
      </c>
      <c r="C89">
        <v>16137.128000000004</v>
      </c>
      <c r="D89" s="23">
        <f t="shared" si="3"/>
        <v>161.37128000000004</v>
      </c>
    </row>
    <row r="90" spans="1:4">
      <c r="A90" s="22">
        <f t="shared" si="2"/>
        <v>96.327992508532105</v>
      </c>
      <c r="B90">
        <v>963.27992508532111</v>
      </c>
      <c r="C90">
        <v>16068.452000000005</v>
      </c>
      <c r="D90" s="23">
        <f t="shared" si="3"/>
        <v>160.68452000000005</v>
      </c>
    </row>
    <row r="91" spans="1:4">
      <c r="A91" s="22">
        <f t="shared" si="2"/>
        <v>97.422628787038164</v>
      </c>
      <c r="B91">
        <v>974.22628787038161</v>
      </c>
      <c r="C91">
        <v>15999.776000000005</v>
      </c>
      <c r="D91" s="23">
        <f t="shared" si="3"/>
        <v>159.99776000000006</v>
      </c>
    </row>
    <row r="92" spans="1:4">
      <c r="A92" s="22">
        <f t="shared" si="2"/>
        <v>98.517265065544208</v>
      </c>
      <c r="B92">
        <v>985.17265065544211</v>
      </c>
      <c r="C92">
        <v>15931.1</v>
      </c>
      <c r="D92" s="23">
        <f t="shared" si="3"/>
        <v>159.31100000000001</v>
      </c>
    </row>
    <row r="93" spans="1:4">
      <c r="A93" s="22">
        <f t="shared" si="2"/>
        <v>99.611901344050267</v>
      </c>
      <c r="B93">
        <v>996.11901344050261</v>
      </c>
      <c r="C93">
        <v>15862.859</v>
      </c>
      <c r="D93" s="23">
        <f t="shared" si="3"/>
        <v>158.62859</v>
      </c>
    </row>
    <row r="94" spans="1:4">
      <c r="A94" s="22">
        <f t="shared" si="2"/>
        <v>100.7065376225563</v>
      </c>
      <c r="B94">
        <v>1007.065376225563</v>
      </c>
      <c r="C94">
        <v>15794.618</v>
      </c>
      <c r="D94" s="23">
        <f t="shared" si="3"/>
        <v>157.94618</v>
      </c>
    </row>
    <row r="95" spans="1:4">
      <c r="A95" s="22">
        <f t="shared" si="2"/>
        <v>101.80117390106236</v>
      </c>
      <c r="B95">
        <v>1018.0117390106235</v>
      </c>
      <c r="C95">
        <v>15726.377</v>
      </c>
      <c r="D95" s="23">
        <f t="shared" si="3"/>
        <v>157.26376999999999</v>
      </c>
    </row>
    <row r="96" spans="1:4">
      <c r="A96" s="22">
        <f t="shared" si="2"/>
        <v>102.89581017956839</v>
      </c>
      <c r="B96">
        <v>1028.9581017956839</v>
      </c>
      <c r="C96">
        <v>15658.136</v>
      </c>
      <c r="D96" s="23">
        <f t="shared" si="3"/>
        <v>156.58136000000002</v>
      </c>
    </row>
    <row r="97" spans="1:4">
      <c r="A97" s="22">
        <f t="shared" si="2"/>
        <v>103.99044645807444</v>
      </c>
      <c r="B97">
        <v>1039.9044645807444</v>
      </c>
      <c r="C97">
        <v>15589.895</v>
      </c>
      <c r="D97" s="23">
        <f t="shared" si="3"/>
        <v>155.89895000000001</v>
      </c>
    </row>
    <row r="98" spans="1:4">
      <c r="A98" s="22">
        <f t="shared" si="2"/>
        <v>105.08508273658049</v>
      </c>
      <c r="B98">
        <v>1050.8508273658049</v>
      </c>
      <c r="C98">
        <v>15521.654</v>
      </c>
      <c r="D98" s="23">
        <f t="shared" si="3"/>
        <v>155.21654000000001</v>
      </c>
    </row>
    <row r="99" spans="1:4">
      <c r="A99" s="22">
        <f t="shared" si="2"/>
        <v>106.17971901508653</v>
      </c>
      <c r="B99">
        <v>1061.7971901508654</v>
      </c>
      <c r="C99">
        <v>15453.413</v>
      </c>
      <c r="D99" s="23">
        <f t="shared" si="3"/>
        <v>154.53413</v>
      </c>
    </row>
    <row r="100" spans="1:4">
      <c r="A100" s="22">
        <f t="shared" si="2"/>
        <v>107.27435529359259</v>
      </c>
      <c r="B100">
        <v>1072.7435529359259</v>
      </c>
      <c r="C100">
        <v>15385.172</v>
      </c>
      <c r="D100" s="23">
        <f t="shared" si="3"/>
        <v>153.85172</v>
      </c>
    </row>
    <row r="101" spans="1:4">
      <c r="A101" s="22">
        <f t="shared" si="2"/>
        <v>108.36899157209864</v>
      </c>
      <c r="B101">
        <v>1083.6899157209864</v>
      </c>
      <c r="C101">
        <v>15316.931</v>
      </c>
      <c r="D101" s="23">
        <f t="shared" si="3"/>
        <v>153.16931</v>
      </c>
    </row>
    <row r="102" spans="1:4">
      <c r="A102" s="22">
        <f t="shared" si="2"/>
        <v>109.46362785060467</v>
      </c>
      <c r="B102">
        <v>1094.6362785060467</v>
      </c>
      <c r="C102">
        <v>15248.69</v>
      </c>
      <c r="D102" s="23">
        <f t="shared" si="3"/>
        <v>152.48689999999999</v>
      </c>
    </row>
    <row r="103" spans="1:4">
      <c r="A103" s="22">
        <f t="shared" si="2"/>
        <v>110.55826412911071</v>
      </c>
      <c r="B103">
        <v>1105.5826412911072</v>
      </c>
      <c r="C103">
        <v>15180.479669620001</v>
      </c>
      <c r="D103" s="23">
        <f t="shared" si="3"/>
        <v>151.80479669620001</v>
      </c>
    </row>
    <row r="104" spans="1:4">
      <c r="A104" s="22">
        <f t="shared" si="2"/>
        <v>111.65290040761677</v>
      </c>
      <c r="B104">
        <v>1116.5290040761677</v>
      </c>
      <c r="C104">
        <v>15112.269339240002</v>
      </c>
      <c r="D104" s="23">
        <f t="shared" si="3"/>
        <v>151.12269339240001</v>
      </c>
    </row>
    <row r="105" spans="1:4">
      <c r="A105" s="22">
        <f t="shared" si="2"/>
        <v>112.74753668612281</v>
      </c>
      <c r="B105">
        <v>1127.4753668612282</v>
      </c>
      <c r="C105">
        <v>15044.059008860002</v>
      </c>
      <c r="D105" s="23">
        <f t="shared" si="3"/>
        <v>150.44059008860003</v>
      </c>
    </row>
    <row r="106" spans="1:4">
      <c r="A106" s="22">
        <f t="shared" si="2"/>
        <v>113.84217296462887</v>
      </c>
      <c r="B106">
        <v>1138.4217296462887</v>
      </c>
      <c r="C106">
        <v>14975.848678480002</v>
      </c>
      <c r="D106" s="23">
        <f t="shared" si="3"/>
        <v>149.75848678480003</v>
      </c>
    </row>
    <row r="107" spans="1:4">
      <c r="A107" s="22">
        <f t="shared" si="2"/>
        <v>114.93680924313492</v>
      </c>
      <c r="B107">
        <v>1149.3680924313492</v>
      </c>
      <c r="C107">
        <v>14907.638348100003</v>
      </c>
      <c r="D107" s="23">
        <f t="shared" si="3"/>
        <v>149.07638348100002</v>
      </c>
    </row>
    <row r="108" spans="1:4">
      <c r="A108" s="22">
        <f t="shared" si="2"/>
        <v>116.03144552164096</v>
      </c>
      <c r="B108">
        <v>1160.3144552164097</v>
      </c>
      <c r="C108">
        <v>14839.428017720003</v>
      </c>
      <c r="D108" s="23">
        <f t="shared" si="3"/>
        <v>148.39428017720005</v>
      </c>
    </row>
    <row r="109" spans="1:4">
      <c r="A109" s="22">
        <f t="shared" si="2"/>
        <v>117.12608180014699</v>
      </c>
      <c r="B109">
        <v>1171.2608180014699</v>
      </c>
      <c r="C109">
        <v>14771.217687340004</v>
      </c>
      <c r="D109" s="23">
        <f t="shared" si="3"/>
        <v>147.71217687340004</v>
      </c>
    </row>
    <row r="110" spans="1:4">
      <c r="A110" s="22">
        <f t="shared" si="2"/>
        <v>118.22071807865305</v>
      </c>
      <c r="B110">
        <v>1182.2071807865304</v>
      </c>
      <c r="C110">
        <v>14703.007356960004</v>
      </c>
      <c r="D110" s="23">
        <f t="shared" si="3"/>
        <v>147.03007356960003</v>
      </c>
    </row>
    <row r="111" spans="1:4">
      <c r="A111" s="22">
        <f t="shared" si="2"/>
        <v>119.31535435715909</v>
      </c>
      <c r="B111">
        <v>1193.1535435715909</v>
      </c>
      <c r="C111">
        <v>14634.797026580005</v>
      </c>
      <c r="D111" s="23">
        <f t="shared" si="3"/>
        <v>146.34797026580006</v>
      </c>
    </row>
    <row r="112" spans="1:4">
      <c r="A112" s="22">
        <f t="shared" si="2"/>
        <v>120.40999063566514</v>
      </c>
      <c r="B112">
        <v>1204.0999063566514</v>
      </c>
      <c r="C112">
        <v>14566.586696200005</v>
      </c>
      <c r="D112" s="23">
        <f t="shared" si="3"/>
        <v>145.66586696200005</v>
      </c>
    </row>
    <row r="113" spans="1:4">
      <c r="A113" s="22">
        <f t="shared" si="2"/>
        <v>121.5046269141712</v>
      </c>
      <c r="B113">
        <v>1215.0462691417119</v>
      </c>
      <c r="C113">
        <v>14498.376365820006</v>
      </c>
      <c r="D113" s="23">
        <f t="shared" si="3"/>
        <v>144.98376365820005</v>
      </c>
    </row>
    <row r="114" spans="1:4">
      <c r="A114" s="22">
        <f t="shared" si="2"/>
        <v>122.59926319267724</v>
      </c>
      <c r="B114">
        <v>1225.9926319267724</v>
      </c>
      <c r="C114">
        <v>14430.166035440006</v>
      </c>
      <c r="D114" s="23">
        <f t="shared" si="3"/>
        <v>144.30166035440007</v>
      </c>
    </row>
    <row r="115" spans="1:4">
      <c r="A115" s="22">
        <f t="shared" si="2"/>
        <v>123.6938994711833</v>
      </c>
      <c r="B115">
        <v>1236.9389947118329</v>
      </c>
      <c r="C115">
        <v>14361.955705060007</v>
      </c>
      <c r="D115" s="23">
        <f t="shared" si="3"/>
        <v>143.61955705060006</v>
      </c>
    </row>
    <row r="116" spans="1:4">
      <c r="A116" s="22">
        <f t="shared" si="2"/>
        <v>124.78853574968932</v>
      </c>
      <c r="B116">
        <v>1247.8853574968932</v>
      </c>
      <c r="C116">
        <v>14293.745374680007</v>
      </c>
      <c r="D116" s="23">
        <f t="shared" si="3"/>
        <v>142.93745374680009</v>
      </c>
    </row>
    <row r="117" spans="1:4">
      <c r="A117" s="22">
        <f t="shared" si="2"/>
        <v>125.88317202819537</v>
      </c>
      <c r="B117">
        <v>1258.8317202819537</v>
      </c>
      <c r="C117">
        <v>14225.535044300008</v>
      </c>
      <c r="D117" s="23">
        <f t="shared" si="3"/>
        <v>142.25535044300008</v>
      </c>
    </row>
    <row r="118" spans="1:4">
      <c r="A118" s="22">
        <f t="shared" si="2"/>
        <v>126.97780830670142</v>
      </c>
      <c r="B118">
        <v>1269.7780830670142</v>
      </c>
      <c r="C118">
        <v>14157.324713920008</v>
      </c>
      <c r="D118" s="23">
        <f t="shared" si="3"/>
        <v>141.57324713920008</v>
      </c>
    </row>
    <row r="119" spans="1:4">
      <c r="A119" s="22">
        <f t="shared" si="2"/>
        <v>128.07244458520748</v>
      </c>
      <c r="B119">
        <v>1280.7244458520747</v>
      </c>
      <c r="C119">
        <v>14089.114383540009</v>
      </c>
      <c r="D119" s="23">
        <f t="shared" si="3"/>
        <v>140.8911438354001</v>
      </c>
    </row>
    <row r="120" spans="1:4">
      <c r="A120" s="22">
        <f t="shared" si="2"/>
        <v>129.16708086371352</v>
      </c>
      <c r="B120">
        <v>1291.6708086371352</v>
      </c>
      <c r="C120">
        <v>14020.904053160009</v>
      </c>
      <c r="D120" s="23">
        <f t="shared" si="3"/>
        <v>140.2090405316001</v>
      </c>
    </row>
    <row r="121" spans="1:4">
      <c r="A121" s="22">
        <f t="shared" si="2"/>
        <v>130.26171714221957</v>
      </c>
      <c r="B121">
        <v>1302.6171714221957</v>
      </c>
      <c r="C121">
        <v>13952.69372278001</v>
      </c>
      <c r="D121" s="23">
        <f t="shared" si="3"/>
        <v>139.52693722780009</v>
      </c>
    </row>
    <row r="122" spans="1:4">
      <c r="A122" s="22">
        <f t="shared" si="2"/>
        <v>131.35635342072561</v>
      </c>
      <c r="B122">
        <v>1313.5635342072562</v>
      </c>
      <c r="C122">
        <v>13884.48339240001</v>
      </c>
      <c r="D122" s="23">
        <f t="shared" si="3"/>
        <v>138.84483392400011</v>
      </c>
    </row>
    <row r="123" spans="1:4">
      <c r="A123" s="22">
        <f t="shared" si="2"/>
        <v>132.45098969923166</v>
      </c>
      <c r="B123">
        <v>1324.5098969923165</v>
      </c>
      <c r="C123">
        <v>13816.273062020011</v>
      </c>
      <c r="D123" s="23">
        <f t="shared" si="3"/>
        <v>138.16273062020011</v>
      </c>
    </row>
    <row r="124" spans="1:4">
      <c r="A124" s="22">
        <f t="shared" si="2"/>
        <v>133.5456259777377</v>
      </c>
      <c r="B124">
        <v>1335.456259777377</v>
      </c>
      <c r="C124">
        <v>13748.062731640011</v>
      </c>
      <c r="D124" s="23">
        <f t="shared" si="3"/>
        <v>137.4806273164001</v>
      </c>
    </row>
    <row r="125" spans="1:4">
      <c r="A125" s="22">
        <f t="shared" si="2"/>
        <v>134.64026225624374</v>
      </c>
      <c r="B125">
        <v>1346.4026225624375</v>
      </c>
      <c r="C125">
        <v>13679.852401260012</v>
      </c>
      <c r="D125" s="23">
        <f t="shared" si="3"/>
        <v>136.79852401260013</v>
      </c>
    </row>
    <row r="126" spans="1:4">
      <c r="A126" s="22">
        <f t="shared" si="2"/>
        <v>135.73489853474979</v>
      </c>
      <c r="B126">
        <v>1357.348985347498</v>
      </c>
      <c r="C126">
        <v>13611.642070880012</v>
      </c>
      <c r="D126" s="23">
        <f t="shared" si="3"/>
        <v>136.11642070880012</v>
      </c>
    </row>
    <row r="127" spans="1:4">
      <c r="A127" s="22">
        <f t="shared" si="2"/>
        <v>136.82953481325586</v>
      </c>
      <c r="B127">
        <v>1368.2953481325585</v>
      </c>
      <c r="C127">
        <v>13543.431740500013</v>
      </c>
      <c r="D127" s="23">
        <f t="shared" si="3"/>
        <v>135.43431740500012</v>
      </c>
    </row>
    <row r="128" spans="1:4">
      <c r="A128" s="22">
        <f t="shared" si="2"/>
        <v>137.92417109176191</v>
      </c>
      <c r="B128">
        <v>1379.241710917619</v>
      </c>
      <c r="C128">
        <v>13475.221410120013</v>
      </c>
      <c r="D128" s="23">
        <f t="shared" si="3"/>
        <v>134.75221410120014</v>
      </c>
    </row>
    <row r="129" spans="1:4">
      <c r="A129" s="22">
        <f t="shared" si="2"/>
        <v>139.01880737026795</v>
      </c>
      <c r="B129">
        <v>1390.1880737026795</v>
      </c>
      <c r="C129">
        <v>13407.011079740014</v>
      </c>
      <c r="D129" s="23">
        <f t="shared" si="3"/>
        <v>134.07011079740013</v>
      </c>
    </row>
    <row r="130" spans="1:4">
      <c r="A130" s="22">
        <f t="shared" si="2"/>
        <v>140.11344364877397</v>
      </c>
      <c r="B130">
        <v>1401.1344364877398</v>
      </c>
      <c r="C130">
        <v>13338.800749360014</v>
      </c>
      <c r="D130" s="23">
        <f t="shared" si="3"/>
        <v>133.38800749360016</v>
      </c>
    </row>
    <row r="131" spans="1:4">
      <c r="A131" s="22">
        <f t="shared" ref="A131:A194" si="4">$B131/10</f>
        <v>141.20807992728004</v>
      </c>
      <c r="B131">
        <v>1412.0807992728003</v>
      </c>
      <c r="C131">
        <v>13270.590418980015</v>
      </c>
      <c r="D131" s="23">
        <f t="shared" ref="D131:D194" si="5">$C131/100</f>
        <v>132.70590418980015</v>
      </c>
    </row>
    <row r="132" spans="1:4">
      <c r="A132" s="22">
        <f t="shared" si="4"/>
        <v>142.30271620578608</v>
      </c>
      <c r="B132">
        <v>1423.0271620578608</v>
      </c>
      <c r="C132">
        <v>13202.380088600015</v>
      </c>
      <c r="D132" s="23">
        <f t="shared" si="5"/>
        <v>132.02380088600015</v>
      </c>
    </row>
    <row r="133" spans="1:4">
      <c r="A133" s="22">
        <f t="shared" si="4"/>
        <v>143.39735248429213</v>
      </c>
      <c r="B133">
        <v>1433.9735248429213</v>
      </c>
      <c r="C133">
        <v>13134.169758220016</v>
      </c>
      <c r="D133" s="23">
        <f t="shared" si="5"/>
        <v>131.34169758220017</v>
      </c>
    </row>
    <row r="134" spans="1:4">
      <c r="A134" s="22">
        <f t="shared" si="4"/>
        <v>144.49198876279817</v>
      </c>
      <c r="B134">
        <v>1444.9198876279818</v>
      </c>
      <c r="C134">
        <v>13065.959427840016</v>
      </c>
      <c r="D134" s="23">
        <f t="shared" si="5"/>
        <v>130.65959427840016</v>
      </c>
    </row>
    <row r="135" spans="1:4">
      <c r="A135" s="22">
        <f t="shared" si="4"/>
        <v>145.58662504130422</v>
      </c>
      <c r="B135">
        <v>1455.8662504130423</v>
      </c>
      <c r="C135">
        <v>12997.749097460017</v>
      </c>
      <c r="D135" s="23">
        <f t="shared" si="5"/>
        <v>129.97749097460016</v>
      </c>
    </row>
    <row r="136" spans="1:4">
      <c r="A136" s="22">
        <f t="shared" si="4"/>
        <v>146.68126131981029</v>
      </c>
      <c r="B136">
        <v>1466.8126131981028</v>
      </c>
      <c r="C136">
        <v>12929.538767080017</v>
      </c>
      <c r="D136" s="23">
        <f t="shared" si="5"/>
        <v>129.29538767080018</v>
      </c>
    </row>
    <row r="137" spans="1:4">
      <c r="A137" s="22">
        <f t="shared" si="4"/>
        <v>147.77589759831631</v>
      </c>
      <c r="B137">
        <v>1477.7589759831631</v>
      </c>
      <c r="C137">
        <v>12861.328436700018</v>
      </c>
      <c r="D137" s="23">
        <f t="shared" si="5"/>
        <v>128.61328436700018</v>
      </c>
    </row>
    <row r="138" spans="1:4">
      <c r="A138" s="22">
        <f t="shared" si="4"/>
        <v>148.87053387682235</v>
      </c>
      <c r="B138">
        <v>1488.7053387682236</v>
      </c>
      <c r="C138">
        <v>12793.118106320018</v>
      </c>
      <c r="D138" s="23">
        <f t="shared" si="5"/>
        <v>127.93118106320019</v>
      </c>
    </row>
    <row r="139" spans="1:4">
      <c r="A139" s="22">
        <f t="shared" si="4"/>
        <v>149.96517015532839</v>
      </c>
      <c r="B139">
        <v>1499.6517015532841</v>
      </c>
      <c r="C139">
        <v>12724.907775940019</v>
      </c>
      <c r="D139" s="23">
        <f t="shared" si="5"/>
        <v>127.24907775940019</v>
      </c>
    </row>
    <row r="140" spans="1:4">
      <c r="A140" s="22">
        <f t="shared" si="4"/>
        <v>151.05980643383447</v>
      </c>
      <c r="B140">
        <v>1510.5980643383446</v>
      </c>
      <c r="C140">
        <v>12656.697445560019</v>
      </c>
      <c r="D140" s="23">
        <f t="shared" si="5"/>
        <v>126.56697445560019</v>
      </c>
    </row>
    <row r="141" spans="1:4">
      <c r="A141" s="22">
        <f t="shared" si="4"/>
        <v>152.15444271234051</v>
      </c>
      <c r="B141">
        <v>1521.5444271234051</v>
      </c>
      <c r="C141">
        <v>12588.48711518002</v>
      </c>
      <c r="D141" s="23">
        <f t="shared" si="5"/>
        <v>125.8848711518002</v>
      </c>
    </row>
    <row r="142" spans="1:4">
      <c r="A142" s="22">
        <f t="shared" si="4"/>
        <v>153.24907899084656</v>
      </c>
      <c r="B142">
        <v>1532.4907899084656</v>
      </c>
      <c r="C142">
        <v>12520.27678480002</v>
      </c>
      <c r="D142" s="23">
        <f t="shared" si="5"/>
        <v>125.20276784800021</v>
      </c>
    </row>
    <row r="143" spans="1:4">
      <c r="A143" s="22">
        <f t="shared" si="4"/>
        <v>154.3437152693526</v>
      </c>
      <c r="B143">
        <v>1543.4371526935261</v>
      </c>
      <c r="C143">
        <v>12452.066454420021</v>
      </c>
      <c r="D143" s="23">
        <f t="shared" si="5"/>
        <v>124.5206645442002</v>
      </c>
    </row>
    <row r="144" spans="1:4">
      <c r="A144" s="22">
        <f t="shared" si="4"/>
        <v>155.43835154785864</v>
      </c>
      <c r="B144">
        <v>1554.3835154785863</v>
      </c>
      <c r="C144">
        <v>12383.856124040021</v>
      </c>
      <c r="D144" s="23">
        <f t="shared" si="5"/>
        <v>123.83856124040021</v>
      </c>
    </row>
    <row r="145" spans="1:4">
      <c r="A145" s="22">
        <f t="shared" si="4"/>
        <v>156.53298782636469</v>
      </c>
      <c r="B145">
        <v>1565.3298782636468</v>
      </c>
      <c r="C145">
        <v>12315.645793660022</v>
      </c>
      <c r="D145" s="23">
        <f t="shared" si="5"/>
        <v>123.15645793660022</v>
      </c>
    </row>
    <row r="146" spans="1:4">
      <c r="A146" s="22">
        <f t="shared" si="4"/>
        <v>157.62762410487073</v>
      </c>
      <c r="B146">
        <v>1576.2762410487073</v>
      </c>
      <c r="C146">
        <v>12247.435463280022</v>
      </c>
      <c r="D146" s="23">
        <f t="shared" si="5"/>
        <v>122.47435463280023</v>
      </c>
    </row>
    <row r="147" spans="1:4">
      <c r="A147" s="22">
        <f t="shared" si="4"/>
        <v>158.72226038337678</v>
      </c>
      <c r="B147">
        <v>1587.2226038337678</v>
      </c>
      <c r="C147">
        <v>12179.225132900023</v>
      </c>
      <c r="D147" s="23">
        <f t="shared" si="5"/>
        <v>121.79225132900022</v>
      </c>
    </row>
    <row r="148" spans="1:4">
      <c r="A148" s="22">
        <f t="shared" si="4"/>
        <v>159.81689666188282</v>
      </c>
      <c r="B148">
        <v>1598.1689666188283</v>
      </c>
      <c r="C148">
        <v>12111.014802520023</v>
      </c>
      <c r="D148" s="23">
        <f t="shared" si="5"/>
        <v>121.11014802520023</v>
      </c>
    </row>
    <row r="149" spans="1:4">
      <c r="A149" s="22">
        <f t="shared" si="4"/>
        <v>160.91153294038889</v>
      </c>
      <c r="B149">
        <v>1609.1153294038888</v>
      </c>
      <c r="C149">
        <v>12042.804472140024</v>
      </c>
      <c r="D149" s="23">
        <f t="shared" si="5"/>
        <v>120.42804472140024</v>
      </c>
    </row>
    <row r="150" spans="1:4">
      <c r="A150" s="22">
        <f t="shared" si="4"/>
        <v>162.00616921889494</v>
      </c>
      <c r="B150">
        <v>1620.0616921889493</v>
      </c>
      <c r="C150">
        <v>11974.594141760024</v>
      </c>
      <c r="D150" s="23">
        <f t="shared" si="5"/>
        <v>119.74594141760025</v>
      </c>
    </row>
    <row r="151" spans="1:4">
      <c r="A151" s="22">
        <f t="shared" si="4"/>
        <v>163.10080549740096</v>
      </c>
      <c r="B151">
        <v>1631.0080549740096</v>
      </c>
      <c r="C151">
        <v>11906.383811380025</v>
      </c>
      <c r="D151" s="23">
        <f t="shared" si="5"/>
        <v>119.06383811380024</v>
      </c>
    </row>
    <row r="152" spans="1:4">
      <c r="A152" s="22">
        <f t="shared" si="4"/>
        <v>164.195441775907</v>
      </c>
      <c r="B152">
        <v>1641.9544177590701</v>
      </c>
      <c r="C152">
        <v>11838.173481000025</v>
      </c>
      <c r="D152" s="23">
        <f t="shared" si="5"/>
        <v>118.38173481000025</v>
      </c>
    </row>
    <row r="153" spans="1:4">
      <c r="A153" s="22">
        <f t="shared" si="4"/>
        <v>165.29007805441307</v>
      </c>
      <c r="B153">
        <v>1652.9007805441306</v>
      </c>
      <c r="C153">
        <v>11769.963150620026</v>
      </c>
      <c r="D153" s="23">
        <f t="shared" si="5"/>
        <v>117.69963150620026</v>
      </c>
    </row>
    <row r="154" spans="1:4">
      <c r="A154" s="22">
        <f t="shared" si="4"/>
        <v>166.38471433291912</v>
      </c>
      <c r="B154">
        <v>1663.8471433291911</v>
      </c>
      <c r="C154">
        <v>11701.752820240026</v>
      </c>
      <c r="D154" s="23">
        <f t="shared" si="5"/>
        <v>117.01752820240026</v>
      </c>
    </row>
    <row r="155" spans="1:4">
      <c r="A155" s="22">
        <f t="shared" si="4"/>
        <v>167.47935061142516</v>
      </c>
      <c r="B155">
        <v>1674.7935061142516</v>
      </c>
      <c r="C155">
        <v>11633.542489860027</v>
      </c>
      <c r="D155" s="23">
        <f t="shared" si="5"/>
        <v>116.33542489860027</v>
      </c>
    </row>
    <row r="156" spans="1:4">
      <c r="A156" s="22">
        <f t="shared" si="4"/>
        <v>168.57398688993121</v>
      </c>
      <c r="B156">
        <v>1685.7398688993121</v>
      </c>
      <c r="C156">
        <v>11565.332159480027</v>
      </c>
      <c r="D156" s="23">
        <f t="shared" si="5"/>
        <v>115.65332159480027</v>
      </c>
    </row>
    <row r="157" spans="1:4">
      <c r="A157" s="22">
        <f t="shared" si="4"/>
        <v>169.66862316843725</v>
      </c>
      <c r="B157">
        <v>1696.6862316843726</v>
      </c>
      <c r="C157">
        <v>11497.121829100028</v>
      </c>
      <c r="D157" s="23">
        <f t="shared" si="5"/>
        <v>114.97121829100028</v>
      </c>
    </row>
    <row r="158" spans="1:4">
      <c r="A158" s="22">
        <f t="shared" si="4"/>
        <v>170.76325944694329</v>
      </c>
      <c r="B158">
        <v>1707.6325944694329</v>
      </c>
      <c r="C158">
        <v>11428.911498720028</v>
      </c>
      <c r="D158" s="23">
        <f t="shared" si="5"/>
        <v>114.28911498720028</v>
      </c>
    </row>
    <row r="159" spans="1:4">
      <c r="A159" s="22">
        <f t="shared" si="4"/>
        <v>171.85789572544934</v>
      </c>
      <c r="B159">
        <v>1718.5789572544934</v>
      </c>
      <c r="C159">
        <v>11360.701168340029</v>
      </c>
      <c r="D159" s="23">
        <f t="shared" si="5"/>
        <v>113.60701168340029</v>
      </c>
    </row>
    <row r="160" spans="1:4">
      <c r="A160" s="22">
        <f t="shared" si="4"/>
        <v>172.95253200395538</v>
      </c>
      <c r="B160">
        <v>1729.5253200395539</v>
      </c>
      <c r="C160">
        <v>11292.490837960029</v>
      </c>
      <c r="D160" s="23">
        <f t="shared" si="5"/>
        <v>112.9249083796003</v>
      </c>
    </row>
    <row r="161" spans="1:4">
      <c r="A161" s="22">
        <f t="shared" si="4"/>
        <v>174.04716828246143</v>
      </c>
      <c r="B161">
        <v>1740.4716828246144</v>
      </c>
      <c r="C161">
        <v>11224.28050758003</v>
      </c>
      <c r="D161" s="23">
        <f t="shared" si="5"/>
        <v>112.24280507580029</v>
      </c>
    </row>
    <row r="162" spans="1:4">
      <c r="A162" s="22">
        <f t="shared" si="4"/>
        <v>175.1418045609675</v>
      </c>
      <c r="B162">
        <v>1751.4180456096749</v>
      </c>
      <c r="C162">
        <v>11156.07017720003</v>
      </c>
      <c r="D162" s="23">
        <f t="shared" si="5"/>
        <v>111.5607017720003</v>
      </c>
    </row>
    <row r="163" spans="1:4">
      <c r="A163" s="22">
        <f t="shared" si="4"/>
        <v>176.23644083947354</v>
      </c>
      <c r="B163">
        <v>1762.3644083947354</v>
      </c>
      <c r="C163">
        <v>11087.859846820031</v>
      </c>
      <c r="D163" s="23">
        <f t="shared" si="5"/>
        <v>110.87859846820031</v>
      </c>
    </row>
    <row r="164" spans="1:4">
      <c r="A164" s="22">
        <f t="shared" si="4"/>
        <v>177.33107711797956</v>
      </c>
      <c r="B164">
        <v>1773.3107711797957</v>
      </c>
      <c r="C164">
        <v>11019.649516440031</v>
      </c>
      <c r="D164" s="23">
        <f t="shared" si="5"/>
        <v>110.19649516440032</v>
      </c>
    </row>
    <row r="165" spans="1:4">
      <c r="A165" s="22">
        <f t="shared" si="4"/>
        <v>178.42571339648561</v>
      </c>
      <c r="B165">
        <v>1784.2571339648562</v>
      </c>
      <c r="C165">
        <v>10951.439186060032</v>
      </c>
      <c r="D165" s="23">
        <f t="shared" si="5"/>
        <v>109.51439186060031</v>
      </c>
    </row>
    <row r="166" spans="1:4">
      <c r="A166" s="22">
        <f t="shared" si="4"/>
        <v>179.52034967499168</v>
      </c>
      <c r="B166">
        <v>1795.2034967499167</v>
      </c>
      <c r="C166">
        <v>10883.228855680032</v>
      </c>
      <c r="D166" s="23">
        <f t="shared" si="5"/>
        <v>108.83228855680032</v>
      </c>
    </row>
    <row r="167" spans="1:4">
      <c r="A167" s="22">
        <f t="shared" si="4"/>
        <v>180.61498595349772</v>
      </c>
      <c r="B167">
        <v>1806.1498595349772</v>
      </c>
      <c r="C167">
        <v>10815.018525300033</v>
      </c>
      <c r="D167" s="23">
        <f t="shared" si="5"/>
        <v>108.15018525300033</v>
      </c>
    </row>
    <row r="168" spans="1:4">
      <c r="A168" s="22">
        <f t="shared" si="4"/>
        <v>181.70962223200377</v>
      </c>
      <c r="B168">
        <v>1817.0962223200377</v>
      </c>
      <c r="C168">
        <v>10746.808194920033</v>
      </c>
      <c r="D168" s="23">
        <f t="shared" si="5"/>
        <v>107.46808194920033</v>
      </c>
    </row>
    <row r="169" spans="1:4">
      <c r="A169" s="22">
        <f t="shared" si="4"/>
        <v>182.80425851050981</v>
      </c>
      <c r="B169">
        <v>1828.0425851050982</v>
      </c>
      <c r="C169">
        <v>10678.597864540034</v>
      </c>
      <c r="D169" s="23">
        <f t="shared" si="5"/>
        <v>106.78597864540033</v>
      </c>
    </row>
    <row r="170" spans="1:4">
      <c r="A170" s="22">
        <f t="shared" si="4"/>
        <v>183.89889478901586</v>
      </c>
      <c r="B170">
        <v>1838.9889478901587</v>
      </c>
      <c r="C170">
        <v>10610.387534160034</v>
      </c>
      <c r="D170" s="23">
        <f t="shared" si="5"/>
        <v>106.10387534160034</v>
      </c>
    </row>
    <row r="171" spans="1:4">
      <c r="A171" s="22">
        <f t="shared" si="4"/>
        <v>184.9935310675219</v>
      </c>
      <c r="B171">
        <v>1849.9353106752189</v>
      </c>
      <c r="C171">
        <v>10542.177203780035</v>
      </c>
      <c r="D171" s="23">
        <f t="shared" si="5"/>
        <v>105.42177203780035</v>
      </c>
    </row>
    <row r="172" spans="1:4">
      <c r="A172" s="22">
        <f t="shared" si="4"/>
        <v>186.08816734602794</v>
      </c>
      <c r="B172">
        <v>1860.8816734602794</v>
      </c>
      <c r="C172">
        <v>10473.966873400035</v>
      </c>
      <c r="D172" s="23">
        <f t="shared" si="5"/>
        <v>104.73966873400035</v>
      </c>
    </row>
    <row r="173" spans="1:4">
      <c r="A173" s="22">
        <f t="shared" si="4"/>
        <v>187.18280362453399</v>
      </c>
      <c r="B173">
        <v>1871.8280362453399</v>
      </c>
      <c r="C173">
        <v>10405.756543020036</v>
      </c>
      <c r="D173" s="23">
        <f t="shared" si="5"/>
        <v>104.05756543020036</v>
      </c>
    </row>
    <row r="174" spans="1:4">
      <c r="A174" s="22">
        <f t="shared" si="4"/>
        <v>188.27743990304003</v>
      </c>
      <c r="B174">
        <v>1882.7743990304004</v>
      </c>
      <c r="C174">
        <v>10337.546212640036</v>
      </c>
      <c r="D174" s="23">
        <f t="shared" si="5"/>
        <v>103.37546212640036</v>
      </c>
    </row>
    <row r="175" spans="1:4">
      <c r="A175" s="22">
        <f t="shared" si="4"/>
        <v>189.37207618154611</v>
      </c>
      <c r="B175">
        <v>1893.7207618154609</v>
      </c>
      <c r="C175">
        <v>10269.335882260037</v>
      </c>
      <c r="D175" s="23">
        <f t="shared" si="5"/>
        <v>102.69335882260037</v>
      </c>
    </row>
    <row r="176" spans="1:4">
      <c r="A176" s="22">
        <f t="shared" si="4"/>
        <v>190.46671246005215</v>
      </c>
      <c r="B176">
        <v>1904.6671246005214</v>
      </c>
      <c r="C176">
        <v>10201.125551880037</v>
      </c>
      <c r="D176" s="23">
        <f t="shared" si="5"/>
        <v>102.01125551880037</v>
      </c>
    </row>
    <row r="177" spans="1:4">
      <c r="A177" s="22">
        <f t="shared" si="4"/>
        <v>191.56134873855819</v>
      </c>
      <c r="B177">
        <v>1915.6134873855819</v>
      </c>
      <c r="C177">
        <v>10132.915221500038</v>
      </c>
      <c r="D177" s="23">
        <f t="shared" si="5"/>
        <v>101.32915221500038</v>
      </c>
    </row>
    <row r="178" spans="1:4">
      <c r="A178" s="22">
        <f t="shared" si="4"/>
        <v>192.65598501706421</v>
      </c>
      <c r="B178">
        <v>1926.5598501706422</v>
      </c>
      <c r="C178">
        <v>10064.704891120038</v>
      </c>
      <c r="D178" s="23">
        <f t="shared" si="5"/>
        <v>100.64704891120039</v>
      </c>
    </row>
    <row r="179" spans="1:4">
      <c r="A179" s="22">
        <f t="shared" si="4"/>
        <v>193.75062129557028</v>
      </c>
      <c r="B179">
        <v>1937.5062129557027</v>
      </c>
      <c r="C179">
        <v>9996.4945607400387</v>
      </c>
      <c r="D179" s="23">
        <f t="shared" si="5"/>
        <v>99.964945607400381</v>
      </c>
    </row>
    <row r="180" spans="1:4">
      <c r="A180" s="22">
        <f t="shared" si="4"/>
        <v>194.84525757407633</v>
      </c>
      <c r="B180">
        <v>1948.4525757407632</v>
      </c>
      <c r="C180">
        <v>9928.2842303600391</v>
      </c>
      <c r="D180" s="23">
        <f t="shared" si="5"/>
        <v>99.28284230360039</v>
      </c>
    </row>
    <row r="181" spans="1:4">
      <c r="A181" s="22">
        <f t="shared" si="4"/>
        <v>195.93989385258237</v>
      </c>
      <c r="B181">
        <v>1959.3989385258237</v>
      </c>
      <c r="C181">
        <v>9860.0738999800396</v>
      </c>
      <c r="D181" s="23">
        <f t="shared" si="5"/>
        <v>98.600738999800399</v>
      </c>
    </row>
    <row r="182" spans="1:4">
      <c r="A182" s="22">
        <f t="shared" si="4"/>
        <v>197.03453013108842</v>
      </c>
      <c r="B182">
        <v>1970.3453013108842</v>
      </c>
      <c r="C182">
        <v>9791.8635696000401</v>
      </c>
      <c r="D182" s="23">
        <f t="shared" si="5"/>
        <v>97.918635696000408</v>
      </c>
    </row>
    <row r="183" spans="1:4">
      <c r="A183" s="22">
        <f t="shared" si="4"/>
        <v>198.12916640959446</v>
      </c>
      <c r="B183">
        <v>1981.2916640959447</v>
      </c>
      <c r="C183">
        <v>9723.6532392200406</v>
      </c>
      <c r="D183" s="23">
        <f t="shared" si="5"/>
        <v>97.236532392200402</v>
      </c>
    </row>
    <row r="184" spans="1:4">
      <c r="A184" s="22">
        <f t="shared" si="4"/>
        <v>199.22380268810053</v>
      </c>
      <c r="B184">
        <v>1992.2380268810052</v>
      </c>
      <c r="C184">
        <v>9655.4429088400411</v>
      </c>
      <c r="D184" s="23">
        <f t="shared" si="5"/>
        <v>96.554429088400411</v>
      </c>
    </row>
    <row r="185" spans="1:4">
      <c r="A185" s="22">
        <f t="shared" si="4"/>
        <v>200.31843896660655</v>
      </c>
      <c r="B185">
        <v>2003.1843896660655</v>
      </c>
      <c r="C185">
        <v>9587.2325784600416</v>
      </c>
      <c r="D185" s="23">
        <f t="shared" si="5"/>
        <v>95.87232578460042</v>
      </c>
    </row>
    <row r="186" spans="1:4">
      <c r="A186" s="22">
        <f t="shared" si="4"/>
        <v>201.41307524511259</v>
      </c>
      <c r="B186">
        <v>2014.130752451126</v>
      </c>
      <c r="C186">
        <v>9519.0222480800421</v>
      </c>
      <c r="D186" s="23">
        <f t="shared" si="5"/>
        <v>95.190222480800415</v>
      </c>
    </row>
    <row r="187" spans="1:4">
      <c r="A187" s="22">
        <f t="shared" si="4"/>
        <v>202.50771152361864</v>
      </c>
      <c r="B187">
        <v>2025.0771152361865</v>
      </c>
      <c r="C187">
        <v>9450.8119177000426</v>
      </c>
      <c r="D187" s="23">
        <f t="shared" si="5"/>
        <v>94.508119177000424</v>
      </c>
    </row>
    <row r="188" spans="1:4">
      <c r="A188" s="22">
        <f t="shared" si="4"/>
        <v>203.60234780212471</v>
      </c>
      <c r="B188">
        <v>2036.023478021247</v>
      </c>
      <c r="C188">
        <v>9382.6015873200431</v>
      </c>
      <c r="D188" s="23">
        <f t="shared" si="5"/>
        <v>93.826015873200433</v>
      </c>
    </row>
    <row r="189" spans="1:4">
      <c r="A189" s="22">
        <f t="shared" si="4"/>
        <v>204.69698408063076</v>
      </c>
      <c r="B189">
        <v>2046.9698408063075</v>
      </c>
      <c r="C189">
        <v>9314.3912569400436</v>
      </c>
      <c r="D189" s="23">
        <f t="shared" si="5"/>
        <v>93.143912569400442</v>
      </c>
    </row>
    <row r="190" spans="1:4">
      <c r="A190" s="22">
        <f t="shared" si="4"/>
        <v>205.79162035913677</v>
      </c>
      <c r="B190">
        <v>2057.9162035913678</v>
      </c>
      <c r="C190">
        <v>9246.1809265600441</v>
      </c>
      <c r="D190" s="23">
        <f t="shared" si="5"/>
        <v>92.461809265600436</v>
      </c>
    </row>
    <row r="191" spans="1:4">
      <c r="A191" s="22">
        <f t="shared" si="4"/>
        <v>206.88625663764282</v>
      </c>
      <c r="B191">
        <v>2068.8625663764283</v>
      </c>
      <c r="C191">
        <v>9177.9705961800446</v>
      </c>
      <c r="D191" s="23">
        <f t="shared" si="5"/>
        <v>91.779705961800445</v>
      </c>
    </row>
    <row r="192" spans="1:4">
      <c r="A192" s="22">
        <f t="shared" si="4"/>
        <v>207.98089291614889</v>
      </c>
      <c r="B192">
        <v>2079.8089291614888</v>
      </c>
      <c r="C192">
        <v>9109.7602658000451</v>
      </c>
      <c r="D192" s="23">
        <f t="shared" si="5"/>
        <v>91.097602658000454</v>
      </c>
    </row>
    <row r="193" spans="1:4">
      <c r="A193" s="22">
        <f t="shared" si="4"/>
        <v>209.07552919465493</v>
      </c>
      <c r="B193">
        <v>2090.7552919465493</v>
      </c>
      <c r="C193">
        <v>9041.5499354200456</v>
      </c>
      <c r="D193" s="23">
        <f t="shared" si="5"/>
        <v>90.415499354200449</v>
      </c>
    </row>
    <row r="194" spans="1:4">
      <c r="A194" s="22">
        <f t="shared" si="4"/>
        <v>210.17016547316098</v>
      </c>
      <c r="B194">
        <v>2101.7016547316098</v>
      </c>
      <c r="C194">
        <v>8973.3396050400461</v>
      </c>
      <c r="D194" s="23">
        <f t="shared" si="5"/>
        <v>89.733396050400458</v>
      </c>
    </row>
    <row r="195" spans="1:4">
      <c r="A195" s="22">
        <f t="shared" ref="A195:A258" si="6">$B195/10</f>
        <v>211.26480175166702</v>
      </c>
      <c r="B195">
        <v>2112.6480175166703</v>
      </c>
      <c r="C195">
        <v>8905.1292746600466</v>
      </c>
      <c r="D195" s="23">
        <f t="shared" ref="D195:D258" si="7">$C195/100</f>
        <v>89.051292746600467</v>
      </c>
    </row>
    <row r="196" spans="1:4">
      <c r="A196" s="22">
        <f t="shared" si="6"/>
        <v>212.35943803017307</v>
      </c>
      <c r="B196">
        <v>2123.5943803017308</v>
      </c>
      <c r="C196">
        <v>8836.9189442800471</v>
      </c>
      <c r="D196" s="23">
        <f t="shared" si="7"/>
        <v>88.369189442800476</v>
      </c>
    </row>
    <row r="197" spans="1:4">
      <c r="A197" s="22">
        <f t="shared" si="6"/>
        <v>213.45407430867914</v>
      </c>
      <c r="B197">
        <v>2134.5407430867913</v>
      </c>
      <c r="C197">
        <v>8768.7086139000476</v>
      </c>
      <c r="D197" s="23">
        <f t="shared" si="7"/>
        <v>87.687086139000471</v>
      </c>
    </row>
    <row r="198" spans="1:4">
      <c r="A198" s="22">
        <f t="shared" si="6"/>
        <v>214.54871058718518</v>
      </c>
      <c r="B198">
        <v>2145.4871058718518</v>
      </c>
      <c r="C198">
        <v>8700.4982835200481</v>
      </c>
      <c r="D198" s="23">
        <f t="shared" si="7"/>
        <v>87.004982835200479</v>
      </c>
    </row>
    <row r="199" spans="1:4">
      <c r="A199" s="22">
        <f t="shared" si="6"/>
        <v>215.64334686569123</v>
      </c>
      <c r="B199">
        <v>2156.4334686569123</v>
      </c>
      <c r="C199">
        <v>8632.2879531400486</v>
      </c>
      <c r="D199" s="23">
        <f t="shared" si="7"/>
        <v>86.322879531400488</v>
      </c>
    </row>
    <row r="200" spans="1:4">
      <c r="A200" s="22">
        <f t="shared" si="6"/>
        <v>216.73798314419727</v>
      </c>
      <c r="B200">
        <v>2167.3798314419728</v>
      </c>
      <c r="C200">
        <v>8564.0776227600491</v>
      </c>
      <c r="D200" s="23">
        <f t="shared" si="7"/>
        <v>85.640776227600497</v>
      </c>
    </row>
    <row r="201" spans="1:4">
      <c r="A201" s="22">
        <f t="shared" si="6"/>
        <v>217.83261942270332</v>
      </c>
      <c r="B201">
        <v>2178.3261942270333</v>
      </c>
      <c r="C201">
        <v>8495.8672923800495</v>
      </c>
      <c r="D201" s="23">
        <f t="shared" si="7"/>
        <v>84.958672923800492</v>
      </c>
    </row>
    <row r="202" spans="1:4">
      <c r="A202" s="22">
        <f t="shared" si="6"/>
        <v>218.92725570120933</v>
      </c>
      <c r="B202">
        <v>2189.2725570120933</v>
      </c>
      <c r="C202">
        <v>8427.65696200005</v>
      </c>
      <c r="D202" s="23">
        <f t="shared" si="7"/>
        <v>84.276569620000501</v>
      </c>
    </row>
    <row r="203" spans="1:4">
      <c r="A203" s="22">
        <f t="shared" si="6"/>
        <v>220.02189197971538</v>
      </c>
      <c r="B203">
        <v>2200.2189197971538</v>
      </c>
      <c r="C203">
        <v>8359.4466316200505</v>
      </c>
      <c r="D203" s="23">
        <f t="shared" si="7"/>
        <v>83.59446631620051</v>
      </c>
    </row>
    <row r="204" spans="1:4">
      <c r="A204" s="22">
        <f t="shared" si="6"/>
        <v>221.11652825822142</v>
      </c>
      <c r="B204">
        <v>2211.1652825822143</v>
      </c>
      <c r="C204">
        <v>8291.236301240051</v>
      </c>
      <c r="D204" s="23">
        <f t="shared" si="7"/>
        <v>82.912363012400505</v>
      </c>
    </row>
    <row r="205" spans="1:4">
      <c r="A205" s="22">
        <f t="shared" si="6"/>
        <v>222.21116453672749</v>
      </c>
      <c r="B205">
        <v>2222.1116453672748</v>
      </c>
      <c r="C205">
        <v>8223.0259708600515</v>
      </c>
      <c r="D205" s="23">
        <f t="shared" si="7"/>
        <v>82.230259708600514</v>
      </c>
    </row>
    <row r="206" spans="1:4">
      <c r="A206" s="22">
        <f t="shared" si="6"/>
        <v>223.30580081523354</v>
      </c>
      <c r="B206">
        <v>2233.0580081523353</v>
      </c>
      <c r="C206">
        <v>8154.8156404800511</v>
      </c>
      <c r="D206" s="23">
        <f t="shared" si="7"/>
        <v>81.548156404800508</v>
      </c>
    </row>
    <row r="207" spans="1:4">
      <c r="A207" s="22">
        <f t="shared" si="6"/>
        <v>224.40043709373958</v>
      </c>
      <c r="B207">
        <v>2244.0043709373958</v>
      </c>
      <c r="C207">
        <v>8086.6053101000507</v>
      </c>
      <c r="D207" s="23">
        <f t="shared" si="7"/>
        <v>80.866053101000503</v>
      </c>
    </row>
    <row r="208" spans="1:4">
      <c r="A208" s="22">
        <f t="shared" si="6"/>
        <v>225.49507337224563</v>
      </c>
      <c r="B208">
        <v>2254.9507337224563</v>
      </c>
      <c r="C208">
        <v>8018.3949797200503</v>
      </c>
      <c r="D208" s="23">
        <f t="shared" si="7"/>
        <v>80.183949797200498</v>
      </c>
    </row>
    <row r="209" spans="1:4">
      <c r="A209" s="22">
        <f t="shared" si="6"/>
        <v>226.58970965075167</v>
      </c>
      <c r="B209">
        <v>2265.8970965075168</v>
      </c>
      <c r="C209">
        <v>7950.1846493400499</v>
      </c>
      <c r="D209" s="23">
        <f t="shared" si="7"/>
        <v>79.501846493400492</v>
      </c>
    </row>
    <row r="210" spans="1:4">
      <c r="A210" s="22">
        <f t="shared" si="6"/>
        <v>227.68434592925774</v>
      </c>
      <c r="B210">
        <v>2276.8434592925773</v>
      </c>
      <c r="C210">
        <v>7881.9743189600495</v>
      </c>
      <c r="D210" s="23">
        <f t="shared" si="7"/>
        <v>78.819743189600501</v>
      </c>
    </row>
    <row r="211" spans="1:4">
      <c r="A211" s="22">
        <f t="shared" si="6"/>
        <v>228.77898220776379</v>
      </c>
      <c r="B211">
        <v>2287.7898220776378</v>
      </c>
      <c r="C211">
        <v>7813.763988580049</v>
      </c>
      <c r="D211" s="23">
        <f t="shared" si="7"/>
        <v>78.137639885800496</v>
      </c>
    </row>
    <row r="212" spans="1:4">
      <c r="A212" s="22">
        <f t="shared" si="6"/>
        <v>229.87361848626983</v>
      </c>
      <c r="B212">
        <v>2298.7361848626983</v>
      </c>
      <c r="C212">
        <v>7745.5536582000486</v>
      </c>
      <c r="D212" s="23">
        <f t="shared" si="7"/>
        <v>77.455536582000491</v>
      </c>
    </row>
    <row r="213" spans="1:4">
      <c r="A213" s="22">
        <f t="shared" si="6"/>
        <v>230.96825476477588</v>
      </c>
      <c r="B213">
        <v>2309.6825476477588</v>
      </c>
      <c r="C213">
        <v>7677.3433278200482</v>
      </c>
      <c r="D213" s="23">
        <f t="shared" si="7"/>
        <v>76.773433278200486</v>
      </c>
    </row>
    <row r="214" spans="1:4">
      <c r="A214" s="22">
        <f t="shared" si="6"/>
        <v>232.06289104328192</v>
      </c>
      <c r="B214">
        <v>2320.6289104328193</v>
      </c>
      <c r="C214">
        <v>7609.1329974400478</v>
      </c>
      <c r="D214" s="23">
        <f t="shared" si="7"/>
        <v>76.09132997440048</v>
      </c>
    </row>
    <row r="215" spans="1:4">
      <c r="A215" s="22">
        <f t="shared" si="6"/>
        <v>233.157527321788</v>
      </c>
      <c r="B215">
        <v>2331.5752732178798</v>
      </c>
      <c r="C215">
        <v>7540.9226670600474</v>
      </c>
      <c r="D215" s="23">
        <f t="shared" si="7"/>
        <v>75.409226670600475</v>
      </c>
    </row>
    <row r="216" spans="1:4">
      <c r="A216" s="22">
        <f t="shared" si="6"/>
        <v>234.25216360029398</v>
      </c>
      <c r="B216">
        <v>2342.5216360029399</v>
      </c>
      <c r="C216">
        <v>7472.712336680047</v>
      </c>
      <c r="D216" s="23">
        <f t="shared" si="7"/>
        <v>74.72712336680047</v>
      </c>
    </row>
    <row r="217" spans="1:4">
      <c r="A217" s="22">
        <f t="shared" si="6"/>
        <v>235.34679987880003</v>
      </c>
      <c r="B217">
        <v>2353.4679987880004</v>
      </c>
      <c r="C217">
        <v>7404.5020063000466</v>
      </c>
      <c r="D217" s="23">
        <f t="shared" si="7"/>
        <v>74.045020063000464</v>
      </c>
    </row>
    <row r="218" spans="1:4">
      <c r="A218" s="22">
        <f t="shared" si="6"/>
        <v>236.4414361573061</v>
      </c>
      <c r="B218">
        <v>2364.4143615730609</v>
      </c>
      <c r="C218">
        <v>7336.2916759200461</v>
      </c>
      <c r="D218" s="23">
        <f t="shared" si="7"/>
        <v>73.362916759200459</v>
      </c>
    </row>
    <row r="219" spans="1:4">
      <c r="A219" s="22">
        <f t="shared" si="6"/>
        <v>237.53607243581214</v>
      </c>
      <c r="B219">
        <v>2375.3607243581214</v>
      </c>
      <c r="C219">
        <v>7268.0813455400457</v>
      </c>
      <c r="D219" s="23">
        <f t="shared" si="7"/>
        <v>72.680813455400454</v>
      </c>
    </row>
    <row r="220" spans="1:4">
      <c r="A220" s="22">
        <f t="shared" si="6"/>
        <v>238.63070871431819</v>
      </c>
      <c r="B220">
        <v>2386.3070871431819</v>
      </c>
      <c r="C220">
        <v>7199.8710151600453</v>
      </c>
      <c r="D220" s="23">
        <f t="shared" si="7"/>
        <v>71.998710151600449</v>
      </c>
    </row>
    <row r="221" spans="1:4">
      <c r="A221" s="22">
        <f t="shared" si="6"/>
        <v>239.72534499282423</v>
      </c>
      <c r="B221">
        <v>2397.2534499282424</v>
      </c>
      <c r="C221">
        <v>7131.6606847800449</v>
      </c>
      <c r="D221" s="23">
        <f t="shared" si="7"/>
        <v>71.316606847800443</v>
      </c>
    </row>
    <row r="222" spans="1:4">
      <c r="A222" s="22">
        <f t="shared" si="6"/>
        <v>240.81998127133028</v>
      </c>
      <c r="B222">
        <v>2408.1998127133029</v>
      </c>
      <c r="C222">
        <v>7063.4503544000445</v>
      </c>
      <c r="D222" s="23">
        <f t="shared" si="7"/>
        <v>70.634503544000438</v>
      </c>
    </row>
    <row r="223" spans="1:4">
      <c r="A223" s="22">
        <f t="shared" si="6"/>
        <v>241.91461754983635</v>
      </c>
      <c r="B223">
        <v>2419.1461754983634</v>
      </c>
      <c r="C223">
        <v>6995.2400240200441</v>
      </c>
      <c r="D223" s="23">
        <f t="shared" si="7"/>
        <v>69.952400240200447</v>
      </c>
    </row>
    <row r="224" spans="1:4">
      <c r="A224" s="22">
        <f t="shared" si="6"/>
        <v>243.00925382834239</v>
      </c>
      <c r="B224">
        <v>2430.0925382834239</v>
      </c>
      <c r="C224">
        <v>6927.0296936400437</v>
      </c>
      <c r="D224" s="23">
        <f t="shared" si="7"/>
        <v>69.270296936400442</v>
      </c>
    </row>
    <row r="225" spans="1:4">
      <c r="A225" s="22">
        <f t="shared" si="6"/>
        <v>244.10389010684844</v>
      </c>
      <c r="B225">
        <v>2441.0389010684844</v>
      </c>
      <c r="C225">
        <v>6858.8193632600432</v>
      </c>
      <c r="D225" s="23">
        <f t="shared" si="7"/>
        <v>68.588193632600436</v>
      </c>
    </row>
    <row r="226" spans="1:4">
      <c r="A226" s="22">
        <f t="shared" si="6"/>
        <v>245.19852638535448</v>
      </c>
      <c r="B226">
        <v>2451.9852638535449</v>
      </c>
      <c r="C226">
        <v>6790.6090328800428</v>
      </c>
      <c r="D226" s="23">
        <f t="shared" si="7"/>
        <v>67.906090328800431</v>
      </c>
    </row>
    <row r="227" spans="1:4">
      <c r="A227" s="22">
        <f t="shared" si="6"/>
        <v>246.29316266386053</v>
      </c>
      <c r="B227">
        <v>2462.9316266386054</v>
      </c>
      <c r="C227">
        <v>6722.3987025000424</v>
      </c>
      <c r="D227" s="23">
        <f t="shared" si="7"/>
        <v>67.223987025000426</v>
      </c>
    </row>
    <row r="228" spans="1:4">
      <c r="A228" s="22">
        <f t="shared" si="6"/>
        <v>247.3877989423666</v>
      </c>
      <c r="B228">
        <v>2473.8779894236659</v>
      </c>
      <c r="C228">
        <v>6654.188372120042</v>
      </c>
      <c r="D228" s="23">
        <f t="shared" si="7"/>
        <v>66.541883721200421</v>
      </c>
    </row>
    <row r="229" spans="1:4">
      <c r="A229" s="22">
        <f t="shared" si="6"/>
        <v>248.48243522087265</v>
      </c>
      <c r="B229">
        <v>2484.8243522087264</v>
      </c>
      <c r="C229">
        <v>6585.9780417400416</v>
      </c>
      <c r="D229" s="23">
        <f t="shared" si="7"/>
        <v>65.859780417400415</v>
      </c>
    </row>
    <row r="230" spans="1:4">
      <c r="A230" s="22">
        <f t="shared" si="6"/>
        <v>249.57707149937863</v>
      </c>
      <c r="B230">
        <v>2495.7707149937864</v>
      </c>
      <c r="C230">
        <v>6517.7677113600412</v>
      </c>
      <c r="D230" s="23">
        <f t="shared" si="7"/>
        <v>65.17767711360041</v>
      </c>
    </row>
    <row r="231" spans="1:4">
      <c r="A231" s="22">
        <f t="shared" si="6"/>
        <v>250.67170777788471</v>
      </c>
      <c r="B231">
        <v>2506.7170777788469</v>
      </c>
      <c r="C231">
        <v>6449.5573809800408</v>
      </c>
      <c r="D231" s="23">
        <f t="shared" si="7"/>
        <v>64.495573809800405</v>
      </c>
    </row>
    <row r="232" spans="1:4">
      <c r="A232" s="22">
        <f t="shared" si="6"/>
        <v>251.76634405639075</v>
      </c>
      <c r="B232">
        <v>2517.6634405639074</v>
      </c>
      <c r="C232">
        <v>6381.3470506000403</v>
      </c>
      <c r="D232" s="23">
        <f t="shared" si="7"/>
        <v>63.813470506000407</v>
      </c>
    </row>
    <row r="233" spans="1:4">
      <c r="A233" s="22">
        <f t="shared" si="6"/>
        <v>252.86098033489679</v>
      </c>
      <c r="B233">
        <v>2528.6098033489679</v>
      </c>
      <c r="C233">
        <v>6313.1367202200399</v>
      </c>
      <c r="D233" s="23">
        <f t="shared" si="7"/>
        <v>63.131367202200401</v>
      </c>
    </row>
    <row r="234" spans="1:4">
      <c r="A234" s="22">
        <f t="shared" si="6"/>
        <v>253.95561661340284</v>
      </c>
      <c r="B234">
        <v>2539.5561661340284</v>
      </c>
      <c r="C234">
        <v>6244.9263898400395</v>
      </c>
      <c r="D234" s="23">
        <f t="shared" si="7"/>
        <v>62.449263898400396</v>
      </c>
    </row>
    <row r="235" spans="1:4">
      <c r="A235" s="22">
        <f t="shared" si="6"/>
        <v>255.05025289190888</v>
      </c>
      <c r="B235">
        <v>2550.5025289190889</v>
      </c>
      <c r="C235">
        <v>6176.7160594600391</v>
      </c>
      <c r="D235" s="23">
        <f t="shared" si="7"/>
        <v>61.767160594600391</v>
      </c>
    </row>
    <row r="236" spans="1:4">
      <c r="A236" s="22">
        <f t="shared" si="6"/>
        <v>256.14488917041496</v>
      </c>
      <c r="B236">
        <v>2561.4488917041494</v>
      </c>
      <c r="C236">
        <v>6108.5057290800387</v>
      </c>
      <c r="D236" s="23">
        <f t="shared" si="7"/>
        <v>61.085057290800385</v>
      </c>
    </row>
    <row r="237" spans="1:4">
      <c r="A237" s="22">
        <f t="shared" si="6"/>
        <v>257.23952544892097</v>
      </c>
      <c r="B237">
        <v>2572.3952544892099</v>
      </c>
      <c r="C237">
        <v>6040.2953987000383</v>
      </c>
      <c r="D237" s="23">
        <f t="shared" si="7"/>
        <v>60.40295398700038</v>
      </c>
    </row>
    <row r="238" spans="1:4">
      <c r="A238" s="22">
        <f t="shared" si="6"/>
        <v>258.33416172742704</v>
      </c>
      <c r="B238">
        <v>2583.3416172742704</v>
      </c>
      <c r="C238">
        <v>5972.0850683200379</v>
      </c>
      <c r="D238" s="23">
        <f t="shared" si="7"/>
        <v>59.720850683200382</v>
      </c>
    </row>
    <row r="239" spans="1:4">
      <c r="A239" s="22">
        <f t="shared" si="6"/>
        <v>259.42879800593312</v>
      </c>
      <c r="B239">
        <v>2594.2879800593309</v>
      </c>
      <c r="C239">
        <v>5903.8747379400374</v>
      </c>
      <c r="D239" s="23">
        <f t="shared" si="7"/>
        <v>59.038747379400377</v>
      </c>
    </row>
    <row r="240" spans="1:4">
      <c r="A240" s="22">
        <f t="shared" si="6"/>
        <v>260.52343428443913</v>
      </c>
      <c r="B240">
        <v>2605.2343428443914</v>
      </c>
      <c r="C240">
        <v>5835.664407560037</v>
      </c>
      <c r="D240" s="23">
        <f t="shared" si="7"/>
        <v>58.356644075600371</v>
      </c>
    </row>
    <row r="241" spans="1:4">
      <c r="A241" s="22">
        <f t="shared" si="6"/>
        <v>261.61807056294521</v>
      </c>
      <c r="B241">
        <v>2616.1807056294519</v>
      </c>
      <c r="C241">
        <v>5767.4540771800366</v>
      </c>
      <c r="D241" s="23">
        <f t="shared" si="7"/>
        <v>57.674540771800366</v>
      </c>
    </row>
    <row r="242" spans="1:4">
      <c r="A242" s="22">
        <f t="shared" si="6"/>
        <v>262.71270684145122</v>
      </c>
      <c r="B242">
        <v>2627.1270684145125</v>
      </c>
      <c r="C242">
        <v>5699.2437468000362</v>
      </c>
      <c r="D242" s="23">
        <f t="shared" si="7"/>
        <v>56.992437468000361</v>
      </c>
    </row>
    <row r="243" spans="1:4">
      <c r="A243" s="22">
        <f t="shared" si="6"/>
        <v>263.8073431199573</v>
      </c>
      <c r="B243">
        <v>2638.073431199573</v>
      </c>
      <c r="C243">
        <v>5631.0334164200358</v>
      </c>
      <c r="D243" s="23">
        <f t="shared" si="7"/>
        <v>56.310334164200356</v>
      </c>
    </row>
    <row r="244" spans="1:4">
      <c r="A244" s="22">
        <f t="shared" si="6"/>
        <v>264.90197939846331</v>
      </c>
      <c r="B244">
        <v>2649.019793984633</v>
      </c>
      <c r="C244">
        <v>5562.8230860400354</v>
      </c>
      <c r="D244" s="23">
        <f t="shared" si="7"/>
        <v>55.62823086040035</v>
      </c>
    </row>
    <row r="245" spans="1:4">
      <c r="A245" s="22">
        <f t="shared" si="6"/>
        <v>265.99661567696933</v>
      </c>
      <c r="B245">
        <v>2659.9661567696935</v>
      </c>
      <c r="C245">
        <v>5494.612755660035</v>
      </c>
      <c r="D245" s="23">
        <f t="shared" si="7"/>
        <v>54.946127556600352</v>
      </c>
    </row>
    <row r="246" spans="1:4">
      <c r="A246" s="22">
        <f t="shared" si="6"/>
        <v>267.0912519554754</v>
      </c>
      <c r="B246">
        <v>2670.912519554754</v>
      </c>
      <c r="C246">
        <v>5426.4024252800345</v>
      </c>
      <c r="D246" s="23">
        <f t="shared" si="7"/>
        <v>54.264024252800347</v>
      </c>
    </row>
    <row r="247" spans="1:4">
      <c r="A247" s="22">
        <f t="shared" si="6"/>
        <v>268.18588823398147</v>
      </c>
      <c r="B247">
        <v>2681.8588823398145</v>
      </c>
      <c r="C247">
        <v>5358.1920949000341</v>
      </c>
      <c r="D247" s="23">
        <f t="shared" si="7"/>
        <v>53.581920949000342</v>
      </c>
    </row>
    <row r="248" spans="1:4">
      <c r="A248" s="22">
        <f t="shared" si="6"/>
        <v>269.28052451248749</v>
      </c>
      <c r="B248">
        <v>2692.805245124875</v>
      </c>
      <c r="C248">
        <v>5289.9817645200337</v>
      </c>
      <c r="D248" s="23">
        <f t="shared" si="7"/>
        <v>52.899817645200336</v>
      </c>
    </row>
    <row r="249" spans="1:4">
      <c r="A249" s="22">
        <f t="shared" si="6"/>
        <v>270.37516079099356</v>
      </c>
      <c r="B249">
        <v>2703.7516079099355</v>
      </c>
      <c r="C249">
        <v>5221.7714341400333</v>
      </c>
      <c r="D249" s="23">
        <f t="shared" si="7"/>
        <v>52.217714341400331</v>
      </c>
    </row>
    <row r="250" spans="1:4">
      <c r="A250" s="22">
        <f t="shared" si="6"/>
        <v>271.46979706949958</v>
      </c>
      <c r="B250">
        <v>2714.697970694996</v>
      </c>
      <c r="C250">
        <v>5153.5611037600329</v>
      </c>
      <c r="D250" s="23">
        <f t="shared" si="7"/>
        <v>51.535611037600326</v>
      </c>
    </row>
    <row r="251" spans="1:4">
      <c r="A251" s="22">
        <f t="shared" si="6"/>
        <v>272.56443334800565</v>
      </c>
      <c r="B251">
        <v>2725.6443334800565</v>
      </c>
      <c r="C251">
        <v>5085.3507733800325</v>
      </c>
      <c r="D251" s="23">
        <f t="shared" si="7"/>
        <v>50.853507733800328</v>
      </c>
    </row>
    <row r="252" spans="1:4">
      <c r="A252" s="22">
        <f t="shared" si="6"/>
        <v>273.65906962651172</v>
      </c>
      <c r="B252">
        <v>2736.590696265117</v>
      </c>
      <c r="C252">
        <v>5017.1404430000321</v>
      </c>
      <c r="D252" s="23">
        <f t="shared" si="7"/>
        <v>50.171404430000322</v>
      </c>
    </row>
    <row r="253" spans="1:4">
      <c r="A253" s="22">
        <f t="shared" si="6"/>
        <v>274.75370590501774</v>
      </c>
      <c r="B253">
        <v>2747.5370590501775</v>
      </c>
      <c r="C253">
        <v>4948.9301126200317</v>
      </c>
      <c r="D253" s="23">
        <f t="shared" si="7"/>
        <v>49.489301126200317</v>
      </c>
    </row>
    <row r="254" spans="1:4">
      <c r="A254" s="22">
        <f t="shared" si="6"/>
        <v>275.84834218352381</v>
      </c>
      <c r="B254">
        <v>2758.483421835238</v>
      </c>
      <c r="C254">
        <v>4880.7197822400312</v>
      </c>
      <c r="D254" s="23">
        <f t="shared" si="7"/>
        <v>48.807197822400312</v>
      </c>
    </row>
    <row r="255" spans="1:4">
      <c r="A255" s="22">
        <f t="shared" si="6"/>
        <v>276.94297846202983</v>
      </c>
      <c r="B255">
        <v>2769.4297846202985</v>
      </c>
      <c r="C255">
        <v>4812.5094518600308</v>
      </c>
      <c r="D255" s="23">
        <f t="shared" si="7"/>
        <v>48.125094518600307</v>
      </c>
    </row>
    <row r="256" spans="1:4">
      <c r="A256" s="22">
        <f t="shared" si="6"/>
        <v>278.0376147405359</v>
      </c>
      <c r="B256">
        <v>2780.376147405359</v>
      </c>
      <c r="C256">
        <v>4744.2991214800304</v>
      </c>
      <c r="D256" s="23">
        <f t="shared" si="7"/>
        <v>47.442991214800301</v>
      </c>
    </row>
    <row r="257" spans="1:4">
      <c r="A257" s="22">
        <f t="shared" si="6"/>
        <v>279.13225101904192</v>
      </c>
      <c r="B257">
        <v>2791.3225101904191</v>
      </c>
      <c r="C257">
        <v>4676.08879110003</v>
      </c>
      <c r="D257" s="23">
        <f t="shared" si="7"/>
        <v>46.760887911000303</v>
      </c>
    </row>
    <row r="258" spans="1:4">
      <c r="A258" s="22">
        <f t="shared" si="6"/>
        <v>280.22688729754793</v>
      </c>
      <c r="B258">
        <v>2802.2688729754796</v>
      </c>
      <c r="C258">
        <v>4607.8784607200296</v>
      </c>
      <c r="D258" s="23">
        <f t="shared" si="7"/>
        <v>46.078784607200298</v>
      </c>
    </row>
    <row r="259" spans="1:4">
      <c r="A259" s="22">
        <f t="shared" ref="A259:A322" si="8">$B259/10</f>
        <v>281.32152357605401</v>
      </c>
      <c r="B259">
        <v>2813.2152357605401</v>
      </c>
      <c r="C259">
        <v>4539.6681303400292</v>
      </c>
      <c r="D259" s="23">
        <f t="shared" ref="D259:D322" si="9">$C259/100</f>
        <v>45.396681303400293</v>
      </c>
    </row>
    <row r="260" spans="1:4">
      <c r="A260" s="22">
        <f t="shared" si="8"/>
        <v>282.41615985456008</v>
      </c>
      <c r="B260">
        <v>2824.1615985456006</v>
      </c>
      <c r="C260">
        <v>4471.4577999600288</v>
      </c>
      <c r="D260" s="23">
        <f t="shared" si="9"/>
        <v>44.714577999600287</v>
      </c>
    </row>
    <row r="261" spans="1:4">
      <c r="A261" s="22">
        <f t="shared" si="8"/>
        <v>283.51079613306609</v>
      </c>
      <c r="B261">
        <v>2835.1079613306611</v>
      </c>
      <c r="C261">
        <v>4403.2474695800283</v>
      </c>
      <c r="D261" s="23">
        <f t="shared" si="9"/>
        <v>44.032474695800282</v>
      </c>
    </row>
    <row r="262" spans="1:4">
      <c r="A262" s="22">
        <f t="shared" si="8"/>
        <v>284.60543241157217</v>
      </c>
      <c r="B262">
        <v>2846.0543241157216</v>
      </c>
      <c r="C262">
        <v>4335.0371392000279</v>
      </c>
      <c r="D262" s="23">
        <f t="shared" si="9"/>
        <v>43.350371392000277</v>
      </c>
    </row>
    <row r="263" spans="1:4">
      <c r="A263" s="22">
        <f t="shared" si="8"/>
        <v>285.70006869007818</v>
      </c>
      <c r="B263">
        <v>2857.0006869007821</v>
      </c>
      <c r="C263">
        <v>4266.8268088200275</v>
      </c>
      <c r="D263" s="23">
        <f t="shared" si="9"/>
        <v>42.668268088200278</v>
      </c>
    </row>
    <row r="264" spans="1:4">
      <c r="A264" s="22">
        <f t="shared" si="8"/>
        <v>286.79470496858426</v>
      </c>
      <c r="B264">
        <v>2867.9470496858426</v>
      </c>
      <c r="C264">
        <v>4198.6164784400271</v>
      </c>
      <c r="D264" s="23">
        <f t="shared" si="9"/>
        <v>41.986164784400273</v>
      </c>
    </row>
    <row r="265" spans="1:4">
      <c r="A265" s="22">
        <f t="shared" si="8"/>
        <v>287.88934124709033</v>
      </c>
      <c r="B265">
        <v>2878.8934124709031</v>
      </c>
      <c r="C265">
        <v>4130.4061480600267</v>
      </c>
      <c r="D265" s="23">
        <f t="shared" si="9"/>
        <v>41.304061480600268</v>
      </c>
    </row>
    <row r="266" spans="1:4">
      <c r="A266" s="22">
        <f t="shared" si="8"/>
        <v>288.98397752559634</v>
      </c>
      <c r="B266">
        <v>2889.8397752559636</v>
      </c>
      <c r="C266">
        <v>4062.1958176800267</v>
      </c>
      <c r="D266" s="23">
        <f t="shared" si="9"/>
        <v>40.62195817680027</v>
      </c>
    </row>
    <row r="267" spans="1:4">
      <c r="A267" s="22">
        <f t="shared" si="8"/>
        <v>290.07861380410242</v>
      </c>
      <c r="B267">
        <v>2900.7861380410241</v>
      </c>
      <c r="C267">
        <v>3993.9854873000268</v>
      </c>
      <c r="D267" s="23">
        <f t="shared" si="9"/>
        <v>39.939854873000264</v>
      </c>
    </row>
    <row r="268" spans="1:4">
      <c r="A268" s="22">
        <f t="shared" si="8"/>
        <v>291.17325008260843</v>
      </c>
      <c r="B268">
        <v>2911.7325008260846</v>
      </c>
      <c r="C268">
        <v>3925.7751569200268</v>
      </c>
      <c r="D268" s="23">
        <f t="shared" si="9"/>
        <v>39.257751569200266</v>
      </c>
    </row>
    <row r="269" spans="1:4">
      <c r="A269" s="22">
        <f t="shared" si="8"/>
        <v>292.26788636111451</v>
      </c>
      <c r="B269">
        <v>2922.6788636111451</v>
      </c>
      <c r="C269">
        <v>3857.5648265400268</v>
      </c>
      <c r="D269" s="23">
        <f t="shared" si="9"/>
        <v>38.575648265400268</v>
      </c>
    </row>
    <row r="270" spans="1:4">
      <c r="A270" s="22">
        <f t="shared" si="8"/>
        <v>293.36252263962058</v>
      </c>
      <c r="B270">
        <v>2933.6252263962056</v>
      </c>
      <c r="C270">
        <v>3789.3544961600269</v>
      </c>
      <c r="D270" s="23">
        <f t="shared" si="9"/>
        <v>37.89354496160027</v>
      </c>
    </row>
    <row r="271" spans="1:4">
      <c r="A271" s="22">
        <f t="shared" si="8"/>
        <v>294.45715891812654</v>
      </c>
      <c r="B271">
        <v>2944.5715891812656</v>
      </c>
      <c r="C271">
        <v>3721.1441657800269</v>
      </c>
      <c r="D271" s="23">
        <f t="shared" si="9"/>
        <v>37.211441657800272</v>
      </c>
    </row>
    <row r="272" spans="1:4">
      <c r="A272" s="22">
        <f t="shared" si="8"/>
        <v>295.55179519663261</v>
      </c>
      <c r="B272">
        <v>2955.5179519663261</v>
      </c>
      <c r="C272">
        <v>3652.933835400027</v>
      </c>
      <c r="D272" s="23">
        <f t="shared" si="9"/>
        <v>36.529338354000267</v>
      </c>
    </row>
    <row r="273" spans="1:4">
      <c r="A273" s="22">
        <f t="shared" si="8"/>
        <v>296.64643147513868</v>
      </c>
      <c r="B273">
        <v>2966.4643147513866</v>
      </c>
      <c r="C273">
        <v>3584.723505020027</v>
      </c>
      <c r="D273" s="23">
        <f t="shared" si="9"/>
        <v>35.847235050200268</v>
      </c>
    </row>
    <row r="274" spans="1:4">
      <c r="A274" s="22">
        <f t="shared" si="8"/>
        <v>297.7410677536447</v>
      </c>
      <c r="B274">
        <v>2977.4106775364471</v>
      </c>
      <c r="C274">
        <v>3516.513174640027</v>
      </c>
      <c r="D274" s="23">
        <f t="shared" si="9"/>
        <v>35.16513174640027</v>
      </c>
    </row>
    <row r="275" spans="1:4">
      <c r="A275" s="22">
        <f t="shared" si="8"/>
        <v>298.83570403215077</v>
      </c>
      <c r="B275">
        <v>2988.3570403215076</v>
      </c>
      <c r="C275">
        <v>3448.3028442600271</v>
      </c>
      <c r="D275" s="23">
        <f t="shared" si="9"/>
        <v>34.483028442600272</v>
      </c>
    </row>
    <row r="276" spans="1:4">
      <c r="A276" s="22">
        <f t="shared" si="8"/>
        <v>299.93034031065679</v>
      </c>
      <c r="B276">
        <v>2999.3034031065681</v>
      </c>
      <c r="C276">
        <v>3380.0925138800271</v>
      </c>
      <c r="D276" s="23">
        <f t="shared" si="9"/>
        <v>33.800925138800274</v>
      </c>
    </row>
    <row r="277" spans="1:4">
      <c r="A277" s="22">
        <f t="shared" si="8"/>
        <v>301.02497658916286</v>
      </c>
      <c r="B277">
        <v>3010.2497658916286</v>
      </c>
      <c r="C277">
        <v>3311.8821835000272</v>
      </c>
      <c r="D277" s="23">
        <f t="shared" si="9"/>
        <v>33.118821835000269</v>
      </c>
    </row>
    <row r="278" spans="1:4">
      <c r="A278" s="22">
        <f t="shared" si="8"/>
        <v>302.11961286766893</v>
      </c>
      <c r="B278">
        <v>3021.1961286766891</v>
      </c>
      <c r="C278">
        <v>3243.6718531200272</v>
      </c>
      <c r="D278" s="23">
        <f t="shared" si="9"/>
        <v>32.43671853120027</v>
      </c>
    </row>
    <row r="279" spans="1:4">
      <c r="A279" s="22">
        <f t="shared" si="8"/>
        <v>303.21424914617495</v>
      </c>
      <c r="B279">
        <v>3032.1424914617496</v>
      </c>
      <c r="C279">
        <v>3175.4615227400272</v>
      </c>
      <c r="D279" s="23">
        <f t="shared" si="9"/>
        <v>31.754615227400272</v>
      </c>
    </row>
    <row r="280" spans="1:4">
      <c r="A280" s="22">
        <f t="shared" si="8"/>
        <v>304.30888542468102</v>
      </c>
      <c r="B280">
        <v>3043.0888542468101</v>
      </c>
      <c r="C280">
        <v>3107.2511923600273</v>
      </c>
      <c r="D280" s="23">
        <f t="shared" si="9"/>
        <v>31.072511923600274</v>
      </c>
    </row>
    <row r="281" spans="1:4">
      <c r="A281" s="22">
        <f t="shared" si="8"/>
        <v>305.40352170318704</v>
      </c>
      <c r="B281">
        <v>3054.0352170318706</v>
      </c>
      <c r="C281">
        <v>3039.0408619800273</v>
      </c>
      <c r="D281" s="23">
        <f t="shared" si="9"/>
        <v>30.390408619800272</v>
      </c>
    </row>
    <row r="282" spans="1:4">
      <c r="A282" s="22">
        <f t="shared" si="8"/>
        <v>306.49815798169311</v>
      </c>
      <c r="B282">
        <v>3064.9815798169311</v>
      </c>
      <c r="C282">
        <v>2970.8305316000274</v>
      </c>
      <c r="D282" s="23">
        <f t="shared" si="9"/>
        <v>29.708305316000274</v>
      </c>
    </row>
    <row r="283" spans="1:4">
      <c r="A283" s="22">
        <f t="shared" si="8"/>
        <v>307.59279426019918</v>
      </c>
      <c r="B283">
        <v>3075.9279426019916</v>
      </c>
      <c r="C283">
        <v>2902.6202012200274</v>
      </c>
      <c r="D283" s="23">
        <f t="shared" si="9"/>
        <v>29.026202012200272</v>
      </c>
    </row>
    <row r="284" spans="1:4">
      <c r="A284" s="22">
        <f t="shared" si="8"/>
        <v>308.6874305387052</v>
      </c>
      <c r="B284">
        <v>3086.8743053870521</v>
      </c>
      <c r="C284">
        <v>2834.4098708400275</v>
      </c>
      <c r="D284" s="23">
        <f t="shared" si="9"/>
        <v>28.344098708400274</v>
      </c>
    </row>
    <row r="285" spans="1:4">
      <c r="A285" s="22">
        <f t="shared" si="8"/>
        <v>309.78206681721122</v>
      </c>
      <c r="B285">
        <v>3097.8206681721122</v>
      </c>
      <c r="C285">
        <v>2766.1995404600275</v>
      </c>
      <c r="D285" s="23">
        <f t="shared" si="9"/>
        <v>27.661995404600276</v>
      </c>
    </row>
    <row r="286" spans="1:4">
      <c r="A286" s="22">
        <f t="shared" si="8"/>
        <v>310.87670309571729</v>
      </c>
      <c r="B286">
        <v>3108.7670309571727</v>
      </c>
      <c r="C286">
        <v>2697.9892100800275</v>
      </c>
      <c r="D286" s="23">
        <f t="shared" si="9"/>
        <v>26.979892100800274</v>
      </c>
    </row>
    <row r="287" spans="1:4">
      <c r="A287" s="22">
        <f t="shared" si="8"/>
        <v>311.97133937422331</v>
      </c>
      <c r="B287">
        <v>3119.7133937422332</v>
      </c>
      <c r="C287">
        <v>2629.7788797000276</v>
      </c>
      <c r="D287" s="23">
        <f t="shared" si="9"/>
        <v>26.297788797000276</v>
      </c>
    </row>
    <row r="288" spans="1:4">
      <c r="A288" s="22">
        <f t="shared" si="8"/>
        <v>313.06597565272938</v>
      </c>
      <c r="B288">
        <v>3130.6597565272937</v>
      </c>
      <c r="C288">
        <v>2561.5685493200276</v>
      </c>
      <c r="D288" s="23">
        <f t="shared" si="9"/>
        <v>25.615685493200274</v>
      </c>
    </row>
    <row r="289" spans="1:4">
      <c r="A289" s="22">
        <f t="shared" si="8"/>
        <v>314.16061193123539</v>
      </c>
      <c r="B289">
        <v>3141.6061193123542</v>
      </c>
      <c r="C289">
        <v>2493.3582189400277</v>
      </c>
      <c r="D289" s="23">
        <f t="shared" si="9"/>
        <v>24.933582189400276</v>
      </c>
    </row>
    <row r="290" spans="1:4">
      <c r="A290" s="22">
        <f t="shared" si="8"/>
        <v>315.25524820974147</v>
      </c>
      <c r="B290">
        <v>3152.5524820974147</v>
      </c>
      <c r="C290">
        <v>2425.1478885600277</v>
      </c>
      <c r="D290" s="23">
        <f t="shared" si="9"/>
        <v>24.251478885600278</v>
      </c>
    </row>
    <row r="291" spans="1:4">
      <c r="A291" s="22">
        <f t="shared" si="8"/>
        <v>316.34988448824754</v>
      </c>
      <c r="B291">
        <v>3163.4988448824752</v>
      </c>
      <c r="C291">
        <v>2356.9375581800277</v>
      </c>
      <c r="D291" s="23">
        <f t="shared" si="9"/>
        <v>23.569375581800276</v>
      </c>
    </row>
    <row r="292" spans="1:4">
      <c r="A292" s="22">
        <f t="shared" si="8"/>
        <v>317.44452076675356</v>
      </c>
      <c r="B292">
        <v>3174.4452076675357</v>
      </c>
      <c r="C292">
        <v>2288.7272278000278</v>
      </c>
      <c r="D292" s="23">
        <f t="shared" si="9"/>
        <v>22.887272278000278</v>
      </c>
    </row>
    <row r="293" spans="1:4">
      <c r="A293" s="22">
        <f t="shared" si="8"/>
        <v>318.53915704525963</v>
      </c>
      <c r="B293">
        <v>3185.3915704525962</v>
      </c>
      <c r="C293">
        <v>2220.5168974200278</v>
      </c>
      <c r="D293" s="23">
        <f t="shared" si="9"/>
        <v>22.205168974200276</v>
      </c>
    </row>
    <row r="294" spans="1:4">
      <c r="A294" s="22">
        <f t="shared" si="8"/>
        <v>319.63379332376564</v>
      </c>
      <c r="B294">
        <v>3196.3379332376567</v>
      </c>
      <c r="C294">
        <v>2152.3065670400279</v>
      </c>
      <c r="D294" s="23">
        <f t="shared" si="9"/>
        <v>21.523065670400278</v>
      </c>
    </row>
    <row r="295" spans="1:4">
      <c r="A295" s="22">
        <f t="shared" si="8"/>
        <v>320.72842960227172</v>
      </c>
      <c r="B295">
        <v>3207.2842960227172</v>
      </c>
      <c r="C295">
        <v>2084.0962366600279</v>
      </c>
      <c r="D295" s="23">
        <f t="shared" si="9"/>
        <v>20.84096236660028</v>
      </c>
    </row>
    <row r="296" spans="1:4">
      <c r="A296" s="22">
        <f t="shared" si="8"/>
        <v>321.82306588077779</v>
      </c>
      <c r="B296">
        <v>3218.2306588077777</v>
      </c>
      <c r="C296">
        <v>2015.8859062800279</v>
      </c>
      <c r="D296" s="23">
        <f t="shared" si="9"/>
        <v>20.158859062800278</v>
      </c>
    </row>
    <row r="297" spans="1:4">
      <c r="A297" s="22">
        <f t="shared" si="8"/>
        <v>322.91770215928381</v>
      </c>
      <c r="B297">
        <v>3229.1770215928382</v>
      </c>
      <c r="C297">
        <v>1947.675575900028</v>
      </c>
      <c r="D297" s="23">
        <f t="shared" si="9"/>
        <v>19.47675575900028</v>
      </c>
    </row>
    <row r="298" spans="1:4">
      <c r="A298" s="22">
        <f t="shared" si="8"/>
        <v>324.01233843778988</v>
      </c>
      <c r="B298">
        <v>3240.1233843778987</v>
      </c>
      <c r="C298">
        <v>1879.465245520028</v>
      </c>
      <c r="D298" s="23">
        <f t="shared" si="9"/>
        <v>18.794652455200278</v>
      </c>
    </row>
    <row r="299" spans="1:4">
      <c r="A299" s="22">
        <f t="shared" si="8"/>
        <v>325.10697471629589</v>
      </c>
      <c r="B299">
        <v>3251.0697471629587</v>
      </c>
      <c r="C299">
        <v>1811.2549151400281</v>
      </c>
      <c r="D299" s="23">
        <f t="shared" si="9"/>
        <v>18.11254915140028</v>
      </c>
    </row>
    <row r="300" spans="1:4">
      <c r="A300" s="22">
        <f t="shared" si="8"/>
        <v>326.20161099480191</v>
      </c>
      <c r="B300">
        <v>3262.0161099480192</v>
      </c>
      <c r="C300">
        <v>1743.0445847600281</v>
      </c>
      <c r="D300" s="23">
        <f t="shared" si="9"/>
        <v>17.430445847600282</v>
      </c>
    </row>
    <row r="301" spans="1:4">
      <c r="A301" s="22">
        <f t="shared" si="8"/>
        <v>327.29624727330798</v>
      </c>
      <c r="B301">
        <v>3272.9624727330797</v>
      </c>
      <c r="C301">
        <v>1674.8342543800281</v>
      </c>
      <c r="D301" s="23">
        <f t="shared" si="9"/>
        <v>16.74834254380028</v>
      </c>
    </row>
    <row r="302" spans="1:4">
      <c r="A302" s="22">
        <f t="shared" si="8"/>
        <v>328.390883551814</v>
      </c>
      <c r="B302">
        <v>3283.9088355181402</v>
      </c>
      <c r="C302">
        <v>1606.6239240000282</v>
      </c>
      <c r="D302" s="23">
        <f t="shared" si="9"/>
        <v>16.066239240000282</v>
      </c>
    </row>
    <row r="303" spans="1:4">
      <c r="A303" s="22">
        <f t="shared" si="8"/>
        <v>329.48551983032007</v>
      </c>
      <c r="B303">
        <v>3294.8551983032007</v>
      </c>
      <c r="C303">
        <v>1538.4135936200282</v>
      </c>
      <c r="D303" s="23">
        <f t="shared" si="9"/>
        <v>15.384135936200282</v>
      </c>
    </row>
    <row r="304" spans="1:4">
      <c r="A304" s="22">
        <f t="shared" si="8"/>
        <v>330.58015610882615</v>
      </c>
      <c r="B304">
        <v>3305.8015610882612</v>
      </c>
      <c r="C304">
        <v>1470.2032632400283</v>
      </c>
      <c r="D304" s="23">
        <f t="shared" si="9"/>
        <v>14.702032632400282</v>
      </c>
    </row>
    <row r="305" spans="1:4">
      <c r="A305" s="22">
        <f t="shared" si="8"/>
        <v>331.67479238733216</v>
      </c>
      <c r="B305">
        <v>3316.7479238733217</v>
      </c>
      <c r="C305">
        <v>1401.9929328600283</v>
      </c>
      <c r="D305" s="23">
        <f t="shared" si="9"/>
        <v>14.019929328600282</v>
      </c>
    </row>
    <row r="306" spans="1:4">
      <c r="A306" s="22">
        <f t="shared" si="8"/>
        <v>332.76942866583823</v>
      </c>
      <c r="B306">
        <v>3327.6942866583822</v>
      </c>
      <c r="C306">
        <v>1333.7826024800283</v>
      </c>
      <c r="D306" s="23">
        <f t="shared" si="9"/>
        <v>13.337826024800284</v>
      </c>
    </row>
    <row r="307" spans="1:4">
      <c r="A307" s="22">
        <f t="shared" si="8"/>
        <v>333.86406494434425</v>
      </c>
      <c r="B307">
        <v>3338.6406494434427</v>
      </c>
      <c r="C307">
        <v>1265.5722721000284</v>
      </c>
      <c r="D307" s="23">
        <f t="shared" si="9"/>
        <v>12.655722721000284</v>
      </c>
    </row>
    <row r="308" spans="1:4">
      <c r="A308" s="22">
        <f t="shared" si="8"/>
        <v>334.95870122285032</v>
      </c>
      <c r="B308">
        <v>3349.5870122285032</v>
      </c>
      <c r="C308">
        <v>1197.3619417200284</v>
      </c>
      <c r="D308" s="23">
        <f t="shared" si="9"/>
        <v>11.973619417200284</v>
      </c>
    </row>
    <row r="309" spans="1:4">
      <c r="A309" s="22">
        <f t="shared" si="8"/>
        <v>336.0533375013564</v>
      </c>
      <c r="B309">
        <v>3360.5333750135637</v>
      </c>
      <c r="C309">
        <v>1129.1516113400285</v>
      </c>
      <c r="D309" s="23">
        <f t="shared" si="9"/>
        <v>11.291516113400284</v>
      </c>
    </row>
    <row r="310" spans="1:4">
      <c r="A310" s="22">
        <f t="shared" si="8"/>
        <v>337.14797377986241</v>
      </c>
      <c r="B310">
        <v>3371.4797377986242</v>
      </c>
      <c r="C310">
        <v>1060.9412809600285</v>
      </c>
      <c r="D310" s="23">
        <f t="shared" si="9"/>
        <v>10.609412809600284</v>
      </c>
    </row>
    <row r="311" spans="1:4">
      <c r="A311" s="22">
        <f t="shared" si="8"/>
        <v>338.24261005836848</v>
      </c>
      <c r="B311">
        <v>3382.4261005836847</v>
      </c>
      <c r="C311">
        <v>992.73095058002855</v>
      </c>
      <c r="D311" s="23">
        <f t="shared" si="9"/>
        <v>9.9273095058002863</v>
      </c>
    </row>
    <row r="312" spans="1:4">
      <c r="A312" s="22">
        <f t="shared" si="8"/>
        <v>339.3372463368745</v>
      </c>
      <c r="B312">
        <v>3393.3724633687452</v>
      </c>
      <c r="C312">
        <v>924.52062020002859</v>
      </c>
      <c r="D312" s="23">
        <f t="shared" si="9"/>
        <v>9.2452062020002863</v>
      </c>
    </row>
    <row r="313" spans="1:4">
      <c r="A313" s="22">
        <f t="shared" si="8"/>
        <v>340.43188261538052</v>
      </c>
      <c r="B313">
        <v>3404.3188261538053</v>
      </c>
      <c r="C313">
        <v>856.47155818002568</v>
      </c>
      <c r="D313" s="23">
        <f t="shared" si="9"/>
        <v>8.5647155818002574</v>
      </c>
    </row>
    <row r="314" spans="1:4">
      <c r="A314" s="22">
        <f t="shared" si="8"/>
        <v>341.52651889388659</v>
      </c>
      <c r="B314">
        <v>3415.2651889388658</v>
      </c>
      <c r="C314">
        <v>788.42249616002277</v>
      </c>
      <c r="D314" s="23">
        <f t="shared" si="9"/>
        <v>7.8842249616002276</v>
      </c>
    </row>
    <row r="315" spans="1:4">
      <c r="A315" s="22">
        <f t="shared" si="8"/>
        <v>342.6211551723926</v>
      </c>
      <c r="B315">
        <v>3426.2115517239263</v>
      </c>
      <c r="C315">
        <v>720.37343414001987</v>
      </c>
      <c r="D315" s="23">
        <f t="shared" si="9"/>
        <v>7.2037343414001986</v>
      </c>
    </row>
    <row r="316" spans="1:4">
      <c r="A316" s="22">
        <f t="shared" si="8"/>
        <v>343.71579145089868</v>
      </c>
      <c r="B316">
        <v>3437.1579145089868</v>
      </c>
      <c r="C316">
        <v>652.32437212001696</v>
      </c>
      <c r="D316" s="23">
        <f t="shared" si="9"/>
        <v>6.5232437212001697</v>
      </c>
    </row>
    <row r="317" spans="1:4">
      <c r="A317" s="22">
        <f t="shared" si="8"/>
        <v>344.81042772940475</v>
      </c>
      <c r="B317">
        <v>3448.1042772940473</v>
      </c>
      <c r="C317">
        <v>584.27531010001405</v>
      </c>
      <c r="D317" s="23">
        <f t="shared" si="9"/>
        <v>5.8427531010001408</v>
      </c>
    </row>
    <row r="318" spans="1:4">
      <c r="A318" s="22">
        <f t="shared" si="8"/>
        <v>345.90506400791077</v>
      </c>
      <c r="B318">
        <v>3459.0506400791078</v>
      </c>
      <c r="C318">
        <v>516.22624808001115</v>
      </c>
      <c r="D318" s="23">
        <f t="shared" si="9"/>
        <v>5.1622624808001119</v>
      </c>
    </row>
    <row r="319" spans="1:4">
      <c r="A319" s="22">
        <f t="shared" si="8"/>
        <v>346.99970028641684</v>
      </c>
      <c r="B319">
        <v>3469.9970028641683</v>
      </c>
      <c r="C319">
        <v>448.1771860600083</v>
      </c>
      <c r="D319" s="23">
        <f t="shared" si="9"/>
        <v>4.4817718606000829</v>
      </c>
    </row>
    <row r="320" spans="1:4">
      <c r="A320" s="22">
        <f t="shared" si="8"/>
        <v>348.09433656492286</v>
      </c>
      <c r="B320">
        <v>3480.9433656492288</v>
      </c>
      <c r="C320">
        <v>380.12812404000545</v>
      </c>
      <c r="D320" s="23">
        <f t="shared" si="9"/>
        <v>3.8012812404000544</v>
      </c>
    </row>
    <row r="321" spans="1:4">
      <c r="A321" s="22">
        <f t="shared" si="8"/>
        <v>349.18897284342893</v>
      </c>
      <c r="B321">
        <v>3491.8897284342893</v>
      </c>
      <c r="C321">
        <v>312.0790620200026</v>
      </c>
      <c r="D321" s="23">
        <f t="shared" si="9"/>
        <v>3.120790620200026</v>
      </c>
    </row>
    <row r="322" spans="1:4">
      <c r="A322" s="22">
        <f t="shared" si="8"/>
        <v>350.283609121935</v>
      </c>
      <c r="B322">
        <v>3502.8360912193498</v>
      </c>
      <c r="C322">
        <v>244.03</v>
      </c>
      <c r="D322" s="23">
        <f t="shared" si="9"/>
        <v>2.4403000000000001</v>
      </c>
    </row>
    <row r="323" spans="1:4">
      <c r="A323" s="22">
        <f t="shared" ref="A323:A327" si="10">$B323/10</f>
        <v>351.37824540044102</v>
      </c>
      <c r="B323">
        <v>3513.7824540044103</v>
      </c>
      <c r="C323">
        <v>200.17400000000001</v>
      </c>
      <c r="D323" s="23">
        <f t="shared" ref="D323:D327" si="11">$C323/100</f>
        <v>2.0017399999999999</v>
      </c>
    </row>
    <row r="324" spans="1:4">
      <c r="A324" s="22">
        <f t="shared" si="10"/>
        <v>352.47288167894709</v>
      </c>
      <c r="B324">
        <v>3524.7288167894708</v>
      </c>
      <c r="C324">
        <v>156.31800000000001</v>
      </c>
      <c r="D324" s="23">
        <f t="shared" si="11"/>
        <v>1.56318</v>
      </c>
    </row>
    <row r="325" spans="1:4">
      <c r="A325" s="22">
        <f t="shared" si="10"/>
        <v>353.56751795745311</v>
      </c>
      <c r="B325">
        <v>3535.6751795745313</v>
      </c>
      <c r="C325">
        <v>112.46200000000002</v>
      </c>
      <c r="D325" s="23">
        <f t="shared" si="11"/>
        <v>1.1246200000000002</v>
      </c>
    </row>
    <row r="326" spans="1:4">
      <c r="A326" s="22">
        <f t="shared" si="10"/>
        <v>354.66215423595912</v>
      </c>
      <c r="B326">
        <v>3546.6215423595913</v>
      </c>
      <c r="C326">
        <v>68.606000000000023</v>
      </c>
      <c r="D326" s="23">
        <f t="shared" si="11"/>
        <v>0.68606000000000023</v>
      </c>
    </row>
    <row r="327" spans="1:4">
      <c r="A327" s="22">
        <f t="shared" si="10"/>
        <v>355.75679051446519</v>
      </c>
      <c r="B327">
        <v>3557.5679051446518</v>
      </c>
      <c r="C327">
        <v>24.75</v>
      </c>
      <c r="D327" s="23">
        <f t="shared" si="11"/>
        <v>0.2475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D1D6-39AE-4FB1-8E80-7C8D51754479}">
  <sheetPr>
    <tabColor rgb="FFFF0000"/>
  </sheetPr>
  <dimension ref="A1:D572"/>
  <sheetViews>
    <sheetView topLeftCell="A14" workbookViewId="0">
      <selection activeCell="D45" sqref="D45:D51"/>
    </sheetView>
  </sheetViews>
  <sheetFormatPr baseColWidth="10" defaultColWidth="10.3984375" defaultRowHeight="14.25"/>
  <sheetData>
    <row r="1" spans="1:4">
      <c r="A1" t="s">
        <v>4</v>
      </c>
      <c r="D1" t="s">
        <v>3</v>
      </c>
    </row>
    <row r="2" spans="1:4">
      <c r="A2" s="22">
        <f>$B2/10</f>
        <v>0</v>
      </c>
      <c r="B2">
        <v>0</v>
      </c>
      <c r="C2">
        <v>24000</v>
      </c>
      <c r="D2" s="23">
        <f>$C2/100</f>
        <v>240</v>
      </c>
    </row>
    <row r="3" spans="1:4">
      <c r="A3" s="22">
        <f t="shared" ref="A3:A66" si="0">$B3/10</f>
        <v>1.0863603774052961</v>
      </c>
      <c r="B3">
        <v>10.863603774052962</v>
      </c>
      <c r="C3">
        <v>23998.6</v>
      </c>
      <c r="D3" s="23">
        <f t="shared" ref="D3:D66" si="1">$C3/100</f>
        <v>239.98599999999999</v>
      </c>
    </row>
    <row r="4" spans="1:4">
      <c r="A4" s="22">
        <f t="shared" si="0"/>
        <v>2.1727207548105922</v>
      </c>
      <c r="B4">
        <v>21.727207548105923</v>
      </c>
      <c r="C4">
        <v>23997.199999999997</v>
      </c>
      <c r="D4" s="23">
        <f t="shared" si="1"/>
        <v>239.97199999999998</v>
      </c>
    </row>
    <row r="5" spans="1:4">
      <c r="A5" s="22">
        <f t="shared" si="0"/>
        <v>3.2590811322158886</v>
      </c>
      <c r="B5">
        <v>32.590811322158885</v>
      </c>
      <c r="C5">
        <v>23995.799999999996</v>
      </c>
      <c r="D5" s="23">
        <f t="shared" si="1"/>
        <v>239.95799999999997</v>
      </c>
    </row>
    <row r="6" spans="1:4">
      <c r="A6" s="22">
        <f t="shared" si="0"/>
        <v>4.3454415096211845</v>
      </c>
      <c r="B6">
        <v>43.454415096211847</v>
      </c>
      <c r="C6">
        <v>23994.399999999994</v>
      </c>
      <c r="D6" s="23">
        <f t="shared" si="1"/>
        <v>239.94399999999993</v>
      </c>
    </row>
    <row r="7" spans="1:4">
      <c r="A7" s="22">
        <f t="shared" si="0"/>
        <v>5.4318018870264808</v>
      </c>
      <c r="B7">
        <v>54.318018870264808</v>
      </c>
      <c r="C7">
        <v>23992.999999999993</v>
      </c>
      <c r="D7" s="23">
        <f t="shared" si="1"/>
        <v>239.92999999999992</v>
      </c>
    </row>
    <row r="8" spans="1:4">
      <c r="A8" s="22">
        <f t="shared" si="0"/>
        <v>6.5181622644317772</v>
      </c>
      <c r="B8">
        <v>65.18162264431777</v>
      </c>
      <c r="C8">
        <v>23991.599999999991</v>
      </c>
      <c r="D8" s="23">
        <f t="shared" si="1"/>
        <v>239.91599999999991</v>
      </c>
    </row>
    <row r="9" spans="1:4">
      <c r="A9" s="22">
        <f t="shared" si="0"/>
        <v>7.6045226418370735</v>
      </c>
      <c r="B9">
        <v>76.045226418370731</v>
      </c>
      <c r="C9">
        <v>23990.19999999999</v>
      </c>
      <c r="D9" s="23">
        <f t="shared" si="1"/>
        <v>239.9019999999999</v>
      </c>
    </row>
    <row r="10" spans="1:4">
      <c r="A10" s="22">
        <f t="shared" si="0"/>
        <v>8.6908830192423689</v>
      </c>
      <c r="B10">
        <v>86.908830192423693</v>
      </c>
      <c r="C10">
        <v>23988.799999999988</v>
      </c>
      <c r="D10" s="23">
        <f t="shared" si="1"/>
        <v>239.88799999999989</v>
      </c>
    </row>
    <row r="11" spans="1:4">
      <c r="A11" s="22">
        <f t="shared" si="0"/>
        <v>9.7772433966476662</v>
      </c>
      <c r="B11">
        <v>97.772433966476655</v>
      </c>
      <c r="C11">
        <v>23987.399999999987</v>
      </c>
      <c r="D11" s="23">
        <f t="shared" si="1"/>
        <v>239.87399999999988</v>
      </c>
    </row>
    <row r="12" spans="1:4">
      <c r="A12" s="22">
        <f t="shared" si="0"/>
        <v>10.863603774052962</v>
      </c>
      <c r="B12">
        <v>108.63603774052962</v>
      </c>
      <c r="C12">
        <v>23986</v>
      </c>
      <c r="D12" s="23">
        <f t="shared" si="1"/>
        <v>239.86</v>
      </c>
    </row>
    <row r="13" spans="1:4">
      <c r="A13" s="22">
        <f t="shared" si="0"/>
        <v>11.949964151458257</v>
      </c>
      <c r="B13">
        <v>119.49964151458258</v>
      </c>
      <c r="C13">
        <v>23984.079000000002</v>
      </c>
      <c r="D13" s="23">
        <f t="shared" si="1"/>
        <v>239.84079000000003</v>
      </c>
    </row>
    <row r="14" spans="1:4">
      <c r="A14" s="22">
        <f t="shared" si="0"/>
        <v>13.036324528863554</v>
      </c>
      <c r="B14">
        <v>130.36324528863554</v>
      </c>
      <c r="C14">
        <v>23982.158000000003</v>
      </c>
      <c r="D14" s="23">
        <f t="shared" si="1"/>
        <v>239.82158000000004</v>
      </c>
    </row>
    <row r="15" spans="1:4">
      <c r="A15" s="22">
        <f t="shared" si="0"/>
        <v>14.12268490626885</v>
      </c>
      <c r="B15">
        <v>141.2268490626885</v>
      </c>
      <c r="C15">
        <v>23980.237000000005</v>
      </c>
      <c r="D15" s="23">
        <f t="shared" si="1"/>
        <v>239.80237000000005</v>
      </c>
    </row>
    <row r="16" spans="1:4">
      <c r="A16" s="22">
        <f t="shared" si="0"/>
        <v>15.209045283674147</v>
      </c>
      <c r="B16">
        <v>152.09045283674146</v>
      </c>
      <c r="C16">
        <v>23978.316000000006</v>
      </c>
      <c r="D16" s="23">
        <f t="shared" si="1"/>
        <v>239.78316000000007</v>
      </c>
    </row>
    <row r="17" spans="1:4">
      <c r="A17" s="22">
        <f t="shared" si="0"/>
        <v>16.295405661079442</v>
      </c>
      <c r="B17">
        <v>162.95405661079442</v>
      </c>
      <c r="C17">
        <v>23976.395000000008</v>
      </c>
      <c r="D17" s="23">
        <f t="shared" si="1"/>
        <v>239.76395000000008</v>
      </c>
    </row>
    <row r="18" spans="1:4">
      <c r="A18" s="22">
        <f t="shared" si="0"/>
        <v>17.381766038484738</v>
      </c>
      <c r="B18">
        <v>173.81766038484739</v>
      </c>
      <c r="C18">
        <v>23974.474000000009</v>
      </c>
      <c r="D18" s="23">
        <f t="shared" si="1"/>
        <v>239.74474000000009</v>
      </c>
    </row>
    <row r="19" spans="1:4">
      <c r="A19" s="22">
        <f t="shared" si="0"/>
        <v>18.468126415890033</v>
      </c>
      <c r="B19">
        <v>184.68126415890035</v>
      </c>
      <c r="C19">
        <v>23972.553000000011</v>
      </c>
      <c r="D19" s="23">
        <f t="shared" si="1"/>
        <v>239.72553000000011</v>
      </c>
    </row>
    <row r="20" spans="1:4">
      <c r="A20" s="22">
        <f t="shared" si="0"/>
        <v>19.554486793295332</v>
      </c>
      <c r="B20">
        <v>195.54486793295331</v>
      </c>
      <c r="C20">
        <v>23970.632000000012</v>
      </c>
      <c r="D20" s="23">
        <f t="shared" si="1"/>
        <v>239.70632000000012</v>
      </c>
    </row>
    <row r="21" spans="1:4">
      <c r="A21" s="22">
        <f t="shared" si="0"/>
        <v>20.640847170700628</v>
      </c>
      <c r="B21">
        <v>206.40847170700627</v>
      </c>
      <c r="C21">
        <v>23968.71100000001</v>
      </c>
      <c r="D21" s="23">
        <f t="shared" si="1"/>
        <v>239.6871100000001</v>
      </c>
    </row>
    <row r="22" spans="1:4">
      <c r="A22" s="22">
        <f t="shared" si="0"/>
        <v>21.727207548105923</v>
      </c>
      <c r="B22">
        <v>217.27207548105923</v>
      </c>
      <c r="C22">
        <v>23966.79</v>
      </c>
      <c r="D22" s="23">
        <f t="shared" si="1"/>
        <v>239.6679</v>
      </c>
    </row>
    <row r="23" spans="1:4">
      <c r="A23" s="22">
        <f t="shared" si="0"/>
        <v>22.813567925511219</v>
      </c>
      <c r="B23">
        <v>228.13567925511219</v>
      </c>
      <c r="C23">
        <v>23964.827000000001</v>
      </c>
      <c r="D23" s="23">
        <f t="shared" si="1"/>
        <v>239.64827000000002</v>
      </c>
    </row>
    <row r="24" spans="1:4">
      <c r="A24" s="22">
        <f t="shared" si="0"/>
        <v>23.899928302916514</v>
      </c>
      <c r="B24">
        <v>238.99928302916516</v>
      </c>
      <c r="C24">
        <v>23962.864000000001</v>
      </c>
      <c r="D24" s="23">
        <f t="shared" si="1"/>
        <v>239.62864000000002</v>
      </c>
    </row>
    <row r="25" spans="1:4">
      <c r="A25" s="22">
        <f t="shared" si="0"/>
        <v>24.986288680321813</v>
      </c>
      <c r="B25">
        <v>249.86288680321812</v>
      </c>
      <c r="C25">
        <v>23960.901000000002</v>
      </c>
      <c r="D25" s="23">
        <f t="shared" si="1"/>
        <v>239.60901000000001</v>
      </c>
    </row>
    <row r="26" spans="1:4">
      <c r="A26" s="22">
        <f t="shared" si="0"/>
        <v>26.072649057727109</v>
      </c>
      <c r="B26">
        <v>260.72649057727108</v>
      </c>
      <c r="C26">
        <v>23958.938000000002</v>
      </c>
      <c r="D26" s="23">
        <f>$C26/100</f>
        <v>239.58938000000001</v>
      </c>
    </row>
    <row r="27" spans="1:4">
      <c r="A27" s="22">
        <f t="shared" si="0"/>
        <v>27.159009435132408</v>
      </c>
      <c r="B27">
        <v>271.59009435132407</v>
      </c>
      <c r="C27">
        <v>23956.975000000002</v>
      </c>
      <c r="D27" s="23">
        <f t="shared" si="1"/>
        <v>239.56975000000003</v>
      </c>
    </row>
    <row r="28" spans="1:4">
      <c r="A28" s="22">
        <f t="shared" si="0"/>
        <v>28.2453698125377</v>
      </c>
      <c r="B28">
        <v>282.453698125377</v>
      </c>
      <c r="C28">
        <v>23955.012000000002</v>
      </c>
      <c r="D28" s="23">
        <f t="shared" si="1"/>
        <v>239.55012000000002</v>
      </c>
    </row>
    <row r="29" spans="1:4">
      <c r="A29" s="22">
        <f t="shared" si="0"/>
        <v>29.331730189942999</v>
      </c>
      <c r="B29">
        <v>293.31730189942999</v>
      </c>
      <c r="C29">
        <v>23953.049000000003</v>
      </c>
      <c r="D29" s="23">
        <f t="shared" si="1"/>
        <v>239.53049000000001</v>
      </c>
    </row>
    <row r="30" spans="1:4">
      <c r="A30" s="22">
        <f t="shared" si="0"/>
        <v>30.418090567348294</v>
      </c>
      <c r="B30">
        <v>304.18090567348293</v>
      </c>
      <c r="C30">
        <v>23951.086000000003</v>
      </c>
      <c r="D30" s="23">
        <f t="shared" si="1"/>
        <v>239.51086000000004</v>
      </c>
    </row>
    <row r="31" spans="1:4">
      <c r="A31" s="22">
        <f t="shared" si="0"/>
        <v>31.504450944753593</v>
      </c>
      <c r="B31">
        <v>315.04450944753592</v>
      </c>
      <c r="C31">
        <v>23949.123000000003</v>
      </c>
      <c r="D31" s="23">
        <f t="shared" si="1"/>
        <v>239.49123000000003</v>
      </c>
    </row>
    <row r="32" spans="1:4">
      <c r="A32" s="22">
        <f t="shared" si="0"/>
        <v>32.590811322158885</v>
      </c>
      <c r="B32">
        <v>325.90811322158885</v>
      </c>
      <c r="C32">
        <v>23947.16</v>
      </c>
      <c r="D32" s="23">
        <f t="shared" si="1"/>
        <v>239.4716</v>
      </c>
    </row>
    <row r="33" spans="1:4">
      <c r="A33" s="22">
        <f t="shared" si="0"/>
        <v>33.677171699564184</v>
      </c>
      <c r="B33">
        <v>336.77171699564184</v>
      </c>
      <c r="C33">
        <v>23951.719300000001</v>
      </c>
      <c r="D33" s="23">
        <f t="shared" si="1"/>
        <v>239.51719300000002</v>
      </c>
    </row>
    <row r="34" spans="1:4">
      <c r="A34" s="22">
        <f t="shared" si="0"/>
        <v>34.763532076969476</v>
      </c>
      <c r="B34">
        <v>347.63532076969477</v>
      </c>
      <c r="C34">
        <v>23956.278600000001</v>
      </c>
      <c r="D34" s="23">
        <f t="shared" si="1"/>
        <v>239.56278600000002</v>
      </c>
    </row>
    <row r="35" spans="1:4">
      <c r="A35" s="22">
        <f t="shared" si="0"/>
        <v>35.849892454374775</v>
      </c>
      <c r="B35">
        <v>358.49892454374776</v>
      </c>
      <c r="C35">
        <v>23960.837900000002</v>
      </c>
      <c r="D35" s="23">
        <f t="shared" si="1"/>
        <v>239.60837900000001</v>
      </c>
    </row>
    <row r="36" spans="1:4">
      <c r="A36" s="22">
        <f t="shared" si="0"/>
        <v>36.936252831780067</v>
      </c>
      <c r="B36">
        <v>369.3625283178007</v>
      </c>
      <c r="C36">
        <v>23965.397200000003</v>
      </c>
      <c r="D36" s="23">
        <f t="shared" si="1"/>
        <v>239.65397200000004</v>
      </c>
    </row>
    <row r="37" spans="1:4">
      <c r="A37" s="22">
        <f t="shared" si="0"/>
        <v>38.022613209185366</v>
      </c>
      <c r="B37">
        <v>380.22613209185369</v>
      </c>
      <c r="C37">
        <v>23969.956500000004</v>
      </c>
      <c r="D37" s="23">
        <f t="shared" si="1"/>
        <v>239.69956500000004</v>
      </c>
    </row>
    <row r="38" spans="1:4">
      <c r="A38" s="22">
        <f t="shared" si="0"/>
        <v>39.108973586590665</v>
      </c>
      <c r="B38">
        <v>391.08973586590662</v>
      </c>
      <c r="C38">
        <v>23974.515800000005</v>
      </c>
      <c r="D38" s="23">
        <f t="shared" si="1"/>
        <v>239.74515800000006</v>
      </c>
    </row>
    <row r="39" spans="1:4">
      <c r="A39" s="22">
        <f t="shared" si="0"/>
        <v>40.195333963995964</v>
      </c>
      <c r="B39">
        <v>401.95333963995961</v>
      </c>
      <c r="C39">
        <v>23979.075100000005</v>
      </c>
      <c r="D39" s="23">
        <f t="shared" si="1"/>
        <v>239.79075100000006</v>
      </c>
    </row>
    <row r="40" spans="1:4">
      <c r="A40" s="22">
        <f t="shared" si="0"/>
        <v>41.281694341401256</v>
      </c>
      <c r="B40">
        <v>412.81694341401254</v>
      </c>
      <c r="C40">
        <v>23983.634400000006</v>
      </c>
      <c r="D40" s="23">
        <f t="shared" si="1"/>
        <v>239.83634400000005</v>
      </c>
    </row>
    <row r="41" spans="1:4">
      <c r="A41" s="22">
        <f t="shared" si="0"/>
        <v>42.368054718806555</v>
      </c>
      <c r="B41">
        <v>423.68054718806553</v>
      </c>
      <c r="C41">
        <v>23988.193700000007</v>
      </c>
      <c r="D41" s="23">
        <f t="shared" si="1"/>
        <v>239.88193700000008</v>
      </c>
    </row>
    <row r="42" spans="1:4">
      <c r="A42" s="22">
        <f t="shared" si="0"/>
        <v>43.454415096211847</v>
      </c>
      <c r="B42">
        <v>434.54415096211847</v>
      </c>
      <c r="C42">
        <v>23992.753000000001</v>
      </c>
      <c r="D42" s="23">
        <f t="shared" si="1"/>
        <v>239.92753000000002</v>
      </c>
    </row>
    <row r="43" spans="1:4">
      <c r="A43" s="22">
        <f t="shared" si="0"/>
        <v>44.540775473617146</v>
      </c>
      <c r="B43">
        <v>445.40775473617146</v>
      </c>
      <c r="C43">
        <v>23984.257700000002</v>
      </c>
      <c r="D43" s="23">
        <f t="shared" si="1"/>
        <v>239.84257700000001</v>
      </c>
    </row>
    <row r="44" spans="1:4">
      <c r="A44" s="22">
        <f t="shared" si="0"/>
        <v>45.627135851022437</v>
      </c>
      <c r="B44">
        <v>456.27135851022439</v>
      </c>
      <c r="C44">
        <v>23975.762400000003</v>
      </c>
      <c r="D44" s="23">
        <f t="shared" si="1"/>
        <v>239.75762400000002</v>
      </c>
    </row>
    <row r="45" spans="1:4">
      <c r="A45" s="22">
        <f t="shared" si="0"/>
        <v>46.713496228427736</v>
      </c>
      <c r="B45">
        <v>467.13496228427738</v>
      </c>
      <c r="C45">
        <v>23967.267100000005</v>
      </c>
      <c r="D45" s="23">
        <f t="shared" si="1"/>
        <v>239.67267100000004</v>
      </c>
    </row>
    <row r="46" spans="1:4">
      <c r="A46" s="22">
        <f t="shared" si="0"/>
        <v>47.799856605833028</v>
      </c>
      <c r="B46">
        <v>477.99856605833031</v>
      </c>
      <c r="C46">
        <v>23958.771800000006</v>
      </c>
      <c r="D46" s="23">
        <f t="shared" si="1"/>
        <v>239.58771800000005</v>
      </c>
    </row>
    <row r="47" spans="1:4">
      <c r="A47" s="22">
        <f t="shared" si="0"/>
        <v>48.886216983238327</v>
      </c>
      <c r="B47">
        <v>488.8621698323833</v>
      </c>
      <c r="C47">
        <v>23950.276500000007</v>
      </c>
      <c r="D47" s="23">
        <f t="shared" si="1"/>
        <v>239.50276500000007</v>
      </c>
    </row>
    <row r="48" spans="1:4">
      <c r="A48" s="22">
        <f t="shared" si="0"/>
        <v>49.972577360643626</v>
      </c>
      <c r="B48">
        <v>499.72577360643623</v>
      </c>
      <c r="C48">
        <v>23941.781200000009</v>
      </c>
      <c r="D48" s="23">
        <f t="shared" si="1"/>
        <v>239.41781200000008</v>
      </c>
    </row>
    <row r="49" spans="1:4">
      <c r="A49" s="22">
        <f t="shared" si="0"/>
        <v>51.058937738048925</v>
      </c>
      <c r="B49">
        <v>510.58937738048922</v>
      </c>
      <c r="C49">
        <v>23933.28590000001</v>
      </c>
      <c r="D49" s="23">
        <f t="shared" si="1"/>
        <v>239.3328590000001</v>
      </c>
    </row>
    <row r="50" spans="1:4">
      <c r="A50" s="22">
        <f t="shared" si="0"/>
        <v>52.145298115454217</v>
      </c>
      <c r="B50">
        <v>521.45298115454216</v>
      </c>
      <c r="C50">
        <v>23924.790600000011</v>
      </c>
      <c r="D50" s="23">
        <f t="shared" si="1"/>
        <v>239.24790600000011</v>
      </c>
    </row>
    <row r="51" spans="1:4">
      <c r="A51" s="22">
        <f t="shared" si="0"/>
        <v>53.231658492859516</v>
      </c>
      <c r="B51">
        <v>532.31658492859515</v>
      </c>
      <c r="C51">
        <v>23916.295300000013</v>
      </c>
      <c r="D51" s="23">
        <f t="shared" si="1"/>
        <v>239.16295300000013</v>
      </c>
    </row>
    <row r="52" spans="1:4">
      <c r="A52" s="22">
        <f t="shared" si="0"/>
        <v>54.318018870264815</v>
      </c>
      <c r="B52">
        <v>543.18018870264814</v>
      </c>
      <c r="C52">
        <v>23907.8</v>
      </c>
      <c r="D52" s="23">
        <f t="shared" si="1"/>
        <v>239.078</v>
      </c>
    </row>
    <row r="53" spans="1:4">
      <c r="A53" s="22">
        <f t="shared" si="0"/>
        <v>55.4043792476701</v>
      </c>
      <c r="B53">
        <v>554.04379247670101</v>
      </c>
      <c r="C53">
        <v>23905.316999999999</v>
      </c>
      <c r="D53" s="23">
        <f t="shared" si="1"/>
        <v>239.05316999999999</v>
      </c>
    </row>
    <row r="54" spans="1:4">
      <c r="A54" s="22">
        <f t="shared" si="0"/>
        <v>56.490739625075399</v>
      </c>
      <c r="B54">
        <v>564.907396250754</v>
      </c>
      <c r="C54">
        <v>23902.833999999999</v>
      </c>
      <c r="D54" s="23">
        <f t="shared" si="1"/>
        <v>239.02833999999999</v>
      </c>
    </row>
    <row r="55" spans="1:4">
      <c r="A55" s="22">
        <f t="shared" si="0"/>
        <v>57.577100002480698</v>
      </c>
      <c r="B55">
        <v>575.77100002480699</v>
      </c>
      <c r="C55">
        <v>23900.350999999999</v>
      </c>
      <c r="D55" s="23">
        <f t="shared" si="1"/>
        <v>239.00350999999998</v>
      </c>
    </row>
    <row r="56" spans="1:4">
      <c r="A56" s="22">
        <f t="shared" si="0"/>
        <v>58.663460379885997</v>
      </c>
      <c r="B56">
        <v>586.63460379885998</v>
      </c>
      <c r="C56">
        <v>23897.867999999999</v>
      </c>
      <c r="D56" s="23">
        <f t="shared" si="1"/>
        <v>238.97868</v>
      </c>
    </row>
    <row r="57" spans="1:4">
      <c r="A57" s="22">
        <f t="shared" si="0"/>
        <v>59.749820757291289</v>
      </c>
      <c r="B57">
        <v>597.49820757291286</v>
      </c>
      <c r="C57">
        <v>23895.384999999998</v>
      </c>
      <c r="D57" s="23">
        <f t="shared" si="1"/>
        <v>238.95384999999999</v>
      </c>
    </row>
    <row r="58" spans="1:4">
      <c r="A58" s="22">
        <f t="shared" si="0"/>
        <v>60.836181134696588</v>
      </c>
      <c r="B58">
        <v>608.36181134696585</v>
      </c>
      <c r="C58">
        <v>23892.901999999998</v>
      </c>
      <c r="D58" s="23">
        <f t="shared" si="1"/>
        <v>238.92901999999998</v>
      </c>
    </row>
    <row r="59" spans="1:4">
      <c r="A59" s="22">
        <f t="shared" si="0"/>
        <v>61.922541512101887</v>
      </c>
      <c r="B59">
        <v>619.22541512101884</v>
      </c>
      <c r="C59">
        <v>23890.418999999998</v>
      </c>
      <c r="D59" s="23">
        <f t="shared" si="1"/>
        <v>238.90418999999997</v>
      </c>
    </row>
    <row r="60" spans="1:4">
      <c r="A60" s="22">
        <f t="shared" si="0"/>
        <v>63.008901889507186</v>
      </c>
      <c r="B60">
        <v>630.08901889507183</v>
      </c>
      <c r="C60">
        <v>23887.935999999998</v>
      </c>
      <c r="D60" s="23">
        <f t="shared" si="1"/>
        <v>238.87935999999999</v>
      </c>
    </row>
    <row r="61" spans="1:4">
      <c r="A61" s="22">
        <f t="shared" si="0"/>
        <v>64.095262266912471</v>
      </c>
      <c r="B61">
        <v>640.95262266912471</v>
      </c>
      <c r="C61">
        <v>23885.452999999998</v>
      </c>
      <c r="D61" s="23">
        <f t="shared" si="1"/>
        <v>238.85452999999998</v>
      </c>
    </row>
    <row r="62" spans="1:4">
      <c r="A62" s="22">
        <f t="shared" si="0"/>
        <v>65.18162264431777</v>
      </c>
      <c r="B62">
        <v>651.8162264431777</v>
      </c>
      <c r="C62">
        <v>23882.97</v>
      </c>
      <c r="D62" s="23">
        <f t="shared" si="1"/>
        <v>238.8297</v>
      </c>
    </row>
    <row r="63" spans="1:4">
      <c r="A63" s="22">
        <f t="shared" si="0"/>
        <v>66.267983021723069</v>
      </c>
      <c r="B63">
        <v>662.67983021723069</v>
      </c>
      <c r="C63">
        <v>23878.534</v>
      </c>
      <c r="D63" s="23">
        <f t="shared" si="1"/>
        <v>238.78533999999999</v>
      </c>
    </row>
    <row r="64" spans="1:4">
      <c r="A64" s="22">
        <f t="shared" si="0"/>
        <v>67.354343399128368</v>
      </c>
      <c r="B64">
        <v>673.54343399128368</v>
      </c>
      <c r="C64">
        <v>23874.097999999998</v>
      </c>
      <c r="D64" s="23">
        <f t="shared" si="1"/>
        <v>238.74097999999998</v>
      </c>
    </row>
    <row r="65" spans="1:4">
      <c r="A65" s="22">
        <f t="shared" si="0"/>
        <v>68.440703776533653</v>
      </c>
      <c r="B65">
        <v>684.40703776533655</v>
      </c>
      <c r="C65">
        <v>23869.661999999997</v>
      </c>
      <c r="D65" s="23">
        <f t="shared" si="1"/>
        <v>238.69661999999997</v>
      </c>
    </row>
    <row r="66" spans="1:4">
      <c r="A66" s="22">
        <f t="shared" si="0"/>
        <v>69.527064153938952</v>
      </c>
      <c r="B66">
        <v>695.27064153938954</v>
      </c>
      <c r="C66">
        <v>23865.225999999995</v>
      </c>
      <c r="D66" s="23">
        <f t="shared" si="1"/>
        <v>238.65225999999996</v>
      </c>
    </row>
    <row r="67" spans="1:4">
      <c r="A67" s="22">
        <f t="shared" ref="A67:A130" si="2">$B67/10</f>
        <v>70.613424531344251</v>
      </c>
      <c r="B67">
        <v>706.13424531344253</v>
      </c>
      <c r="C67">
        <v>23860.789999999994</v>
      </c>
      <c r="D67" s="23">
        <f t="shared" ref="D67:D130" si="3">$C67/100</f>
        <v>238.60789999999994</v>
      </c>
    </row>
    <row r="68" spans="1:4">
      <c r="A68" s="22">
        <f t="shared" si="2"/>
        <v>71.69978490874955</v>
      </c>
      <c r="B68">
        <v>716.99784908749552</v>
      </c>
      <c r="C68">
        <v>23856.353999999992</v>
      </c>
      <c r="D68" s="23">
        <f t="shared" si="3"/>
        <v>238.56353999999993</v>
      </c>
    </row>
    <row r="69" spans="1:4">
      <c r="A69" s="22">
        <f t="shared" si="2"/>
        <v>72.786145286154834</v>
      </c>
      <c r="B69">
        <v>727.8614528615484</v>
      </c>
      <c r="C69">
        <v>23851.917999999991</v>
      </c>
      <c r="D69" s="23">
        <f t="shared" si="3"/>
        <v>238.51917999999989</v>
      </c>
    </row>
    <row r="70" spans="1:4">
      <c r="A70" s="22">
        <f t="shared" si="2"/>
        <v>73.872505663560133</v>
      </c>
      <c r="B70">
        <v>738.72505663560139</v>
      </c>
      <c r="C70">
        <v>23847.481999999989</v>
      </c>
      <c r="D70" s="23">
        <f t="shared" si="3"/>
        <v>238.47481999999988</v>
      </c>
    </row>
    <row r="71" spans="1:4">
      <c r="A71" s="22">
        <f t="shared" si="2"/>
        <v>74.958866040965432</v>
      </c>
      <c r="B71">
        <v>749.58866040965438</v>
      </c>
      <c r="C71">
        <v>23843.045999999988</v>
      </c>
      <c r="D71" s="23">
        <f t="shared" si="3"/>
        <v>238.43045999999987</v>
      </c>
    </row>
    <row r="72" spans="1:4">
      <c r="A72" s="22">
        <f t="shared" si="2"/>
        <v>76.045226418370731</v>
      </c>
      <c r="B72">
        <v>760.45226418370737</v>
      </c>
      <c r="C72">
        <v>23838.61</v>
      </c>
      <c r="D72" s="23">
        <f t="shared" si="3"/>
        <v>238.3861</v>
      </c>
    </row>
    <row r="73" spans="1:4">
      <c r="A73" s="22">
        <f t="shared" si="2"/>
        <v>77.13158679577603</v>
      </c>
      <c r="B73">
        <v>771.31586795776036</v>
      </c>
      <c r="C73">
        <v>23838.611000000001</v>
      </c>
      <c r="D73" s="23">
        <f t="shared" si="3"/>
        <v>238.38611</v>
      </c>
    </row>
    <row r="74" spans="1:4">
      <c r="A74" s="22">
        <f t="shared" si="2"/>
        <v>78.217947173181329</v>
      </c>
      <c r="B74">
        <v>782.17947173181324</v>
      </c>
      <c r="C74">
        <v>23838.612000000001</v>
      </c>
      <c r="D74" s="23">
        <f t="shared" si="3"/>
        <v>238.38612000000001</v>
      </c>
    </row>
    <row r="75" spans="1:4">
      <c r="A75" s="22">
        <f t="shared" si="2"/>
        <v>79.304307550586628</v>
      </c>
      <c r="B75">
        <v>793.04307550586623</v>
      </c>
      <c r="C75">
        <v>23838.613000000001</v>
      </c>
      <c r="D75" s="23">
        <f t="shared" si="3"/>
        <v>238.38613000000001</v>
      </c>
    </row>
    <row r="76" spans="1:4">
      <c r="A76" s="22">
        <f t="shared" si="2"/>
        <v>80.390667927991927</v>
      </c>
      <c r="B76">
        <v>803.90667927991922</v>
      </c>
      <c r="C76">
        <v>23838.614000000001</v>
      </c>
      <c r="D76" s="23">
        <f t="shared" si="3"/>
        <v>238.38614000000001</v>
      </c>
    </row>
    <row r="77" spans="1:4">
      <c r="A77" s="22">
        <f t="shared" si="2"/>
        <v>81.477028305397226</v>
      </c>
      <c r="B77">
        <v>814.77028305397221</v>
      </c>
      <c r="C77">
        <v>23838.615000000002</v>
      </c>
      <c r="D77" s="23">
        <f t="shared" si="3"/>
        <v>238.38615000000001</v>
      </c>
    </row>
    <row r="78" spans="1:4">
      <c r="A78" s="22">
        <f t="shared" si="2"/>
        <v>82.563388682802511</v>
      </c>
      <c r="B78">
        <v>825.63388682802508</v>
      </c>
      <c r="C78">
        <v>23838.616000000002</v>
      </c>
      <c r="D78" s="23">
        <f t="shared" si="3"/>
        <v>238.38616000000002</v>
      </c>
    </row>
    <row r="79" spans="1:4">
      <c r="A79" s="22">
        <f t="shared" si="2"/>
        <v>83.64974906020781</v>
      </c>
      <c r="B79">
        <v>836.49749060207807</v>
      </c>
      <c r="C79">
        <v>23838.617000000002</v>
      </c>
      <c r="D79" s="23">
        <f t="shared" si="3"/>
        <v>238.38617000000002</v>
      </c>
    </row>
    <row r="80" spans="1:4">
      <c r="A80" s="22">
        <f t="shared" si="2"/>
        <v>84.736109437613109</v>
      </c>
      <c r="B80">
        <v>847.36109437613106</v>
      </c>
      <c r="C80">
        <v>23838.618000000002</v>
      </c>
      <c r="D80" s="23">
        <f t="shared" si="3"/>
        <v>238.38618000000002</v>
      </c>
    </row>
    <row r="81" spans="1:4">
      <c r="A81" s="22">
        <f t="shared" si="2"/>
        <v>85.822469815018408</v>
      </c>
      <c r="B81">
        <v>858.22469815018405</v>
      </c>
      <c r="C81">
        <v>23838.619000000002</v>
      </c>
      <c r="D81" s="23">
        <f t="shared" si="3"/>
        <v>238.38619000000003</v>
      </c>
    </row>
    <row r="82" spans="1:4">
      <c r="A82" s="22">
        <f t="shared" si="2"/>
        <v>86.908830192423693</v>
      </c>
      <c r="B82">
        <v>869.08830192423693</v>
      </c>
      <c r="C82">
        <v>23838.62</v>
      </c>
      <c r="D82" s="23">
        <f t="shared" si="3"/>
        <v>238.3862</v>
      </c>
    </row>
    <row r="83" spans="1:4">
      <c r="A83" s="22">
        <f t="shared" si="2"/>
        <v>87.995190569828992</v>
      </c>
      <c r="B83">
        <v>879.95190569828992</v>
      </c>
      <c r="C83">
        <v>23821.380999999998</v>
      </c>
      <c r="D83" s="23">
        <f t="shared" si="3"/>
        <v>238.21380999999997</v>
      </c>
    </row>
    <row r="84" spans="1:4">
      <c r="A84" s="22">
        <f t="shared" si="2"/>
        <v>89.081550947234291</v>
      </c>
      <c r="B84">
        <v>890.81550947234291</v>
      </c>
      <c r="C84">
        <v>23804.141999999996</v>
      </c>
      <c r="D84" s="23">
        <f t="shared" si="3"/>
        <v>238.04141999999996</v>
      </c>
    </row>
    <row r="85" spans="1:4">
      <c r="A85" s="22">
        <f t="shared" si="2"/>
        <v>90.16791132463959</v>
      </c>
      <c r="B85">
        <v>901.6791132463959</v>
      </c>
      <c r="C85">
        <v>23786.902999999995</v>
      </c>
      <c r="D85" s="23">
        <f t="shared" si="3"/>
        <v>237.86902999999995</v>
      </c>
    </row>
    <row r="86" spans="1:4">
      <c r="A86" s="22">
        <f t="shared" si="2"/>
        <v>91.254271702044875</v>
      </c>
      <c r="B86">
        <v>912.54271702044878</v>
      </c>
      <c r="C86">
        <v>23769.663999999993</v>
      </c>
      <c r="D86" s="23">
        <f t="shared" si="3"/>
        <v>237.69663999999995</v>
      </c>
    </row>
    <row r="87" spans="1:4">
      <c r="A87" s="22">
        <f t="shared" si="2"/>
        <v>92.340632079450174</v>
      </c>
      <c r="B87">
        <v>923.40632079450177</v>
      </c>
      <c r="C87">
        <v>23752.424999999992</v>
      </c>
      <c r="D87" s="23">
        <f t="shared" si="3"/>
        <v>237.52424999999991</v>
      </c>
    </row>
    <row r="88" spans="1:4">
      <c r="A88" s="22">
        <f t="shared" si="2"/>
        <v>93.426992456855473</v>
      </c>
      <c r="B88">
        <v>934.26992456855476</v>
      </c>
      <c r="C88">
        <v>23735.185999999991</v>
      </c>
      <c r="D88" s="23">
        <f t="shared" si="3"/>
        <v>237.3518599999999</v>
      </c>
    </row>
    <row r="89" spans="1:4">
      <c r="A89" s="22">
        <f t="shared" si="2"/>
        <v>94.513352834260772</v>
      </c>
      <c r="B89">
        <v>945.13352834260775</v>
      </c>
      <c r="C89">
        <v>23717.946999999989</v>
      </c>
      <c r="D89" s="23">
        <f t="shared" si="3"/>
        <v>237.1794699999999</v>
      </c>
    </row>
    <row r="90" spans="1:4">
      <c r="A90" s="22">
        <f t="shared" si="2"/>
        <v>95.599713211666057</v>
      </c>
      <c r="B90">
        <v>955.99713211666062</v>
      </c>
      <c r="C90">
        <v>23700.707999999988</v>
      </c>
      <c r="D90" s="23">
        <f t="shared" si="3"/>
        <v>237.00707999999989</v>
      </c>
    </row>
    <row r="91" spans="1:4">
      <c r="A91" s="22">
        <f t="shared" si="2"/>
        <v>96.686073589071356</v>
      </c>
      <c r="B91">
        <v>966.86073589071361</v>
      </c>
      <c r="C91">
        <v>23683.468999999986</v>
      </c>
      <c r="D91" s="23">
        <f t="shared" si="3"/>
        <v>236.83468999999985</v>
      </c>
    </row>
    <row r="92" spans="1:4">
      <c r="A92" s="22">
        <f t="shared" si="2"/>
        <v>97.772433966476655</v>
      </c>
      <c r="B92">
        <v>977.7243396647666</v>
      </c>
      <c r="C92">
        <v>23666.23</v>
      </c>
      <c r="D92" s="23">
        <f t="shared" si="3"/>
        <v>236.66229999999999</v>
      </c>
    </row>
    <row r="93" spans="1:4">
      <c r="A93" s="22">
        <f t="shared" si="2"/>
        <v>98.858794343881954</v>
      </c>
      <c r="B93">
        <v>988.58794343881959</v>
      </c>
      <c r="C93">
        <v>23653.085999999999</v>
      </c>
      <c r="D93" s="23">
        <f t="shared" si="3"/>
        <v>236.53085999999999</v>
      </c>
    </row>
    <row r="94" spans="1:4">
      <c r="A94" s="22">
        <f t="shared" si="2"/>
        <v>99.945154721287253</v>
      </c>
      <c r="B94">
        <v>999.45154721287247</v>
      </c>
      <c r="C94">
        <v>23639.941999999999</v>
      </c>
      <c r="D94" s="23">
        <f t="shared" si="3"/>
        <v>236.39941999999999</v>
      </c>
    </row>
    <row r="95" spans="1:4">
      <c r="A95" s="22">
        <f t="shared" si="2"/>
        <v>101.03151509869255</v>
      </c>
      <c r="B95">
        <v>1010.3151509869255</v>
      </c>
      <c r="C95">
        <v>23626.797999999999</v>
      </c>
      <c r="D95" s="23">
        <f t="shared" si="3"/>
        <v>236.26797999999999</v>
      </c>
    </row>
    <row r="96" spans="1:4">
      <c r="A96" s="22">
        <f t="shared" si="2"/>
        <v>102.11787547609785</v>
      </c>
      <c r="B96">
        <v>1021.1787547609784</v>
      </c>
      <c r="C96">
        <v>23613.653999999999</v>
      </c>
      <c r="D96" s="23">
        <f t="shared" si="3"/>
        <v>236.13654</v>
      </c>
    </row>
    <row r="97" spans="1:4">
      <c r="A97" s="22">
        <f t="shared" si="2"/>
        <v>103.20423585350314</v>
      </c>
      <c r="B97">
        <v>1032.0423585350313</v>
      </c>
      <c r="C97">
        <v>23600.51</v>
      </c>
      <c r="D97" s="23">
        <f t="shared" si="3"/>
        <v>236.00509999999997</v>
      </c>
    </row>
    <row r="98" spans="1:4">
      <c r="A98" s="22">
        <f t="shared" si="2"/>
        <v>104.29059623090843</v>
      </c>
      <c r="B98">
        <v>1042.9059623090843</v>
      </c>
      <c r="C98">
        <v>23587.365999999998</v>
      </c>
      <c r="D98" s="23">
        <f t="shared" si="3"/>
        <v>235.87365999999997</v>
      </c>
    </row>
    <row r="99" spans="1:4">
      <c r="A99" s="22">
        <f t="shared" si="2"/>
        <v>105.37695660831373</v>
      </c>
      <c r="B99">
        <v>1053.7695660831373</v>
      </c>
      <c r="C99">
        <v>23574.221999999998</v>
      </c>
      <c r="D99" s="23">
        <f t="shared" si="3"/>
        <v>235.74221999999997</v>
      </c>
    </row>
    <row r="100" spans="1:4">
      <c r="A100" s="22">
        <f t="shared" si="2"/>
        <v>106.46331698571903</v>
      </c>
      <c r="B100">
        <v>1064.6331698571903</v>
      </c>
      <c r="C100">
        <v>23561.077999999998</v>
      </c>
      <c r="D100" s="23">
        <f t="shared" si="3"/>
        <v>235.61077999999998</v>
      </c>
    </row>
    <row r="101" spans="1:4">
      <c r="A101" s="22">
        <f t="shared" si="2"/>
        <v>107.54967736312433</v>
      </c>
      <c r="B101">
        <v>1075.4967736312433</v>
      </c>
      <c r="C101">
        <v>23547.933999999997</v>
      </c>
      <c r="D101" s="23">
        <f t="shared" si="3"/>
        <v>235.47933999999998</v>
      </c>
    </row>
    <row r="102" spans="1:4">
      <c r="A102" s="22">
        <f t="shared" si="2"/>
        <v>108.63603774052963</v>
      </c>
      <c r="B102">
        <v>1086.3603774052963</v>
      </c>
      <c r="C102">
        <v>23534.79</v>
      </c>
      <c r="D102" s="23">
        <f t="shared" si="3"/>
        <v>235.34790000000001</v>
      </c>
    </row>
    <row r="103" spans="1:4">
      <c r="A103" s="22">
        <f t="shared" si="2"/>
        <v>109.72239811793493</v>
      </c>
      <c r="B103">
        <v>1097.2239811793493</v>
      </c>
      <c r="C103">
        <v>23516.4866</v>
      </c>
      <c r="D103" s="23">
        <f t="shared" si="3"/>
        <v>235.16486599999999</v>
      </c>
    </row>
    <row r="104" spans="1:4">
      <c r="A104" s="22">
        <f t="shared" si="2"/>
        <v>110.8087584953402</v>
      </c>
      <c r="B104">
        <v>1108.087584953402</v>
      </c>
      <c r="C104">
        <v>23498.183199999999</v>
      </c>
      <c r="D104" s="23">
        <f t="shared" si="3"/>
        <v>234.981832</v>
      </c>
    </row>
    <row r="105" spans="1:4">
      <c r="A105" s="22">
        <f t="shared" si="2"/>
        <v>111.8951188727455</v>
      </c>
      <c r="B105">
        <v>1118.951188727455</v>
      </c>
      <c r="C105">
        <v>23479.879799999999</v>
      </c>
      <c r="D105" s="23">
        <f t="shared" si="3"/>
        <v>234.79879799999998</v>
      </c>
    </row>
    <row r="106" spans="1:4">
      <c r="A106" s="22">
        <f t="shared" si="2"/>
        <v>112.9814792501508</v>
      </c>
      <c r="B106">
        <v>1129.814792501508</v>
      </c>
      <c r="C106">
        <v>23461.576399999998</v>
      </c>
      <c r="D106" s="23">
        <f t="shared" si="3"/>
        <v>234.61576399999998</v>
      </c>
    </row>
    <row r="107" spans="1:4">
      <c r="A107" s="22">
        <f t="shared" si="2"/>
        <v>114.0678396275561</v>
      </c>
      <c r="B107">
        <v>1140.678396275561</v>
      </c>
      <c r="C107">
        <v>23443.272999999997</v>
      </c>
      <c r="D107" s="23">
        <f t="shared" si="3"/>
        <v>234.43272999999996</v>
      </c>
    </row>
    <row r="108" spans="1:4">
      <c r="A108" s="22">
        <f t="shared" si="2"/>
        <v>115.1542000049614</v>
      </c>
      <c r="B108">
        <v>1151.542000049614</v>
      </c>
      <c r="C108">
        <v>23424.969599999997</v>
      </c>
      <c r="D108" s="23">
        <f t="shared" si="3"/>
        <v>234.24969599999997</v>
      </c>
    </row>
    <row r="109" spans="1:4">
      <c r="A109" s="22">
        <f t="shared" si="2"/>
        <v>116.2405603823667</v>
      </c>
      <c r="B109">
        <v>1162.405603823667</v>
      </c>
      <c r="C109">
        <v>23406.666199999996</v>
      </c>
      <c r="D109" s="23">
        <f t="shared" si="3"/>
        <v>234.06666199999995</v>
      </c>
    </row>
    <row r="110" spans="1:4">
      <c r="A110" s="22">
        <f t="shared" si="2"/>
        <v>117.32692075977199</v>
      </c>
      <c r="B110">
        <v>1173.26920759772</v>
      </c>
      <c r="C110">
        <v>23388.362799999995</v>
      </c>
      <c r="D110" s="23">
        <f t="shared" si="3"/>
        <v>233.88362799999996</v>
      </c>
    </row>
    <row r="111" spans="1:4">
      <c r="A111" s="22">
        <f t="shared" si="2"/>
        <v>118.41328113717729</v>
      </c>
      <c r="B111">
        <v>1184.132811371773</v>
      </c>
      <c r="C111">
        <v>23370.059399999995</v>
      </c>
      <c r="D111" s="23">
        <f t="shared" si="3"/>
        <v>233.70059399999994</v>
      </c>
    </row>
    <row r="112" spans="1:4">
      <c r="A112" s="22">
        <f t="shared" si="2"/>
        <v>119.49964151458258</v>
      </c>
      <c r="B112">
        <v>1194.9964151458257</v>
      </c>
      <c r="C112">
        <v>23364.9</v>
      </c>
      <c r="D112" s="23">
        <f t="shared" si="3"/>
        <v>233.649</v>
      </c>
    </row>
    <row r="113" spans="1:4">
      <c r="A113" s="22">
        <f t="shared" si="2"/>
        <v>120.58600189198788</v>
      </c>
      <c r="B113">
        <v>1205.8600189198787</v>
      </c>
      <c r="C113">
        <v>23343.082000000002</v>
      </c>
      <c r="D113" s="23">
        <f t="shared" si="3"/>
        <v>233.43082000000001</v>
      </c>
    </row>
    <row r="114" spans="1:4">
      <c r="A114" s="22">
        <f t="shared" si="2"/>
        <v>121.67236226939318</v>
      </c>
      <c r="B114">
        <v>1216.7236226939317</v>
      </c>
      <c r="C114">
        <v>23321.264000000003</v>
      </c>
      <c r="D114" s="23">
        <f t="shared" si="3"/>
        <v>233.21264000000002</v>
      </c>
    </row>
    <row r="115" spans="1:4">
      <c r="A115" s="22">
        <f t="shared" si="2"/>
        <v>122.75872264679847</v>
      </c>
      <c r="B115">
        <v>1227.5872264679847</v>
      </c>
      <c r="C115">
        <v>23299.446000000004</v>
      </c>
      <c r="D115" s="23">
        <f t="shared" si="3"/>
        <v>232.99446000000003</v>
      </c>
    </row>
    <row r="116" spans="1:4">
      <c r="A116" s="22">
        <f t="shared" si="2"/>
        <v>123.84508302420377</v>
      </c>
      <c r="B116">
        <v>1238.4508302420377</v>
      </c>
      <c r="C116">
        <v>23277.628000000004</v>
      </c>
      <c r="D116" s="23">
        <f t="shared" si="3"/>
        <v>232.77628000000004</v>
      </c>
    </row>
    <row r="117" spans="1:4">
      <c r="A117" s="22">
        <f t="shared" si="2"/>
        <v>124.93144340160907</v>
      </c>
      <c r="B117">
        <v>1249.3144340160907</v>
      </c>
      <c r="C117">
        <v>23255.810000000005</v>
      </c>
      <c r="D117" s="23">
        <f t="shared" si="3"/>
        <v>232.55810000000005</v>
      </c>
    </row>
    <row r="118" spans="1:4">
      <c r="A118" s="22">
        <f t="shared" si="2"/>
        <v>126.01780377901437</v>
      </c>
      <c r="B118">
        <v>1260.1780377901437</v>
      </c>
      <c r="C118">
        <v>23233.992000000006</v>
      </c>
      <c r="D118" s="23">
        <f t="shared" si="3"/>
        <v>232.33992000000006</v>
      </c>
    </row>
    <row r="119" spans="1:4">
      <c r="A119" s="22">
        <f t="shared" si="2"/>
        <v>127.10416415641967</v>
      </c>
      <c r="B119">
        <v>1271.0416415641967</v>
      </c>
      <c r="C119">
        <v>23212.174000000006</v>
      </c>
      <c r="D119" s="23">
        <f t="shared" si="3"/>
        <v>232.12174000000007</v>
      </c>
    </row>
    <row r="120" spans="1:4">
      <c r="A120" s="22">
        <f t="shared" si="2"/>
        <v>128.19052453382494</v>
      </c>
      <c r="B120">
        <v>1281.9052453382494</v>
      </c>
      <c r="C120">
        <v>23190.356000000007</v>
      </c>
      <c r="D120" s="23">
        <f t="shared" si="3"/>
        <v>231.90356000000008</v>
      </c>
    </row>
    <row r="121" spans="1:4">
      <c r="A121" s="22">
        <f t="shared" si="2"/>
        <v>129.27688491123024</v>
      </c>
      <c r="B121">
        <v>1292.7688491123024</v>
      </c>
      <c r="C121">
        <v>23168.538000000008</v>
      </c>
      <c r="D121" s="23">
        <f t="shared" si="3"/>
        <v>231.68538000000007</v>
      </c>
    </row>
    <row r="122" spans="1:4">
      <c r="A122" s="22">
        <f t="shared" si="2"/>
        <v>130.36324528863554</v>
      </c>
      <c r="B122">
        <v>1303.6324528863554</v>
      </c>
      <c r="C122">
        <v>23146.720000000001</v>
      </c>
      <c r="D122" s="23">
        <f t="shared" si="3"/>
        <v>231.46720000000002</v>
      </c>
    </row>
    <row r="123" spans="1:4">
      <c r="A123" s="22">
        <f t="shared" si="2"/>
        <v>131.44960566604084</v>
      </c>
      <c r="B123">
        <v>1314.4960566604084</v>
      </c>
      <c r="C123">
        <v>23119.448</v>
      </c>
      <c r="D123" s="23">
        <f t="shared" si="3"/>
        <v>231.19448</v>
      </c>
    </row>
    <row r="124" spans="1:4">
      <c r="A124" s="22">
        <f t="shared" si="2"/>
        <v>132.53596604344614</v>
      </c>
      <c r="B124">
        <v>1325.3596604344614</v>
      </c>
      <c r="C124">
        <v>23092.175999999999</v>
      </c>
      <c r="D124" s="23">
        <f t="shared" si="3"/>
        <v>230.92176000000001</v>
      </c>
    </row>
    <row r="125" spans="1:4">
      <c r="A125" s="22">
        <f t="shared" si="2"/>
        <v>133.62232642085144</v>
      </c>
      <c r="B125">
        <v>1336.2232642085144</v>
      </c>
      <c r="C125">
        <v>23064.903999999999</v>
      </c>
      <c r="D125" s="23">
        <f t="shared" si="3"/>
        <v>230.64903999999999</v>
      </c>
    </row>
    <row r="126" spans="1:4">
      <c r="A126" s="22">
        <f t="shared" si="2"/>
        <v>134.70868679825674</v>
      </c>
      <c r="B126">
        <v>1347.0868679825674</v>
      </c>
      <c r="C126">
        <v>23037.631999999998</v>
      </c>
      <c r="D126" s="23">
        <f t="shared" si="3"/>
        <v>230.37631999999996</v>
      </c>
    </row>
    <row r="127" spans="1:4">
      <c r="A127" s="22">
        <f t="shared" si="2"/>
        <v>135.79504717566203</v>
      </c>
      <c r="B127">
        <v>1357.9504717566203</v>
      </c>
      <c r="C127">
        <v>23010.359999999997</v>
      </c>
      <c r="D127" s="23">
        <f t="shared" si="3"/>
        <v>230.10359999999997</v>
      </c>
    </row>
    <row r="128" spans="1:4">
      <c r="A128" s="22">
        <f t="shared" si="2"/>
        <v>136.88140755306731</v>
      </c>
      <c r="B128">
        <v>1368.8140755306731</v>
      </c>
      <c r="C128">
        <v>22983.087999999996</v>
      </c>
      <c r="D128" s="23">
        <f t="shared" si="3"/>
        <v>229.83087999999995</v>
      </c>
    </row>
    <row r="129" spans="1:4">
      <c r="A129" s="22">
        <f t="shared" si="2"/>
        <v>137.9677679304726</v>
      </c>
      <c r="B129">
        <v>1379.6776793047261</v>
      </c>
      <c r="C129">
        <v>22955.815999999995</v>
      </c>
      <c r="D129" s="23">
        <f t="shared" si="3"/>
        <v>229.55815999999996</v>
      </c>
    </row>
    <row r="130" spans="1:4">
      <c r="A130" s="22">
        <f t="shared" si="2"/>
        <v>139.0541283078779</v>
      </c>
      <c r="B130">
        <v>1390.5412830787791</v>
      </c>
      <c r="C130">
        <v>22928.543999999994</v>
      </c>
      <c r="D130" s="23">
        <f t="shared" si="3"/>
        <v>229.28543999999994</v>
      </c>
    </row>
    <row r="131" spans="1:4">
      <c r="A131" s="22">
        <f t="shared" ref="A131:A194" si="4">$B131/10</f>
        <v>140.1404886852832</v>
      </c>
      <c r="B131">
        <v>1401.4048868528321</v>
      </c>
      <c r="C131">
        <v>22901.271999999994</v>
      </c>
      <c r="D131" s="23">
        <f t="shared" ref="D131:D194" si="5">$C131/100</f>
        <v>229.01271999999994</v>
      </c>
    </row>
    <row r="132" spans="1:4">
      <c r="A132" s="22">
        <f t="shared" si="4"/>
        <v>141.2268490626885</v>
      </c>
      <c r="B132">
        <v>1412.2684906268851</v>
      </c>
      <c r="C132">
        <v>22874</v>
      </c>
      <c r="D132" s="23">
        <f t="shared" si="5"/>
        <v>228.74</v>
      </c>
    </row>
    <row r="133" spans="1:4">
      <c r="A133" s="22">
        <f t="shared" si="4"/>
        <v>142.3132094400938</v>
      </c>
      <c r="B133">
        <v>1423.1320944009381</v>
      </c>
      <c r="C133">
        <v>22840.989000000001</v>
      </c>
      <c r="D133" s="23">
        <f t="shared" si="5"/>
        <v>228.40989000000002</v>
      </c>
    </row>
    <row r="134" spans="1:4">
      <c r="A134" s="22">
        <f t="shared" si="4"/>
        <v>143.3995698174991</v>
      </c>
      <c r="B134">
        <v>1433.995698174991</v>
      </c>
      <c r="C134">
        <v>22807.978000000003</v>
      </c>
      <c r="D134" s="23">
        <f t="shared" si="5"/>
        <v>228.07978000000003</v>
      </c>
    </row>
    <row r="135" spans="1:4">
      <c r="A135" s="22">
        <f t="shared" si="4"/>
        <v>144.4859301949044</v>
      </c>
      <c r="B135">
        <v>1444.859301949044</v>
      </c>
      <c r="C135">
        <v>22774.967000000004</v>
      </c>
      <c r="D135" s="23">
        <f t="shared" si="5"/>
        <v>227.74967000000004</v>
      </c>
    </row>
    <row r="136" spans="1:4">
      <c r="A136" s="22">
        <f t="shared" si="4"/>
        <v>145.57229057230967</v>
      </c>
      <c r="B136">
        <v>1455.7229057230968</v>
      </c>
      <c r="C136">
        <v>22741.956000000006</v>
      </c>
      <c r="D136" s="23">
        <f t="shared" si="5"/>
        <v>227.41956000000005</v>
      </c>
    </row>
    <row r="137" spans="1:4">
      <c r="A137" s="22">
        <f t="shared" si="4"/>
        <v>146.65865094971497</v>
      </c>
      <c r="B137">
        <v>1466.5865094971498</v>
      </c>
      <c r="C137">
        <v>22708.945000000007</v>
      </c>
      <c r="D137" s="23">
        <f t="shared" si="5"/>
        <v>227.08945000000006</v>
      </c>
    </row>
    <row r="138" spans="1:4">
      <c r="A138" s="22">
        <f t="shared" si="4"/>
        <v>147.74501132712027</v>
      </c>
      <c r="B138">
        <v>1477.4501132712028</v>
      </c>
      <c r="C138">
        <v>22675.934000000008</v>
      </c>
      <c r="D138" s="23">
        <f t="shared" si="5"/>
        <v>226.75934000000009</v>
      </c>
    </row>
    <row r="139" spans="1:4">
      <c r="A139" s="22">
        <f t="shared" si="4"/>
        <v>148.83137170452557</v>
      </c>
      <c r="B139">
        <v>1488.3137170452558</v>
      </c>
      <c r="C139">
        <v>22642.92300000001</v>
      </c>
      <c r="D139" s="23">
        <f t="shared" si="5"/>
        <v>226.4292300000001</v>
      </c>
    </row>
    <row r="140" spans="1:4">
      <c r="A140" s="22">
        <f t="shared" si="4"/>
        <v>149.91773208193086</v>
      </c>
      <c r="B140">
        <v>1499.1773208193088</v>
      </c>
      <c r="C140">
        <v>22609.912000000011</v>
      </c>
      <c r="D140" s="23">
        <f t="shared" si="5"/>
        <v>226.09912000000011</v>
      </c>
    </row>
    <row r="141" spans="1:4">
      <c r="A141" s="22">
        <f t="shared" si="4"/>
        <v>151.00409245933616</v>
      </c>
      <c r="B141">
        <v>1510.0409245933618</v>
      </c>
      <c r="C141">
        <v>22576.901000000013</v>
      </c>
      <c r="D141" s="23">
        <f t="shared" si="5"/>
        <v>225.76901000000012</v>
      </c>
    </row>
    <row r="142" spans="1:4">
      <c r="A142" s="22">
        <f t="shared" si="4"/>
        <v>152.09045283674146</v>
      </c>
      <c r="B142">
        <v>1520.9045283674147</v>
      </c>
      <c r="C142">
        <v>22543.89</v>
      </c>
      <c r="D142" s="23">
        <f t="shared" si="5"/>
        <v>225.43889999999999</v>
      </c>
    </row>
    <row r="143" spans="1:4">
      <c r="A143" s="22">
        <f t="shared" si="4"/>
        <v>153.17681321414676</v>
      </c>
      <c r="B143">
        <v>1531.7681321414677</v>
      </c>
      <c r="C143">
        <v>22504.894</v>
      </c>
      <c r="D143" s="23">
        <f t="shared" si="5"/>
        <v>225.04894000000002</v>
      </c>
    </row>
    <row r="144" spans="1:4">
      <c r="A144" s="22">
        <f t="shared" si="4"/>
        <v>154.26317359155206</v>
      </c>
      <c r="B144">
        <v>1542.6317359155207</v>
      </c>
      <c r="C144">
        <v>22465.898000000001</v>
      </c>
      <c r="D144" s="23">
        <f t="shared" si="5"/>
        <v>224.65898000000001</v>
      </c>
    </row>
    <row r="145" spans="1:4">
      <c r="A145" s="22">
        <f t="shared" si="4"/>
        <v>155.34953396895736</v>
      </c>
      <c r="B145">
        <v>1553.4953396895735</v>
      </c>
      <c r="C145">
        <v>22426.902000000002</v>
      </c>
      <c r="D145" s="23">
        <f t="shared" si="5"/>
        <v>224.26902000000001</v>
      </c>
    </row>
    <row r="146" spans="1:4">
      <c r="A146" s="22">
        <f t="shared" si="4"/>
        <v>156.43589434636266</v>
      </c>
      <c r="B146">
        <v>1564.3589434636265</v>
      </c>
      <c r="C146">
        <v>22387.906000000003</v>
      </c>
      <c r="D146" s="23">
        <f t="shared" si="5"/>
        <v>223.87906000000004</v>
      </c>
    </row>
    <row r="147" spans="1:4">
      <c r="A147" s="22">
        <f t="shared" si="4"/>
        <v>157.52225472376796</v>
      </c>
      <c r="B147">
        <v>1575.2225472376795</v>
      </c>
      <c r="C147">
        <v>22348.910000000003</v>
      </c>
      <c r="D147" s="23">
        <f t="shared" si="5"/>
        <v>223.48910000000004</v>
      </c>
    </row>
    <row r="148" spans="1:4">
      <c r="A148" s="22">
        <f t="shared" si="4"/>
        <v>158.60861510117326</v>
      </c>
      <c r="B148">
        <v>1586.0861510117325</v>
      </c>
      <c r="C148">
        <v>22309.914000000004</v>
      </c>
      <c r="D148" s="23">
        <f t="shared" si="5"/>
        <v>223.09914000000003</v>
      </c>
    </row>
    <row r="149" spans="1:4">
      <c r="A149" s="22">
        <f t="shared" si="4"/>
        <v>159.69497547857856</v>
      </c>
      <c r="B149">
        <v>1596.9497547857854</v>
      </c>
      <c r="C149">
        <v>22270.918000000005</v>
      </c>
      <c r="D149" s="23">
        <f t="shared" si="5"/>
        <v>222.70918000000006</v>
      </c>
    </row>
    <row r="150" spans="1:4">
      <c r="A150" s="22">
        <f t="shared" si="4"/>
        <v>160.78133585598385</v>
      </c>
      <c r="B150">
        <v>1607.8133585598384</v>
      </c>
      <c r="C150">
        <v>22231.922000000006</v>
      </c>
      <c r="D150" s="23">
        <f t="shared" si="5"/>
        <v>222.31922000000006</v>
      </c>
    </row>
    <row r="151" spans="1:4">
      <c r="A151" s="22">
        <f t="shared" si="4"/>
        <v>161.86769623338915</v>
      </c>
      <c r="B151">
        <v>1618.6769623338914</v>
      </c>
      <c r="C151">
        <v>22192.926000000007</v>
      </c>
      <c r="D151" s="23">
        <f t="shared" si="5"/>
        <v>221.92926000000006</v>
      </c>
    </row>
    <row r="152" spans="1:4">
      <c r="A152" s="22">
        <f t="shared" si="4"/>
        <v>162.95405661079445</v>
      </c>
      <c r="B152">
        <v>1629.5405661079444</v>
      </c>
      <c r="C152">
        <v>22153.93</v>
      </c>
      <c r="D152" s="23">
        <f t="shared" si="5"/>
        <v>221.5393</v>
      </c>
    </row>
    <row r="153" spans="1:4">
      <c r="A153" s="22">
        <f t="shared" si="4"/>
        <v>164.04041698819972</v>
      </c>
      <c r="B153">
        <v>1640.4041698819972</v>
      </c>
      <c r="C153">
        <v>22108.761999999999</v>
      </c>
      <c r="D153" s="23">
        <f t="shared" si="5"/>
        <v>221.08761999999999</v>
      </c>
    </row>
    <row r="154" spans="1:4">
      <c r="A154" s="22">
        <f t="shared" si="4"/>
        <v>165.12677736560502</v>
      </c>
      <c r="B154">
        <v>1651.2677736560502</v>
      </c>
      <c r="C154">
        <v>22063.593999999997</v>
      </c>
      <c r="D154" s="23">
        <f t="shared" si="5"/>
        <v>220.63593999999998</v>
      </c>
    </row>
    <row r="155" spans="1:4">
      <c r="A155" s="22">
        <f t="shared" si="4"/>
        <v>166.21313774301032</v>
      </c>
      <c r="B155">
        <v>1662.1313774301032</v>
      </c>
      <c r="C155">
        <v>22018.425999999996</v>
      </c>
      <c r="D155" s="23">
        <f t="shared" si="5"/>
        <v>220.18425999999997</v>
      </c>
    </row>
    <row r="156" spans="1:4">
      <c r="A156" s="22">
        <f t="shared" si="4"/>
        <v>167.29949812041562</v>
      </c>
      <c r="B156">
        <v>1672.9949812041561</v>
      </c>
      <c r="C156">
        <v>21973.257999999994</v>
      </c>
      <c r="D156" s="23">
        <f t="shared" si="5"/>
        <v>219.73257999999996</v>
      </c>
    </row>
    <row r="157" spans="1:4">
      <c r="A157" s="22">
        <f t="shared" si="4"/>
        <v>168.38585849782092</v>
      </c>
      <c r="B157">
        <v>1683.8585849782091</v>
      </c>
      <c r="C157">
        <v>21928.089999999993</v>
      </c>
      <c r="D157" s="23">
        <f t="shared" si="5"/>
        <v>219.28089999999992</v>
      </c>
    </row>
    <row r="158" spans="1:4">
      <c r="A158" s="22">
        <f t="shared" si="4"/>
        <v>169.47221887522622</v>
      </c>
      <c r="B158">
        <v>1694.7221887522621</v>
      </c>
      <c r="C158">
        <v>21882.921999999991</v>
      </c>
      <c r="D158" s="23">
        <f t="shared" si="5"/>
        <v>218.82921999999991</v>
      </c>
    </row>
    <row r="159" spans="1:4">
      <c r="A159" s="22">
        <f t="shared" si="4"/>
        <v>170.55857925263152</v>
      </c>
      <c r="B159">
        <v>1705.5857925263151</v>
      </c>
      <c r="C159">
        <v>21837.75399999999</v>
      </c>
      <c r="D159" s="23">
        <f t="shared" si="5"/>
        <v>218.3775399999999</v>
      </c>
    </row>
    <row r="160" spans="1:4">
      <c r="A160" s="22">
        <f t="shared" si="4"/>
        <v>171.64493963003682</v>
      </c>
      <c r="B160">
        <v>1716.4493963003681</v>
      </c>
      <c r="C160">
        <v>21792.585999999988</v>
      </c>
      <c r="D160" s="23">
        <f t="shared" si="5"/>
        <v>217.92585999999989</v>
      </c>
    </row>
    <row r="161" spans="1:4">
      <c r="A161" s="22">
        <f t="shared" si="4"/>
        <v>172.73130000744209</v>
      </c>
      <c r="B161">
        <v>1727.3130000744209</v>
      </c>
      <c r="C161">
        <v>21747.417999999987</v>
      </c>
      <c r="D161" s="23">
        <f t="shared" si="5"/>
        <v>217.47417999999988</v>
      </c>
    </row>
    <row r="162" spans="1:4">
      <c r="A162" s="22">
        <f t="shared" si="4"/>
        <v>173.81766038484739</v>
      </c>
      <c r="B162">
        <v>1738.1766038484739</v>
      </c>
      <c r="C162">
        <v>21702.25</v>
      </c>
      <c r="D162" s="23">
        <f t="shared" si="5"/>
        <v>217.02250000000001</v>
      </c>
    </row>
    <row r="163" spans="1:4">
      <c r="A163" s="22">
        <f t="shared" si="4"/>
        <v>174.90402076225269</v>
      </c>
      <c r="B163">
        <v>1749.0402076225269</v>
      </c>
      <c r="C163">
        <v>21650.793000000001</v>
      </c>
      <c r="D163" s="23">
        <f t="shared" si="5"/>
        <v>216.50793000000002</v>
      </c>
    </row>
    <row r="164" spans="1:4">
      <c r="A164" s="22">
        <f t="shared" si="4"/>
        <v>175.99038113965798</v>
      </c>
      <c r="B164">
        <v>1759.9038113965798</v>
      </c>
      <c r="C164">
        <v>21599.336000000003</v>
      </c>
      <c r="D164" s="23">
        <f t="shared" si="5"/>
        <v>215.99336000000002</v>
      </c>
    </row>
    <row r="165" spans="1:4">
      <c r="A165" s="22">
        <f t="shared" si="4"/>
        <v>177.07674151706328</v>
      </c>
      <c r="B165">
        <v>1770.7674151706328</v>
      </c>
      <c r="C165">
        <v>21547.879000000004</v>
      </c>
      <c r="D165" s="23">
        <f t="shared" si="5"/>
        <v>215.47879000000003</v>
      </c>
    </row>
    <row r="166" spans="1:4">
      <c r="A166" s="22">
        <f t="shared" si="4"/>
        <v>178.16310189446858</v>
      </c>
      <c r="B166">
        <v>1781.6310189446858</v>
      </c>
      <c r="C166">
        <v>21496.422000000006</v>
      </c>
      <c r="D166" s="23">
        <f t="shared" si="5"/>
        <v>214.96422000000007</v>
      </c>
    </row>
    <row r="167" spans="1:4">
      <c r="A167" s="22">
        <f t="shared" si="4"/>
        <v>179.24946227187388</v>
      </c>
      <c r="B167">
        <v>1792.4946227187388</v>
      </c>
      <c r="C167">
        <v>21444.965000000007</v>
      </c>
      <c r="D167" s="23">
        <f t="shared" si="5"/>
        <v>214.44965000000008</v>
      </c>
    </row>
    <row r="168" spans="1:4">
      <c r="A168" s="22">
        <f t="shared" si="4"/>
        <v>180.33582264927918</v>
      </c>
      <c r="B168">
        <v>1803.3582264927918</v>
      </c>
      <c r="C168">
        <v>21393.508000000009</v>
      </c>
      <c r="D168" s="23">
        <f t="shared" si="5"/>
        <v>213.93508000000008</v>
      </c>
    </row>
    <row r="169" spans="1:4">
      <c r="A169" s="22">
        <f t="shared" si="4"/>
        <v>181.42218302668445</v>
      </c>
      <c r="B169">
        <v>1814.2218302668446</v>
      </c>
      <c r="C169">
        <v>21342.05100000001</v>
      </c>
      <c r="D169" s="23">
        <f t="shared" si="5"/>
        <v>213.42051000000009</v>
      </c>
    </row>
    <row r="170" spans="1:4">
      <c r="A170" s="22">
        <f t="shared" si="4"/>
        <v>182.50854340408975</v>
      </c>
      <c r="B170">
        <v>1825.0854340408976</v>
      </c>
      <c r="C170">
        <v>21290.594000000012</v>
      </c>
      <c r="D170" s="23">
        <f t="shared" si="5"/>
        <v>212.90594000000013</v>
      </c>
    </row>
    <row r="171" spans="1:4">
      <c r="A171" s="22">
        <f t="shared" si="4"/>
        <v>183.59490378149505</v>
      </c>
      <c r="B171">
        <v>1835.9490378149505</v>
      </c>
      <c r="C171">
        <v>21239.137000000013</v>
      </c>
      <c r="D171" s="23">
        <f t="shared" si="5"/>
        <v>212.39137000000014</v>
      </c>
    </row>
    <row r="172" spans="1:4">
      <c r="A172" s="22">
        <f t="shared" si="4"/>
        <v>184.68126415890035</v>
      </c>
      <c r="B172">
        <v>1846.8126415890035</v>
      </c>
      <c r="C172">
        <v>21187.68</v>
      </c>
      <c r="D172" s="23">
        <f t="shared" si="5"/>
        <v>211.8768</v>
      </c>
    </row>
    <row r="173" spans="1:4">
      <c r="A173" s="22">
        <f t="shared" si="4"/>
        <v>185.76762453630565</v>
      </c>
      <c r="B173">
        <v>1857.6762453630565</v>
      </c>
      <c r="C173">
        <v>21129.931</v>
      </c>
      <c r="D173" s="23">
        <f t="shared" si="5"/>
        <v>211.29930999999999</v>
      </c>
    </row>
    <row r="174" spans="1:4">
      <c r="A174" s="22">
        <f t="shared" si="4"/>
        <v>186.85398491371095</v>
      </c>
      <c r="B174">
        <v>1868.5398491371095</v>
      </c>
      <c r="C174">
        <v>21072.182000000001</v>
      </c>
      <c r="D174" s="23">
        <f t="shared" si="5"/>
        <v>210.72182000000001</v>
      </c>
    </row>
    <row r="175" spans="1:4">
      <c r="A175" s="22">
        <f t="shared" si="4"/>
        <v>187.94034529111624</v>
      </c>
      <c r="B175">
        <v>1879.4034529111625</v>
      </c>
      <c r="C175">
        <v>21014.433000000001</v>
      </c>
      <c r="D175" s="23">
        <f t="shared" si="5"/>
        <v>210.14433</v>
      </c>
    </row>
    <row r="176" spans="1:4">
      <c r="A176" s="22">
        <f t="shared" si="4"/>
        <v>189.02670566852154</v>
      </c>
      <c r="B176">
        <v>1890.2670566852155</v>
      </c>
      <c r="C176">
        <v>20956.684000000001</v>
      </c>
      <c r="D176" s="23">
        <f t="shared" si="5"/>
        <v>209.56684000000001</v>
      </c>
    </row>
    <row r="177" spans="1:4">
      <c r="A177" s="22">
        <f t="shared" si="4"/>
        <v>190.11306604592681</v>
      </c>
      <c r="B177">
        <v>1901.1306604592683</v>
      </c>
      <c r="C177">
        <v>20898.935000000001</v>
      </c>
      <c r="D177" s="23">
        <f t="shared" si="5"/>
        <v>208.98935</v>
      </c>
    </row>
    <row r="178" spans="1:4">
      <c r="A178" s="22">
        <f t="shared" si="4"/>
        <v>191.19942642333211</v>
      </c>
      <c r="B178">
        <v>1911.9942642333212</v>
      </c>
      <c r="C178">
        <v>20841.186000000002</v>
      </c>
      <c r="D178" s="23">
        <f t="shared" si="5"/>
        <v>208.41186000000002</v>
      </c>
    </row>
    <row r="179" spans="1:4">
      <c r="A179" s="22">
        <f t="shared" si="4"/>
        <v>192.28578680073741</v>
      </c>
      <c r="B179">
        <v>1922.8578680073742</v>
      </c>
      <c r="C179">
        <v>20783.437000000002</v>
      </c>
      <c r="D179" s="23">
        <f t="shared" si="5"/>
        <v>207.83437000000001</v>
      </c>
    </row>
    <row r="180" spans="1:4">
      <c r="A180" s="22">
        <f t="shared" si="4"/>
        <v>193.37214717814271</v>
      </c>
      <c r="B180">
        <v>1933.7214717814272</v>
      </c>
      <c r="C180">
        <v>20725.688000000002</v>
      </c>
      <c r="D180" s="23">
        <f t="shared" si="5"/>
        <v>207.25688000000002</v>
      </c>
    </row>
    <row r="181" spans="1:4">
      <c r="A181" s="22">
        <f t="shared" si="4"/>
        <v>194.45850755554801</v>
      </c>
      <c r="B181">
        <v>1944.5850755554802</v>
      </c>
      <c r="C181">
        <v>20667.939000000002</v>
      </c>
      <c r="D181" s="23">
        <f t="shared" si="5"/>
        <v>206.67939000000001</v>
      </c>
    </row>
    <row r="182" spans="1:4">
      <c r="A182" s="22">
        <f t="shared" si="4"/>
        <v>195.54486793295331</v>
      </c>
      <c r="B182">
        <v>1955.4486793295332</v>
      </c>
      <c r="C182">
        <v>20610.189999999999</v>
      </c>
      <c r="D182" s="23">
        <f t="shared" si="5"/>
        <v>206.1019</v>
      </c>
    </row>
    <row r="183" spans="1:4">
      <c r="A183" s="22">
        <f t="shared" si="4"/>
        <v>196.63122831035861</v>
      </c>
      <c r="B183">
        <v>1966.3122831035862</v>
      </c>
      <c r="C183">
        <v>20546.34</v>
      </c>
      <c r="D183" s="23">
        <f t="shared" si="5"/>
        <v>205.46340000000001</v>
      </c>
    </row>
    <row r="184" spans="1:4">
      <c r="A184" s="22">
        <f t="shared" si="4"/>
        <v>197.71758868776391</v>
      </c>
      <c r="B184">
        <v>1977.1758868776392</v>
      </c>
      <c r="C184">
        <v>20482.490000000002</v>
      </c>
      <c r="D184" s="23">
        <f t="shared" si="5"/>
        <v>204.82490000000001</v>
      </c>
    </row>
    <row r="185" spans="1:4">
      <c r="A185" s="22">
        <f t="shared" si="4"/>
        <v>198.80394906516921</v>
      </c>
      <c r="B185">
        <v>1988.0394906516919</v>
      </c>
      <c r="C185">
        <v>20418.640000000003</v>
      </c>
      <c r="D185" s="23">
        <f t="shared" si="5"/>
        <v>204.18640000000002</v>
      </c>
    </row>
    <row r="186" spans="1:4">
      <c r="A186" s="22">
        <f t="shared" si="4"/>
        <v>199.89030944257451</v>
      </c>
      <c r="B186">
        <v>1998.9030944257449</v>
      </c>
      <c r="C186">
        <v>20354.790000000005</v>
      </c>
      <c r="D186" s="23">
        <f t="shared" si="5"/>
        <v>203.54790000000006</v>
      </c>
    </row>
    <row r="187" spans="1:4">
      <c r="A187" s="22">
        <f t="shared" si="4"/>
        <v>200.9766698199798</v>
      </c>
      <c r="B187">
        <v>2009.7666981997979</v>
      </c>
      <c r="C187">
        <v>20290.940000000006</v>
      </c>
      <c r="D187" s="23">
        <f t="shared" si="5"/>
        <v>202.90940000000006</v>
      </c>
    </row>
    <row r="188" spans="1:4">
      <c r="A188" s="22">
        <f t="shared" si="4"/>
        <v>202.0630301973851</v>
      </c>
      <c r="B188">
        <v>2020.6303019738509</v>
      </c>
      <c r="C188">
        <v>20227.090000000007</v>
      </c>
      <c r="D188" s="23">
        <f t="shared" si="5"/>
        <v>202.27090000000007</v>
      </c>
    </row>
    <row r="189" spans="1:4">
      <c r="A189" s="22">
        <f t="shared" si="4"/>
        <v>203.1493905747904</v>
      </c>
      <c r="B189">
        <v>2031.4939057479039</v>
      </c>
      <c r="C189">
        <v>20163.240000000009</v>
      </c>
      <c r="D189" s="23">
        <f t="shared" si="5"/>
        <v>201.63240000000008</v>
      </c>
    </row>
    <row r="190" spans="1:4">
      <c r="A190" s="22">
        <f t="shared" si="4"/>
        <v>204.2357509521957</v>
      </c>
      <c r="B190">
        <v>2042.3575095219569</v>
      </c>
      <c r="C190">
        <v>20099.39000000001</v>
      </c>
      <c r="D190" s="23">
        <f t="shared" si="5"/>
        <v>200.99390000000011</v>
      </c>
    </row>
    <row r="191" spans="1:4">
      <c r="A191" s="22">
        <f t="shared" si="4"/>
        <v>205.32211132960097</v>
      </c>
      <c r="B191">
        <v>2053.2211132960097</v>
      </c>
      <c r="C191">
        <v>20035.540000000012</v>
      </c>
      <c r="D191" s="23">
        <f t="shared" si="5"/>
        <v>200.35540000000012</v>
      </c>
    </row>
    <row r="192" spans="1:4">
      <c r="A192" s="22">
        <f t="shared" si="4"/>
        <v>206.40847170700627</v>
      </c>
      <c r="B192">
        <v>2064.0847170700627</v>
      </c>
      <c r="C192">
        <v>19971.689999999999</v>
      </c>
      <c r="D192" s="23">
        <f t="shared" si="5"/>
        <v>199.71689999999998</v>
      </c>
    </row>
    <row r="193" spans="1:4">
      <c r="A193" s="22">
        <f t="shared" si="4"/>
        <v>207.49483208441157</v>
      </c>
      <c r="B193">
        <v>2074.9483208441156</v>
      </c>
      <c r="C193">
        <v>19903.706999999999</v>
      </c>
      <c r="D193" s="23">
        <f t="shared" si="5"/>
        <v>199.03706999999997</v>
      </c>
    </row>
    <row r="194" spans="1:4">
      <c r="A194" s="22">
        <f t="shared" si="4"/>
        <v>208.58119246181687</v>
      </c>
      <c r="B194">
        <v>2085.8119246181686</v>
      </c>
      <c r="C194">
        <v>19835.723999999998</v>
      </c>
      <c r="D194" s="23">
        <f t="shared" si="5"/>
        <v>198.35723999999999</v>
      </c>
    </row>
    <row r="195" spans="1:4">
      <c r="A195" s="22">
        <f t="shared" ref="A195:A258" si="6">$B195/10</f>
        <v>209.66755283922217</v>
      </c>
      <c r="B195">
        <v>2096.6755283922216</v>
      </c>
      <c r="C195">
        <v>19767.740999999998</v>
      </c>
      <c r="D195" s="23">
        <f t="shared" ref="D195:D258" si="7">$C195/100</f>
        <v>197.67740999999998</v>
      </c>
    </row>
    <row r="196" spans="1:4">
      <c r="A196" s="22">
        <f t="shared" si="6"/>
        <v>210.75391321662747</v>
      </c>
      <c r="B196">
        <v>2107.5391321662746</v>
      </c>
      <c r="C196">
        <v>19699.757999999998</v>
      </c>
      <c r="D196" s="23">
        <f t="shared" si="7"/>
        <v>196.99757999999997</v>
      </c>
    </row>
    <row r="197" spans="1:4">
      <c r="A197" s="22">
        <f t="shared" si="6"/>
        <v>211.84027359403277</v>
      </c>
      <c r="B197">
        <v>2118.4027359403276</v>
      </c>
      <c r="C197">
        <v>19631.774999999998</v>
      </c>
      <c r="D197" s="23">
        <f t="shared" si="7"/>
        <v>196.31774999999999</v>
      </c>
    </row>
    <row r="198" spans="1:4">
      <c r="A198" s="22">
        <f t="shared" si="6"/>
        <v>212.92663397143806</v>
      </c>
      <c r="B198">
        <v>2129.2663397143806</v>
      </c>
      <c r="C198">
        <v>19563.791999999998</v>
      </c>
      <c r="D198" s="23">
        <f t="shared" si="7"/>
        <v>195.63791999999998</v>
      </c>
    </row>
    <row r="199" spans="1:4">
      <c r="A199" s="22">
        <f t="shared" si="6"/>
        <v>214.01299434884336</v>
      </c>
      <c r="B199">
        <v>2140.1299434884336</v>
      </c>
      <c r="C199">
        <v>19495.808999999997</v>
      </c>
      <c r="D199" s="23">
        <f t="shared" si="7"/>
        <v>194.95808999999997</v>
      </c>
    </row>
    <row r="200" spans="1:4">
      <c r="A200" s="22">
        <f t="shared" si="6"/>
        <v>215.09935472624866</v>
      </c>
      <c r="B200">
        <v>2150.9935472624866</v>
      </c>
      <c r="C200">
        <v>19427.825999999997</v>
      </c>
      <c r="D200" s="23">
        <f t="shared" si="7"/>
        <v>194.27825999999996</v>
      </c>
    </row>
    <row r="201" spans="1:4">
      <c r="A201" s="22">
        <f t="shared" si="6"/>
        <v>216.18571510365396</v>
      </c>
      <c r="B201">
        <v>2161.8571510365396</v>
      </c>
      <c r="C201">
        <v>19359.842999999997</v>
      </c>
      <c r="D201" s="23">
        <f t="shared" si="7"/>
        <v>193.59842999999998</v>
      </c>
    </row>
    <row r="202" spans="1:4">
      <c r="A202" s="22">
        <f t="shared" si="6"/>
        <v>217.27207548105926</v>
      </c>
      <c r="B202">
        <v>2172.7207548105926</v>
      </c>
      <c r="C202">
        <v>19291.86</v>
      </c>
      <c r="D202" s="23">
        <f t="shared" si="7"/>
        <v>192.9186</v>
      </c>
    </row>
    <row r="203" spans="1:4">
      <c r="A203" s="22">
        <f t="shared" si="6"/>
        <v>218.35843585846456</v>
      </c>
      <c r="B203">
        <v>2183.5843585846455</v>
      </c>
      <c r="C203">
        <v>19223.649669620001</v>
      </c>
      <c r="D203" s="23">
        <f t="shared" si="7"/>
        <v>192.23649669620002</v>
      </c>
    </row>
    <row r="204" spans="1:4">
      <c r="A204" s="22">
        <f t="shared" si="6"/>
        <v>219.44479623586986</v>
      </c>
      <c r="B204">
        <v>2194.4479623586985</v>
      </c>
      <c r="C204">
        <v>19155.439339240002</v>
      </c>
      <c r="D204" s="23">
        <f t="shared" si="7"/>
        <v>191.55439339240002</v>
      </c>
    </row>
    <row r="205" spans="1:4">
      <c r="A205" s="22">
        <f t="shared" si="6"/>
        <v>220.5311566132751</v>
      </c>
      <c r="B205">
        <v>2205.3115661327511</v>
      </c>
      <c r="C205">
        <v>19087.229008860002</v>
      </c>
      <c r="D205" s="23">
        <f t="shared" si="7"/>
        <v>190.87229008860001</v>
      </c>
    </row>
    <row r="206" spans="1:4">
      <c r="A206" s="22">
        <f t="shared" si="6"/>
        <v>221.6175169906804</v>
      </c>
      <c r="B206">
        <v>2216.1751699068041</v>
      </c>
      <c r="C206">
        <v>19019.018678480003</v>
      </c>
      <c r="D206" s="23">
        <f t="shared" si="7"/>
        <v>190.19018678480003</v>
      </c>
    </row>
    <row r="207" spans="1:4">
      <c r="A207" s="22">
        <f t="shared" si="6"/>
        <v>222.7038773680857</v>
      </c>
      <c r="B207">
        <v>2227.038773680857</v>
      </c>
      <c r="C207">
        <v>18950.808348100003</v>
      </c>
      <c r="D207" s="23">
        <f t="shared" si="7"/>
        <v>189.50808348100003</v>
      </c>
    </row>
    <row r="208" spans="1:4">
      <c r="A208" s="22">
        <f t="shared" si="6"/>
        <v>223.790237745491</v>
      </c>
      <c r="B208">
        <v>2237.90237745491</v>
      </c>
      <c r="C208">
        <v>18882.598017720004</v>
      </c>
      <c r="D208" s="23">
        <f t="shared" si="7"/>
        <v>188.82598017720002</v>
      </c>
    </row>
    <row r="209" spans="1:4">
      <c r="A209" s="22">
        <f t="shared" si="6"/>
        <v>224.8765981228963</v>
      </c>
      <c r="B209">
        <v>2248.765981228963</v>
      </c>
      <c r="C209">
        <v>18814.387687340004</v>
      </c>
      <c r="D209" s="23">
        <f t="shared" si="7"/>
        <v>188.14387687340005</v>
      </c>
    </row>
    <row r="210" spans="1:4">
      <c r="A210" s="22">
        <f t="shared" si="6"/>
        <v>225.9629585003016</v>
      </c>
      <c r="B210">
        <v>2259.629585003016</v>
      </c>
      <c r="C210">
        <v>18746.177356960005</v>
      </c>
      <c r="D210" s="23">
        <f t="shared" si="7"/>
        <v>187.46177356960004</v>
      </c>
    </row>
    <row r="211" spans="1:4">
      <c r="A211" s="22">
        <f t="shared" si="6"/>
        <v>227.0493188777069</v>
      </c>
      <c r="B211">
        <v>2270.493188777069</v>
      </c>
      <c r="C211">
        <v>18677.967026580005</v>
      </c>
      <c r="D211" s="23">
        <f t="shared" si="7"/>
        <v>186.77967026580006</v>
      </c>
    </row>
    <row r="212" spans="1:4">
      <c r="A212" s="22">
        <f t="shared" si="6"/>
        <v>228.13567925511219</v>
      </c>
      <c r="B212">
        <v>2281.356792551122</v>
      </c>
      <c r="C212">
        <v>18609.756696200006</v>
      </c>
      <c r="D212" s="23">
        <f t="shared" si="7"/>
        <v>186.09756696200006</v>
      </c>
    </row>
    <row r="213" spans="1:4">
      <c r="A213" s="22">
        <f t="shared" si="6"/>
        <v>229.22203963251749</v>
      </c>
      <c r="B213">
        <v>2292.220396325175</v>
      </c>
      <c r="C213">
        <v>18541.546365820006</v>
      </c>
      <c r="D213" s="23">
        <f t="shared" si="7"/>
        <v>185.41546365820005</v>
      </c>
    </row>
    <row r="214" spans="1:4">
      <c r="A214" s="22">
        <f t="shared" si="6"/>
        <v>230.30840000992279</v>
      </c>
      <c r="B214">
        <v>2303.084000099228</v>
      </c>
      <c r="C214">
        <v>18473.336035440007</v>
      </c>
      <c r="D214" s="23">
        <f t="shared" si="7"/>
        <v>184.73336035440008</v>
      </c>
    </row>
    <row r="215" spans="1:4">
      <c r="A215" s="22">
        <f t="shared" si="6"/>
        <v>231.39476038732809</v>
      </c>
      <c r="B215">
        <v>2313.947603873281</v>
      </c>
      <c r="C215">
        <v>18405.125705060007</v>
      </c>
      <c r="D215" s="23">
        <f t="shared" si="7"/>
        <v>184.05125705060007</v>
      </c>
    </row>
    <row r="216" spans="1:4">
      <c r="A216" s="22">
        <f t="shared" si="6"/>
        <v>232.48112076473339</v>
      </c>
      <c r="B216">
        <v>2324.811207647334</v>
      </c>
      <c r="C216">
        <v>18336.915374680008</v>
      </c>
      <c r="D216" s="23">
        <f t="shared" si="7"/>
        <v>183.36915374680007</v>
      </c>
    </row>
    <row r="217" spans="1:4">
      <c r="A217" s="22">
        <f t="shared" si="6"/>
        <v>233.56748114213869</v>
      </c>
      <c r="B217">
        <v>2335.6748114213869</v>
      </c>
      <c r="C217">
        <v>18268.705044300008</v>
      </c>
      <c r="D217" s="23">
        <f t="shared" si="7"/>
        <v>182.68705044300009</v>
      </c>
    </row>
    <row r="218" spans="1:4">
      <c r="A218" s="22">
        <f t="shared" si="6"/>
        <v>234.65384151954399</v>
      </c>
      <c r="B218">
        <v>2346.5384151954399</v>
      </c>
      <c r="C218">
        <v>18200.494713920009</v>
      </c>
      <c r="D218" s="23">
        <f t="shared" si="7"/>
        <v>182.00494713920008</v>
      </c>
    </row>
    <row r="219" spans="1:4">
      <c r="A219" s="22">
        <f t="shared" si="6"/>
        <v>235.74020189694929</v>
      </c>
      <c r="B219">
        <v>2357.4020189694929</v>
      </c>
      <c r="C219">
        <v>18132.284383540009</v>
      </c>
      <c r="D219" s="23">
        <f t="shared" si="7"/>
        <v>181.32284383540008</v>
      </c>
    </row>
    <row r="220" spans="1:4">
      <c r="A220" s="22">
        <f t="shared" si="6"/>
        <v>236.82656227435459</v>
      </c>
      <c r="B220">
        <v>2368.2656227435459</v>
      </c>
      <c r="C220">
        <v>18064.074053160009</v>
      </c>
      <c r="D220" s="23">
        <f t="shared" si="7"/>
        <v>180.6407405316001</v>
      </c>
    </row>
    <row r="221" spans="1:4">
      <c r="A221" s="22">
        <f t="shared" si="6"/>
        <v>237.91292265175989</v>
      </c>
      <c r="B221">
        <v>2379.1292265175989</v>
      </c>
      <c r="C221">
        <v>17995.86372278001</v>
      </c>
      <c r="D221" s="23">
        <f t="shared" si="7"/>
        <v>179.9586372278001</v>
      </c>
    </row>
    <row r="222" spans="1:4">
      <c r="A222" s="22">
        <f t="shared" si="6"/>
        <v>238.99928302916516</v>
      </c>
      <c r="B222">
        <v>2389.9928302916514</v>
      </c>
      <c r="C222">
        <v>17927.65339240001</v>
      </c>
      <c r="D222" s="23">
        <f t="shared" si="7"/>
        <v>179.27653392400009</v>
      </c>
    </row>
    <row r="223" spans="1:4">
      <c r="A223" s="22">
        <f t="shared" si="6"/>
        <v>240.08564340657045</v>
      </c>
      <c r="B223">
        <v>2400.8564340657044</v>
      </c>
      <c r="C223">
        <v>17859.443062020011</v>
      </c>
      <c r="D223" s="23">
        <f t="shared" si="7"/>
        <v>178.59443062020011</v>
      </c>
    </row>
    <row r="224" spans="1:4">
      <c r="A224" s="22">
        <f t="shared" si="6"/>
        <v>241.17200378397575</v>
      </c>
      <c r="B224">
        <v>2411.7200378397574</v>
      </c>
      <c r="C224">
        <v>17791.232731640011</v>
      </c>
      <c r="D224" s="23">
        <f t="shared" si="7"/>
        <v>177.91232731640011</v>
      </c>
    </row>
    <row r="225" spans="1:4">
      <c r="A225" s="22">
        <f t="shared" si="6"/>
        <v>242.25836416138105</v>
      </c>
      <c r="B225">
        <v>2422.5836416138104</v>
      </c>
      <c r="C225">
        <v>17723.022401260012</v>
      </c>
      <c r="D225" s="23">
        <f t="shared" si="7"/>
        <v>177.23022401260013</v>
      </c>
    </row>
    <row r="226" spans="1:4">
      <c r="A226" s="22">
        <f t="shared" si="6"/>
        <v>243.34472453878635</v>
      </c>
      <c r="B226">
        <v>2433.4472453878634</v>
      </c>
      <c r="C226">
        <v>17654.812070880012</v>
      </c>
      <c r="D226" s="23">
        <f t="shared" si="7"/>
        <v>176.54812070880013</v>
      </c>
    </row>
    <row r="227" spans="1:4">
      <c r="A227" s="22">
        <f t="shared" si="6"/>
        <v>244.43108491619165</v>
      </c>
      <c r="B227">
        <v>2444.3108491619164</v>
      </c>
      <c r="C227">
        <v>17586.601740500013</v>
      </c>
      <c r="D227" s="23">
        <f t="shared" si="7"/>
        <v>175.86601740500012</v>
      </c>
    </row>
    <row r="228" spans="1:4">
      <c r="A228" s="22">
        <f t="shared" si="6"/>
        <v>245.51744529359695</v>
      </c>
      <c r="B228">
        <v>2455.1744529359694</v>
      </c>
      <c r="C228">
        <v>17518.391410120013</v>
      </c>
      <c r="D228" s="23">
        <f t="shared" si="7"/>
        <v>175.18391410120014</v>
      </c>
    </row>
    <row r="229" spans="1:4">
      <c r="A229" s="22">
        <f t="shared" si="6"/>
        <v>246.60380567100225</v>
      </c>
      <c r="B229">
        <v>2466.0380567100224</v>
      </c>
      <c r="C229">
        <v>17450.181079740014</v>
      </c>
      <c r="D229" s="23">
        <f t="shared" si="7"/>
        <v>174.50181079740014</v>
      </c>
    </row>
    <row r="230" spans="1:4">
      <c r="A230" s="22">
        <f t="shared" si="6"/>
        <v>247.69016604840755</v>
      </c>
      <c r="B230">
        <v>2476.9016604840754</v>
      </c>
      <c r="C230">
        <v>17381.970749360014</v>
      </c>
      <c r="D230" s="23">
        <f t="shared" si="7"/>
        <v>173.81970749360013</v>
      </c>
    </row>
    <row r="231" spans="1:4">
      <c r="A231" s="22">
        <f t="shared" si="6"/>
        <v>248.77652642581285</v>
      </c>
      <c r="B231">
        <v>2487.7652642581284</v>
      </c>
      <c r="C231">
        <v>17313.760418980015</v>
      </c>
      <c r="D231" s="23">
        <f t="shared" si="7"/>
        <v>173.13760418980016</v>
      </c>
    </row>
    <row r="232" spans="1:4">
      <c r="A232" s="22">
        <f t="shared" si="6"/>
        <v>249.86288680321815</v>
      </c>
      <c r="B232">
        <v>2498.6288680321813</v>
      </c>
      <c r="C232">
        <v>17245.550088600015</v>
      </c>
      <c r="D232" s="23">
        <f t="shared" si="7"/>
        <v>172.45550088600015</v>
      </c>
    </row>
    <row r="233" spans="1:4">
      <c r="A233" s="22">
        <f t="shared" si="6"/>
        <v>250.94924718062344</v>
      </c>
      <c r="B233">
        <v>2509.4924718062343</v>
      </c>
      <c r="C233">
        <v>17177.339758220016</v>
      </c>
      <c r="D233" s="23">
        <f t="shared" si="7"/>
        <v>171.77339758220015</v>
      </c>
    </row>
    <row r="234" spans="1:4">
      <c r="A234" s="22">
        <f t="shared" si="6"/>
        <v>252.03560755802874</v>
      </c>
      <c r="B234">
        <v>2520.3560755802873</v>
      </c>
      <c r="C234">
        <v>17109.129427840016</v>
      </c>
      <c r="D234" s="23">
        <f t="shared" si="7"/>
        <v>171.09129427840017</v>
      </c>
    </row>
    <row r="235" spans="1:4">
      <c r="A235" s="22">
        <f t="shared" si="6"/>
        <v>253.12196793543404</v>
      </c>
      <c r="B235">
        <v>2531.2196793543403</v>
      </c>
      <c r="C235">
        <v>17040.919097460017</v>
      </c>
      <c r="D235" s="23">
        <f t="shared" si="7"/>
        <v>170.40919097460016</v>
      </c>
    </row>
    <row r="236" spans="1:4">
      <c r="A236" s="22">
        <f t="shared" si="6"/>
        <v>254.20832831283934</v>
      </c>
      <c r="B236">
        <v>2542.0832831283933</v>
      </c>
      <c r="C236">
        <v>16972.708767080017</v>
      </c>
      <c r="D236" s="23">
        <f t="shared" si="7"/>
        <v>169.72708767080019</v>
      </c>
    </row>
    <row r="237" spans="1:4">
      <c r="A237" s="22">
        <f t="shared" si="6"/>
        <v>255.29468869024464</v>
      </c>
      <c r="B237">
        <v>2552.9468869024463</v>
      </c>
      <c r="C237">
        <v>16904.498436700018</v>
      </c>
      <c r="D237" s="23">
        <f t="shared" si="7"/>
        <v>169.04498436700018</v>
      </c>
    </row>
    <row r="238" spans="1:4">
      <c r="A238" s="22">
        <f t="shared" si="6"/>
        <v>256.38104906764988</v>
      </c>
      <c r="B238">
        <v>2563.8104906764988</v>
      </c>
      <c r="C238">
        <v>16836.288106320018</v>
      </c>
      <c r="D238" s="23">
        <f t="shared" si="7"/>
        <v>168.36288106320018</v>
      </c>
    </row>
    <row r="239" spans="1:4">
      <c r="A239" s="22">
        <f t="shared" si="6"/>
        <v>257.46740944505518</v>
      </c>
      <c r="B239">
        <v>2574.6740944505518</v>
      </c>
      <c r="C239">
        <v>16768.077775940019</v>
      </c>
      <c r="D239" s="23">
        <f t="shared" si="7"/>
        <v>167.6807777594002</v>
      </c>
    </row>
    <row r="240" spans="1:4">
      <c r="A240" s="22">
        <f t="shared" si="6"/>
        <v>258.55376982246048</v>
      </c>
      <c r="B240">
        <v>2585.5376982246048</v>
      </c>
      <c r="C240">
        <v>16699.867445560019</v>
      </c>
      <c r="D240" s="23">
        <f t="shared" si="7"/>
        <v>166.9986744556002</v>
      </c>
    </row>
    <row r="241" spans="1:4">
      <c r="A241" s="22">
        <f t="shared" si="6"/>
        <v>259.64013019986578</v>
      </c>
      <c r="B241">
        <v>2596.4013019986578</v>
      </c>
      <c r="C241">
        <v>16631.65711518002</v>
      </c>
      <c r="D241" s="23">
        <f t="shared" si="7"/>
        <v>166.31657115180019</v>
      </c>
    </row>
    <row r="242" spans="1:4">
      <c r="A242" s="22">
        <f t="shared" si="6"/>
        <v>260.72649057727108</v>
      </c>
      <c r="B242">
        <v>2607.2649057727108</v>
      </c>
      <c r="C242">
        <v>16563.44678480002</v>
      </c>
      <c r="D242" s="23">
        <f t="shared" si="7"/>
        <v>165.63446784800021</v>
      </c>
    </row>
    <row r="243" spans="1:4">
      <c r="A243" s="22">
        <f t="shared" si="6"/>
        <v>261.81285095467638</v>
      </c>
      <c r="B243">
        <v>2618.1285095467638</v>
      </c>
      <c r="C243">
        <v>16495.236454420021</v>
      </c>
      <c r="D243" s="23">
        <f t="shared" si="7"/>
        <v>164.95236454420021</v>
      </c>
    </row>
    <row r="244" spans="1:4">
      <c r="A244" s="22">
        <f t="shared" si="6"/>
        <v>262.89921133208168</v>
      </c>
      <c r="B244">
        <v>2628.9921133208168</v>
      </c>
      <c r="C244">
        <v>16427.026124040021</v>
      </c>
      <c r="D244" s="23">
        <f t="shared" si="7"/>
        <v>164.2702612404002</v>
      </c>
    </row>
    <row r="245" spans="1:4">
      <c r="A245" s="22">
        <f t="shared" si="6"/>
        <v>263.98557170948698</v>
      </c>
      <c r="B245">
        <v>2639.8557170948698</v>
      </c>
      <c r="C245">
        <v>16358.815793660022</v>
      </c>
      <c r="D245" s="23">
        <f t="shared" si="7"/>
        <v>163.58815793660023</v>
      </c>
    </row>
    <row r="246" spans="1:4">
      <c r="A246" s="22">
        <f t="shared" si="6"/>
        <v>265.07193208689228</v>
      </c>
      <c r="B246">
        <v>2650.7193208689228</v>
      </c>
      <c r="C246">
        <v>16290.605463280022</v>
      </c>
      <c r="D246" s="23">
        <f t="shared" si="7"/>
        <v>162.90605463280022</v>
      </c>
    </row>
    <row r="247" spans="1:4">
      <c r="A247" s="22">
        <f t="shared" si="6"/>
        <v>266.15829246429757</v>
      </c>
      <c r="B247">
        <v>2661.5829246429757</v>
      </c>
      <c r="C247">
        <v>16222.395132900023</v>
      </c>
      <c r="D247" s="23">
        <f t="shared" si="7"/>
        <v>162.22395132900022</v>
      </c>
    </row>
    <row r="248" spans="1:4">
      <c r="A248" s="22">
        <f t="shared" si="6"/>
        <v>267.24465284170287</v>
      </c>
      <c r="B248">
        <v>2672.4465284170287</v>
      </c>
      <c r="C248">
        <v>16154.184802520023</v>
      </c>
      <c r="D248" s="23">
        <f t="shared" si="7"/>
        <v>161.54184802520024</v>
      </c>
    </row>
    <row r="249" spans="1:4">
      <c r="A249" s="22">
        <f t="shared" si="6"/>
        <v>268.33101321910817</v>
      </c>
      <c r="B249">
        <v>2683.3101321910817</v>
      </c>
      <c r="C249">
        <v>16085.974472140024</v>
      </c>
      <c r="D249" s="23">
        <f t="shared" si="7"/>
        <v>160.85974472140023</v>
      </c>
    </row>
    <row r="250" spans="1:4">
      <c r="A250" s="22">
        <f t="shared" si="6"/>
        <v>269.41737359651347</v>
      </c>
      <c r="B250">
        <v>2694.1737359651347</v>
      </c>
      <c r="C250">
        <v>16017.764141760024</v>
      </c>
      <c r="D250" s="23">
        <f t="shared" si="7"/>
        <v>160.17764141760026</v>
      </c>
    </row>
    <row r="251" spans="1:4">
      <c r="A251" s="22">
        <f t="shared" si="6"/>
        <v>270.50373397391877</v>
      </c>
      <c r="B251">
        <v>2705.0373397391877</v>
      </c>
      <c r="C251">
        <v>15949.553811380025</v>
      </c>
      <c r="D251" s="23">
        <f t="shared" si="7"/>
        <v>159.49553811380025</v>
      </c>
    </row>
    <row r="252" spans="1:4">
      <c r="A252" s="22">
        <f t="shared" si="6"/>
        <v>271.59009435132407</v>
      </c>
      <c r="B252">
        <v>2715.9009435132407</v>
      </c>
      <c r="C252">
        <v>15881.343481000025</v>
      </c>
      <c r="D252" s="23">
        <f t="shared" si="7"/>
        <v>158.81343481000025</v>
      </c>
    </row>
    <row r="253" spans="1:4">
      <c r="A253" s="22">
        <f t="shared" si="6"/>
        <v>272.67645472872937</v>
      </c>
      <c r="B253">
        <v>2726.7645472872937</v>
      </c>
      <c r="C253">
        <v>15813.133150620026</v>
      </c>
      <c r="D253" s="23">
        <f t="shared" si="7"/>
        <v>158.13133150620027</v>
      </c>
    </row>
    <row r="254" spans="1:4">
      <c r="A254" s="22">
        <f t="shared" si="6"/>
        <v>273.76281510613461</v>
      </c>
      <c r="B254">
        <v>2737.6281510613462</v>
      </c>
      <c r="C254">
        <v>15744.922820240026</v>
      </c>
      <c r="D254" s="23">
        <f t="shared" si="7"/>
        <v>157.44922820240026</v>
      </c>
    </row>
    <row r="255" spans="1:4">
      <c r="A255" s="22">
        <f t="shared" si="6"/>
        <v>274.84917548353991</v>
      </c>
      <c r="B255">
        <v>2748.4917548353992</v>
      </c>
      <c r="C255">
        <v>15676.712489860027</v>
      </c>
      <c r="D255" s="23">
        <f t="shared" si="7"/>
        <v>156.76712489860026</v>
      </c>
    </row>
    <row r="256" spans="1:4">
      <c r="A256" s="22">
        <f t="shared" si="6"/>
        <v>275.93553586094521</v>
      </c>
      <c r="B256">
        <v>2759.3553586094522</v>
      </c>
      <c r="C256">
        <v>15608.502159480027</v>
      </c>
      <c r="D256" s="23">
        <f t="shared" si="7"/>
        <v>156.08502159480028</v>
      </c>
    </row>
    <row r="257" spans="1:4">
      <c r="A257" s="22">
        <f t="shared" si="6"/>
        <v>277.02189623835051</v>
      </c>
      <c r="B257">
        <v>2770.2189623835052</v>
      </c>
      <c r="C257">
        <v>15540.291829100028</v>
      </c>
      <c r="D257" s="23">
        <f t="shared" si="7"/>
        <v>155.40291829100028</v>
      </c>
    </row>
    <row r="258" spans="1:4">
      <c r="A258" s="22">
        <f t="shared" si="6"/>
        <v>278.10825661575581</v>
      </c>
      <c r="B258">
        <v>2781.0825661575582</v>
      </c>
      <c r="C258">
        <v>15472.081498720028</v>
      </c>
      <c r="D258" s="23">
        <f t="shared" si="7"/>
        <v>154.72081498720027</v>
      </c>
    </row>
    <row r="259" spans="1:4">
      <c r="A259" s="22">
        <f t="shared" ref="A259:A322" si="8">$B259/10</f>
        <v>279.19461699316111</v>
      </c>
      <c r="B259">
        <v>2791.9461699316112</v>
      </c>
      <c r="C259">
        <v>15403.871168340029</v>
      </c>
      <c r="D259" s="23">
        <f t="shared" ref="D259:D322" si="9">$C259/100</f>
        <v>154.03871168340029</v>
      </c>
    </row>
    <row r="260" spans="1:4">
      <c r="A260" s="22">
        <f t="shared" si="8"/>
        <v>280.2809773705664</v>
      </c>
      <c r="B260">
        <v>2802.8097737056642</v>
      </c>
      <c r="C260">
        <v>15335.660837960029</v>
      </c>
      <c r="D260" s="23">
        <f t="shared" si="9"/>
        <v>153.35660837960029</v>
      </c>
    </row>
    <row r="261" spans="1:4">
      <c r="A261" s="22">
        <f t="shared" si="8"/>
        <v>281.3673377479717</v>
      </c>
      <c r="B261">
        <v>2813.6733774797171</v>
      </c>
      <c r="C261">
        <v>15267.45050758003</v>
      </c>
      <c r="D261" s="23">
        <f t="shared" si="9"/>
        <v>152.67450507580031</v>
      </c>
    </row>
    <row r="262" spans="1:4">
      <c r="A262" s="22">
        <f t="shared" si="8"/>
        <v>282.453698125377</v>
      </c>
      <c r="B262">
        <v>2824.5369812537701</v>
      </c>
      <c r="C262">
        <v>15199.24017720003</v>
      </c>
      <c r="D262" s="23">
        <f t="shared" si="9"/>
        <v>151.99240177200031</v>
      </c>
    </row>
    <row r="263" spans="1:4">
      <c r="A263" s="22">
        <f t="shared" si="8"/>
        <v>283.5400585027823</v>
      </c>
      <c r="B263">
        <v>2835.4005850278231</v>
      </c>
      <c r="C263">
        <v>15131.029846820031</v>
      </c>
      <c r="D263" s="23">
        <f t="shared" si="9"/>
        <v>151.3102984682003</v>
      </c>
    </row>
    <row r="264" spans="1:4">
      <c r="A264" s="22">
        <f t="shared" si="8"/>
        <v>284.6264188801876</v>
      </c>
      <c r="B264">
        <v>2846.2641888018761</v>
      </c>
      <c r="C264">
        <v>15062.819516440031</v>
      </c>
      <c r="D264" s="23">
        <f t="shared" si="9"/>
        <v>150.62819516440032</v>
      </c>
    </row>
    <row r="265" spans="1:4">
      <c r="A265" s="22">
        <f t="shared" si="8"/>
        <v>285.7127792575929</v>
      </c>
      <c r="B265">
        <v>2857.1277925759291</v>
      </c>
      <c r="C265">
        <v>14994.609186060032</v>
      </c>
      <c r="D265" s="23">
        <f t="shared" si="9"/>
        <v>149.94609186060032</v>
      </c>
    </row>
    <row r="266" spans="1:4">
      <c r="A266" s="22">
        <f t="shared" si="8"/>
        <v>286.7991396349982</v>
      </c>
      <c r="B266">
        <v>2867.9913963499821</v>
      </c>
      <c r="C266">
        <v>14926.398855680032</v>
      </c>
      <c r="D266" s="23">
        <f t="shared" si="9"/>
        <v>149.26398855680031</v>
      </c>
    </row>
    <row r="267" spans="1:4">
      <c r="A267" s="22">
        <f t="shared" si="8"/>
        <v>287.8855000124035</v>
      </c>
      <c r="B267">
        <v>2878.8550001240351</v>
      </c>
      <c r="C267">
        <v>14858.188525300033</v>
      </c>
      <c r="D267" s="23">
        <f t="shared" si="9"/>
        <v>148.58188525300034</v>
      </c>
    </row>
    <row r="268" spans="1:4">
      <c r="A268" s="22">
        <f t="shared" si="8"/>
        <v>288.9718603898088</v>
      </c>
      <c r="B268">
        <v>2889.7186038980881</v>
      </c>
      <c r="C268">
        <v>14789.978194920033</v>
      </c>
      <c r="D268" s="23">
        <f t="shared" si="9"/>
        <v>147.89978194920033</v>
      </c>
    </row>
    <row r="269" spans="1:4">
      <c r="A269" s="22">
        <f t="shared" si="8"/>
        <v>290.0582207672141</v>
      </c>
      <c r="B269">
        <v>2900.5822076721411</v>
      </c>
      <c r="C269">
        <v>14721.767864540034</v>
      </c>
      <c r="D269" s="23">
        <f t="shared" si="9"/>
        <v>147.21767864540033</v>
      </c>
    </row>
    <row r="270" spans="1:4">
      <c r="A270" s="22">
        <f t="shared" si="8"/>
        <v>291.14458114461934</v>
      </c>
      <c r="B270">
        <v>2911.4458114461936</v>
      </c>
      <c r="C270">
        <v>14653.557534160034</v>
      </c>
      <c r="D270" s="23">
        <f t="shared" si="9"/>
        <v>146.53557534160035</v>
      </c>
    </row>
    <row r="271" spans="1:4">
      <c r="A271" s="22">
        <f t="shared" si="8"/>
        <v>292.23094152202464</v>
      </c>
      <c r="B271">
        <v>2922.3094152202466</v>
      </c>
      <c r="C271">
        <v>14585.347203780035</v>
      </c>
      <c r="D271" s="23">
        <f t="shared" si="9"/>
        <v>145.85347203780034</v>
      </c>
    </row>
    <row r="272" spans="1:4">
      <c r="A272" s="22">
        <f t="shared" si="8"/>
        <v>293.31730189942994</v>
      </c>
      <c r="B272">
        <v>2933.1730189942996</v>
      </c>
      <c r="C272">
        <v>14517.136873400035</v>
      </c>
      <c r="D272" s="23">
        <f t="shared" si="9"/>
        <v>145.17136873400034</v>
      </c>
    </row>
    <row r="273" spans="1:4">
      <c r="A273" s="22">
        <f t="shared" si="8"/>
        <v>294.40366227683523</v>
      </c>
      <c r="B273">
        <v>2944.0366227683526</v>
      </c>
      <c r="C273">
        <v>14448.926543020036</v>
      </c>
      <c r="D273" s="23">
        <f t="shared" si="9"/>
        <v>144.48926543020036</v>
      </c>
    </row>
    <row r="274" spans="1:4">
      <c r="A274" s="22">
        <f t="shared" si="8"/>
        <v>295.49002265424053</v>
      </c>
      <c r="B274">
        <v>2954.9002265424056</v>
      </c>
      <c r="C274">
        <v>14380.716212640036</v>
      </c>
      <c r="D274" s="23">
        <f t="shared" si="9"/>
        <v>143.80716212640036</v>
      </c>
    </row>
    <row r="275" spans="1:4">
      <c r="A275" s="22">
        <f t="shared" si="8"/>
        <v>296.57638303164583</v>
      </c>
      <c r="B275">
        <v>2965.7638303164586</v>
      </c>
      <c r="C275">
        <v>14312.505882260037</v>
      </c>
      <c r="D275" s="23">
        <f t="shared" si="9"/>
        <v>143.12505882260038</v>
      </c>
    </row>
    <row r="276" spans="1:4">
      <c r="A276" s="22">
        <f t="shared" si="8"/>
        <v>297.66274340905113</v>
      </c>
      <c r="B276">
        <v>2976.6274340905115</v>
      </c>
      <c r="C276">
        <v>14244.295551880037</v>
      </c>
      <c r="D276" s="23">
        <f t="shared" si="9"/>
        <v>142.44295551880037</v>
      </c>
    </row>
    <row r="277" spans="1:4">
      <c r="A277" s="22">
        <f t="shared" si="8"/>
        <v>298.74910378645643</v>
      </c>
      <c r="B277">
        <v>2987.4910378645645</v>
      </c>
      <c r="C277">
        <v>14176.085221500038</v>
      </c>
      <c r="D277" s="23">
        <f t="shared" si="9"/>
        <v>141.76085221500037</v>
      </c>
    </row>
    <row r="278" spans="1:4">
      <c r="A278" s="22">
        <f t="shared" si="8"/>
        <v>299.83546416386173</v>
      </c>
      <c r="B278">
        <v>2998.3546416386175</v>
      </c>
      <c r="C278">
        <v>14107.874891120038</v>
      </c>
      <c r="D278" s="23">
        <f t="shared" si="9"/>
        <v>141.07874891120039</v>
      </c>
    </row>
    <row r="279" spans="1:4">
      <c r="A279" s="22">
        <f t="shared" si="8"/>
        <v>300.92182454126703</v>
      </c>
      <c r="B279">
        <v>3009.2182454126705</v>
      </c>
      <c r="C279">
        <v>14039.664560740039</v>
      </c>
      <c r="D279" s="23">
        <f t="shared" si="9"/>
        <v>140.39664560740039</v>
      </c>
    </row>
    <row r="280" spans="1:4">
      <c r="A280" s="22">
        <f t="shared" si="8"/>
        <v>302.00818491867233</v>
      </c>
      <c r="B280">
        <v>3020.0818491867235</v>
      </c>
      <c r="C280">
        <v>13971.454230360039</v>
      </c>
      <c r="D280" s="23">
        <f t="shared" si="9"/>
        <v>139.71454230360038</v>
      </c>
    </row>
    <row r="281" spans="1:4">
      <c r="A281" s="22">
        <f t="shared" si="8"/>
        <v>303.09454529607763</v>
      </c>
      <c r="B281">
        <v>3030.9454529607765</v>
      </c>
      <c r="C281">
        <v>13903.24389998004</v>
      </c>
      <c r="D281" s="23">
        <f t="shared" si="9"/>
        <v>139.03243899980041</v>
      </c>
    </row>
    <row r="282" spans="1:4">
      <c r="A282" s="22">
        <f t="shared" si="8"/>
        <v>304.18090567348293</v>
      </c>
      <c r="B282">
        <v>3041.8090567348295</v>
      </c>
      <c r="C282">
        <v>13835.03356960004</v>
      </c>
      <c r="D282" s="23">
        <f t="shared" si="9"/>
        <v>138.3503356960004</v>
      </c>
    </row>
    <row r="283" spans="1:4">
      <c r="A283" s="22">
        <f t="shared" si="8"/>
        <v>305.26726605088822</v>
      </c>
      <c r="B283">
        <v>3052.6726605088825</v>
      </c>
      <c r="C283">
        <v>13766.823239220041</v>
      </c>
      <c r="D283" s="23">
        <f t="shared" si="9"/>
        <v>137.66823239220039</v>
      </c>
    </row>
    <row r="284" spans="1:4">
      <c r="A284" s="22">
        <f t="shared" si="8"/>
        <v>306.35362642829352</v>
      </c>
      <c r="B284">
        <v>3063.5362642829355</v>
      </c>
      <c r="C284">
        <v>13698.612908840041</v>
      </c>
      <c r="D284" s="23">
        <f t="shared" si="9"/>
        <v>136.98612908840042</v>
      </c>
    </row>
    <row r="285" spans="1:4">
      <c r="A285" s="22">
        <f t="shared" si="8"/>
        <v>307.43998680569882</v>
      </c>
      <c r="B285">
        <v>3074.3998680569885</v>
      </c>
      <c r="C285">
        <v>13630.402578460042</v>
      </c>
      <c r="D285" s="23">
        <f t="shared" si="9"/>
        <v>136.30402578460041</v>
      </c>
    </row>
    <row r="286" spans="1:4">
      <c r="A286" s="22">
        <f t="shared" si="8"/>
        <v>308.52634718310412</v>
      </c>
      <c r="B286">
        <v>3085.2634718310414</v>
      </c>
      <c r="C286">
        <v>13562.192248080042</v>
      </c>
      <c r="D286" s="23">
        <f t="shared" si="9"/>
        <v>135.62192248080044</v>
      </c>
    </row>
    <row r="287" spans="1:4">
      <c r="A287" s="22">
        <f t="shared" si="8"/>
        <v>309.61270756050942</v>
      </c>
      <c r="B287">
        <v>3096.127075605094</v>
      </c>
      <c r="C287">
        <v>13493.981917700043</v>
      </c>
      <c r="D287" s="23">
        <f t="shared" si="9"/>
        <v>134.93981917700043</v>
      </c>
    </row>
    <row r="288" spans="1:4">
      <c r="A288" s="22">
        <f t="shared" si="8"/>
        <v>310.69906793791472</v>
      </c>
      <c r="B288">
        <v>3106.990679379147</v>
      </c>
      <c r="C288">
        <v>13425.771587320043</v>
      </c>
      <c r="D288" s="23">
        <f t="shared" si="9"/>
        <v>134.25771587320042</v>
      </c>
    </row>
    <row r="289" spans="1:4">
      <c r="A289" s="22">
        <f t="shared" si="8"/>
        <v>311.78542831532002</v>
      </c>
      <c r="B289">
        <v>3117.8542831532</v>
      </c>
      <c r="C289">
        <v>13357.561256940044</v>
      </c>
      <c r="D289" s="23">
        <f t="shared" si="9"/>
        <v>133.57561256940045</v>
      </c>
    </row>
    <row r="290" spans="1:4">
      <c r="A290" s="22">
        <f t="shared" si="8"/>
        <v>312.87178869272532</v>
      </c>
      <c r="B290">
        <v>3128.7178869272529</v>
      </c>
      <c r="C290">
        <v>13289.350926560044</v>
      </c>
      <c r="D290" s="23">
        <f t="shared" si="9"/>
        <v>132.89350926560044</v>
      </c>
    </row>
    <row r="291" spans="1:4">
      <c r="A291" s="22">
        <f t="shared" si="8"/>
        <v>313.95814907013062</v>
      </c>
      <c r="B291">
        <v>3139.5814907013059</v>
      </c>
      <c r="C291">
        <v>13221.140596180045</v>
      </c>
      <c r="D291" s="23">
        <f t="shared" si="9"/>
        <v>132.21140596180044</v>
      </c>
    </row>
    <row r="292" spans="1:4">
      <c r="A292" s="22">
        <f t="shared" si="8"/>
        <v>315.04450944753592</v>
      </c>
      <c r="B292">
        <v>3150.4450944753589</v>
      </c>
      <c r="C292">
        <v>13152.930265800045</v>
      </c>
      <c r="D292" s="23">
        <f t="shared" si="9"/>
        <v>131.52930265800046</v>
      </c>
    </row>
    <row r="293" spans="1:4">
      <c r="A293" s="22">
        <f t="shared" si="8"/>
        <v>316.13086982494121</v>
      </c>
      <c r="B293">
        <v>3161.3086982494119</v>
      </c>
      <c r="C293">
        <v>13084.719935420046</v>
      </c>
      <c r="D293" s="23">
        <f t="shared" si="9"/>
        <v>130.84719935420046</v>
      </c>
    </row>
    <row r="294" spans="1:4">
      <c r="A294" s="22">
        <f t="shared" si="8"/>
        <v>317.21723020234651</v>
      </c>
      <c r="B294">
        <v>3172.1723020234649</v>
      </c>
      <c r="C294">
        <v>13016.509605040046</v>
      </c>
      <c r="D294" s="23">
        <f t="shared" si="9"/>
        <v>130.16509605040045</v>
      </c>
    </row>
    <row r="295" spans="1:4">
      <c r="A295" s="22">
        <f t="shared" si="8"/>
        <v>318.30359057975181</v>
      </c>
      <c r="B295">
        <v>3183.0359057975179</v>
      </c>
      <c r="C295">
        <v>12948.299274660047</v>
      </c>
      <c r="D295" s="23">
        <f t="shared" si="9"/>
        <v>129.48299274660047</v>
      </c>
    </row>
    <row r="296" spans="1:4">
      <c r="A296" s="22">
        <f t="shared" si="8"/>
        <v>319.38995095715711</v>
      </c>
      <c r="B296">
        <v>3193.8995095715709</v>
      </c>
      <c r="C296">
        <v>12880.088944280047</v>
      </c>
      <c r="D296" s="23">
        <f t="shared" si="9"/>
        <v>128.80088944280047</v>
      </c>
    </row>
    <row r="297" spans="1:4">
      <c r="A297" s="22">
        <f t="shared" si="8"/>
        <v>320.47631133456241</v>
      </c>
      <c r="B297">
        <v>3204.7631133456239</v>
      </c>
      <c r="C297">
        <v>12811.878613900048</v>
      </c>
      <c r="D297" s="23">
        <f t="shared" si="9"/>
        <v>128.11878613900046</v>
      </c>
    </row>
    <row r="298" spans="1:4">
      <c r="A298" s="22">
        <f t="shared" si="8"/>
        <v>321.56267171196771</v>
      </c>
      <c r="B298">
        <v>3215.6267171196769</v>
      </c>
      <c r="C298">
        <v>12743.668283520048</v>
      </c>
      <c r="D298" s="23">
        <f t="shared" si="9"/>
        <v>127.43668283520049</v>
      </c>
    </row>
    <row r="299" spans="1:4">
      <c r="A299" s="22">
        <f t="shared" si="8"/>
        <v>322.64903208937301</v>
      </c>
      <c r="B299">
        <v>3226.4903208937299</v>
      </c>
      <c r="C299">
        <v>12675.457953140049</v>
      </c>
      <c r="D299" s="23">
        <f t="shared" si="9"/>
        <v>126.75457953140048</v>
      </c>
    </row>
    <row r="300" spans="1:4">
      <c r="A300" s="22">
        <f t="shared" si="8"/>
        <v>323.73539246677831</v>
      </c>
      <c r="B300">
        <v>3237.3539246677828</v>
      </c>
      <c r="C300">
        <v>12607.247622760049</v>
      </c>
      <c r="D300" s="23">
        <f t="shared" si="9"/>
        <v>126.07247622760049</v>
      </c>
    </row>
    <row r="301" spans="1:4">
      <c r="A301" s="22">
        <f t="shared" si="8"/>
        <v>324.82175284418361</v>
      </c>
      <c r="B301">
        <v>3248.2175284418358</v>
      </c>
      <c r="C301">
        <v>12539.03729238005</v>
      </c>
      <c r="D301" s="23">
        <f t="shared" si="9"/>
        <v>125.3903729238005</v>
      </c>
    </row>
    <row r="302" spans="1:4">
      <c r="A302" s="22">
        <f t="shared" si="8"/>
        <v>325.90811322158891</v>
      </c>
      <c r="B302">
        <v>3259.0811322158888</v>
      </c>
      <c r="C302">
        <v>12470.82696200005</v>
      </c>
      <c r="D302" s="23">
        <f t="shared" si="9"/>
        <v>124.70826962000051</v>
      </c>
    </row>
    <row r="303" spans="1:4">
      <c r="A303" s="22">
        <f t="shared" si="8"/>
        <v>326.99447359899415</v>
      </c>
      <c r="B303">
        <v>3269.9447359899414</v>
      </c>
      <c r="C303">
        <v>12402.616631620051</v>
      </c>
      <c r="D303" s="23">
        <f t="shared" si="9"/>
        <v>124.0261663162005</v>
      </c>
    </row>
    <row r="304" spans="1:4">
      <c r="A304" s="22">
        <f t="shared" si="8"/>
        <v>328.08083397639945</v>
      </c>
      <c r="B304">
        <v>3280.8083397639944</v>
      </c>
      <c r="C304">
        <v>12334.406301240051</v>
      </c>
      <c r="D304" s="23">
        <f t="shared" si="9"/>
        <v>123.34406301240051</v>
      </c>
    </row>
    <row r="305" spans="1:4">
      <c r="A305" s="22">
        <f t="shared" si="8"/>
        <v>329.16719435380475</v>
      </c>
      <c r="B305">
        <v>3291.6719435380473</v>
      </c>
      <c r="C305">
        <v>12266.195970860052</v>
      </c>
      <c r="D305" s="23">
        <f t="shared" si="9"/>
        <v>122.66195970860052</v>
      </c>
    </row>
    <row r="306" spans="1:4">
      <c r="A306" s="22">
        <f t="shared" si="8"/>
        <v>330.25355473121004</v>
      </c>
      <c r="B306">
        <v>3302.5355473121003</v>
      </c>
      <c r="C306">
        <v>12197.985640480052</v>
      </c>
      <c r="D306" s="23">
        <f t="shared" si="9"/>
        <v>121.97985640480051</v>
      </c>
    </row>
    <row r="307" spans="1:4">
      <c r="A307" s="22">
        <f t="shared" si="8"/>
        <v>331.33991510861534</v>
      </c>
      <c r="B307">
        <v>3313.3991510861533</v>
      </c>
      <c r="C307">
        <v>12129.775310100053</v>
      </c>
      <c r="D307" s="23">
        <f t="shared" si="9"/>
        <v>121.29775310100052</v>
      </c>
    </row>
    <row r="308" spans="1:4">
      <c r="A308" s="22">
        <f t="shared" si="8"/>
        <v>332.42627548602064</v>
      </c>
      <c r="B308">
        <v>3324.2627548602063</v>
      </c>
      <c r="C308">
        <v>12061.564979720053</v>
      </c>
      <c r="D308" s="23">
        <f t="shared" si="9"/>
        <v>120.61564979720053</v>
      </c>
    </row>
    <row r="309" spans="1:4">
      <c r="A309" s="22">
        <f t="shared" si="8"/>
        <v>333.51263586342594</v>
      </c>
      <c r="B309">
        <v>3335.1263586342593</v>
      </c>
      <c r="C309">
        <v>11993.354649340054</v>
      </c>
      <c r="D309" s="23">
        <f t="shared" si="9"/>
        <v>119.93354649340054</v>
      </c>
    </row>
    <row r="310" spans="1:4">
      <c r="A310" s="22">
        <f t="shared" si="8"/>
        <v>334.59899624083124</v>
      </c>
      <c r="B310">
        <v>3345.9899624083123</v>
      </c>
      <c r="C310">
        <v>11925.144318960054</v>
      </c>
      <c r="D310" s="23">
        <f t="shared" si="9"/>
        <v>119.25144318960054</v>
      </c>
    </row>
    <row r="311" spans="1:4">
      <c r="A311" s="22">
        <f t="shared" si="8"/>
        <v>335.68535661823654</v>
      </c>
      <c r="B311">
        <v>3356.8535661823653</v>
      </c>
      <c r="C311">
        <v>11856.933988580055</v>
      </c>
      <c r="D311" s="23">
        <f t="shared" si="9"/>
        <v>118.56933988580055</v>
      </c>
    </row>
    <row r="312" spans="1:4">
      <c r="A312" s="22">
        <f t="shared" si="8"/>
        <v>336.77171699564184</v>
      </c>
      <c r="B312">
        <v>3367.7171699564183</v>
      </c>
      <c r="C312">
        <v>11788.723658200055</v>
      </c>
      <c r="D312" s="23">
        <f t="shared" si="9"/>
        <v>117.88723658200055</v>
      </c>
    </row>
    <row r="313" spans="1:4">
      <c r="A313" s="22">
        <f t="shared" si="8"/>
        <v>337.85807737304714</v>
      </c>
      <c r="B313">
        <v>3378.5807737304713</v>
      </c>
      <c r="C313">
        <v>11720.513327820056</v>
      </c>
      <c r="D313" s="23">
        <f t="shared" si="9"/>
        <v>117.20513327820055</v>
      </c>
    </row>
    <row r="314" spans="1:4">
      <c r="A314" s="22">
        <f t="shared" si="8"/>
        <v>338.94443775045244</v>
      </c>
      <c r="B314">
        <v>3389.4443775045243</v>
      </c>
      <c r="C314">
        <v>11652.302997440056</v>
      </c>
      <c r="D314" s="23">
        <f t="shared" si="9"/>
        <v>116.52302997440056</v>
      </c>
    </row>
    <row r="315" spans="1:4">
      <c r="A315" s="22">
        <f t="shared" si="8"/>
        <v>340.03079812785774</v>
      </c>
      <c r="B315">
        <v>3400.3079812785772</v>
      </c>
      <c r="C315">
        <v>11584.092667060057</v>
      </c>
      <c r="D315" s="23">
        <f t="shared" si="9"/>
        <v>115.84092667060057</v>
      </c>
    </row>
    <row r="316" spans="1:4">
      <c r="A316" s="22">
        <f t="shared" si="8"/>
        <v>341.11715850526303</v>
      </c>
      <c r="B316">
        <v>3411.1715850526302</v>
      </c>
      <c r="C316">
        <v>11515.882336680057</v>
      </c>
      <c r="D316" s="23">
        <f t="shared" si="9"/>
        <v>115.15882336680058</v>
      </c>
    </row>
    <row r="317" spans="1:4">
      <c r="A317" s="22">
        <f t="shared" si="8"/>
        <v>342.20351888266833</v>
      </c>
      <c r="B317">
        <v>3422.0351888266832</v>
      </c>
      <c r="C317">
        <v>11447.672006300058</v>
      </c>
      <c r="D317" s="23">
        <f t="shared" si="9"/>
        <v>114.47672006300057</v>
      </c>
    </row>
    <row r="318" spans="1:4">
      <c r="A318" s="22">
        <f t="shared" si="8"/>
        <v>343.28987926007363</v>
      </c>
      <c r="B318">
        <v>3432.8987926007362</v>
      </c>
      <c r="C318">
        <v>11379.461675920058</v>
      </c>
      <c r="D318" s="23">
        <f t="shared" si="9"/>
        <v>113.79461675920058</v>
      </c>
    </row>
    <row r="319" spans="1:4">
      <c r="A319" s="22">
        <f t="shared" si="8"/>
        <v>344.37623963747888</v>
      </c>
      <c r="B319">
        <v>3443.7623963747888</v>
      </c>
      <c r="C319">
        <v>11311.251345540059</v>
      </c>
      <c r="D319" s="23">
        <f t="shared" si="9"/>
        <v>113.11251345540059</v>
      </c>
    </row>
    <row r="320" spans="1:4">
      <c r="A320" s="22">
        <f t="shared" si="8"/>
        <v>345.46260001488417</v>
      </c>
      <c r="B320">
        <v>3454.6260001488417</v>
      </c>
      <c r="C320">
        <v>11243.041015160059</v>
      </c>
      <c r="D320" s="23">
        <f t="shared" si="9"/>
        <v>112.4304101516006</v>
      </c>
    </row>
    <row r="321" spans="1:4">
      <c r="A321" s="22">
        <f t="shared" si="8"/>
        <v>346.54896039228947</v>
      </c>
      <c r="B321">
        <v>3465.4896039228947</v>
      </c>
      <c r="C321">
        <v>11174.83068478006</v>
      </c>
      <c r="D321" s="23">
        <f t="shared" si="9"/>
        <v>111.74830684780059</v>
      </c>
    </row>
    <row r="322" spans="1:4">
      <c r="A322" s="22">
        <f t="shared" si="8"/>
        <v>347.63532076969477</v>
      </c>
      <c r="B322">
        <v>3476.3532076969477</v>
      </c>
      <c r="C322">
        <v>11106.62035440006</v>
      </c>
      <c r="D322" s="23">
        <f t="shared" si="9"/>
        <v>111.0662035440006</v>
      </c>
    </row>
    <row r="323" spans="1:4">
      <c r="A323" s="22">
        <f t="shared" ref="A323:A386" si="10">$B323/10</f>
        <v>348.72168114710007</v>
      </c>
      <c r="B323">
        <v>3487.2168114710007</v>
      </c>
      <c r="C323">
        <v>11038.410024020061</v>
      </c>
      <c r="D323" s="23">
        <f t="shared" ref="D323:D386" si="11">$C323/100</f>
        <v>110.38410024020061</v>
      </c>
    </row>
    <row r="324" spans="1:4">
      <c r="A324" s="22">
        <f t="shared" si="10"/>
        <v>349.80804152450537</v>
      </c>
      <c r="B324">
        <v>3498.0804152450537</v>
      </c>
      <c r="C324">
        <v>10970.199693640061</v>
      </c>
      <c r="D324" s="23">
        <f t="shared" si="11"/>
        <v>109.7019969364006</v>
      </c>
    </row>
    <row r="325" spans="1:4">
      <c r="A325" s="22">
        <f t="shared" si="10"/>
        <v>350.89440190191067</v>
      </c>
      <c r="B325">
        <v>3508.9440190191067</v>
      </c>
      <c r="C325">
        <v>10901.989363260062</v>
      </c>
      <c r="D325" s="23">
        <f t="shared" si="11"/>
        <v>109.01989363260061</v>
      </c>
    </row>
    <row r="326" spans="1:4">
      <c r="A326" s="22">
        <f t="shared" si="10"/>
        <v>351.98076227931597</v>
      </c>
      <c r="B326">
        <v>3519.8076227931597</v>
      </c>
      <c r="C326">
        <v>10833.779032880062</v>
      </c>
      <c r="D326" s="23">
        <f t="shared" si="11"/>
        <v>108.33779032880062</v>
      </c>
    </row>
    <row r="327" spans="1:4">
      <c r="A327" s="22">
        <f t="shared" si="10"/>
        <v>353.06712265672127</v>
      </c>
      <c r="B327">
        <v>3530.6712265672127</v>
      </c>
      <c r="C327">
        <v>10765.568702500062</v>
      </c>
      <c r="D327" s="23">
        <f t="shared" si="11"/>
        <v>107.65568702500063</v>
      </c>
    </row>
    <row r="328" spans="1:4">
      <c r="A328" s="22">
        <f t="shared" si="10"/>
        <v>354.15348303412657</v>
      </c>
      <c r="B328">
        <v>3541.5348303412657</v>
      </c>
      <c r="C328">
        <v>10697.358372120063</v>
      </c>
      <c r="D328" s="23">
        <f t="shared" si="11"/>
        <v>106.97358372120063</v>
      </c>
    </row>
    <row r="329" spans="1:4">
      <c r="A329" s="22">
        <f t="shared" si="10"/>
        <v>355.23984341153187</v>
      </c>
      <c r="B329">
        <v>3552.3984341153187</v>
      </c>
      <c r="C329">
        <v>10629.148041740063</v>
      </c>
      <c r="D329" s="23">
        <f t="shared" si="11"/>
        <v>106.29148041740063</v>
      </c>
    </row>
    <row r="330" spans="1:4">
      <c r="A330" s="22">
        <f t="shared" si="10"/>
        <v>356.32620378893716</v>
      </c>
      <c r="B330">
        <v>3563.2620378893716</v>
      </c>
      <c r="C330">
        <v>10560.937711360064</v>
      </c>
      <c r="D330" s="23">
        <f t="shared" si="11"/>
        <v>105.60937711360064</v>
      </c>
    </row>
    <row r="331" spans="1:4">
      <c r="A331" s="22">
        <f t="shared" si="10"/>
        <v>357.41256416634246</v>
      </c>
      <c r="B331">
        <v>3574.1256416634246</v>
      </c>
      <c r="C331">
        <v>10492.727380980064</v>
      </c>
      <c r="D331" s="23">
        <f t="shared" si="11"/>
        <v>104.92727380980064</v>
      </c>
    </row>
    <row r="332" spans="1:4">
      <c r="A332" s="22">
        <f t="shared" si="10"/>
        <v>358.49892454374776</v>
      </c>
      <c r="B332">
        <v>3584.9892454374776</v>
      </c>
      <c r="C332">
        <v>10424.517050600065</v>
      </c>
      <c r="D332" s="23">
        <f t="shared" si="11"/>
        <v>104.24517050600065</v>
      </c>
    </row>
    <row r="333" spans="1:4">
      <c r="A333" s="22">
        <f t="shared" si="10"/>
        <v>359.58528492115306</v>
      </c>
      <c r="B333">
        <v>3595.8528492115306</v>
      </c>
      <c r="C333">
        <v>10356.306720220065</v>
      </c>
      <c r="D333" s="23">
        <f t="shared" si="11"/>
        <v>103.56306720220066</v>
      </c>
    </row>
    <row r="334" spans="1:4">
      <c r="A334" s="22">
        <f t="shared" si="10"/>
        <v>360.67164529855836</v>
      </c>
      <c r="B334">
        <v>3606.7164529855836</v>
      </c>
      <c r="C334">
        <v>10288.096389840066</v>
      </c>
      <c r="D334" s="23">
        <f t="shared" si="11"/>
        <v>102.88096389840067</v>
      </c>
    </row>
    <row r="335" spans="1:4">
      <c r="A335" s="22">
        <f t="shared" si="10"/>
        <v>361.7580056759636</v>
      </c>
      <c r="B335">
        <v>3617.5800567596361</v>
      </c>
      <c r="C335">
        <v>10219.886059460066</v>
      </c>
      <c r="D335" s="23">
        <f t="shared" si="11"/>
        <v>102.19886059460066</v>
      </c>
    </row>
    <row r="336" spans="1:4">
      <c r="A336" s="22">
        <f t="shared" si="10"/>
        <v>362.8443660533689</v>
      </c>
      <c r="B336">
        <v>3628.4436605336891</v>
      </c>
      <c r="C336">
        <v>10151.675729080067</v>
      </c>
      <c r="D336" s="23">
        <f t="shared" si="11"/>
        <v>101.51675729080067</v>
      </c>
    </row>
    <row r="337" spans="1:4">
      <c r="A337" s="22">
        <f t="shared" si="10"/>
        <v>363.9307264307742</v>
      </c>
      <c r="B337">
        <v>3639.3072643077421</v>
      </c>
      <c r="C337">
        <v>10083.465398700067</v>
      </c>
      <c r="D337" s="23">
        <f t="shared" si="11"/>
        <v>100.83465398700068</v>
      </c>
    </row>
    <row r="338" spans="1:4">
      <c r="A338" s="22">
        <f t="shared" si="10"/>
        <v>365.0170868081795</v>
      </c>
      <c r="B338">
        <v>3650.1708680817951</v>
      </c>
      <c r="C338">
        <v>10015.255068320068</v>
      </c>
      <c r="D338" s="23">
        <f t="shared" si="11"/>
        <v>100.15255068320067</v>
      </c>
    </row>
    <row r="339" spans="1:4">
      <c r="A339" s="22">
        <f t="shared" si="10"/>
        <v>366.1034471855848</v>
      </c>
      <c r="B339">
        <v>3661.0344718558481</v>
      </c>
      <c r="C339">
        <v>9947.0447379400684</v>
      </c>
      <c r="D339" s="23">
        <f t="shared" si="11"/>
        <v>99.470447379400682</v>
      </c>
    </row>
    <row r="340" spans="1:4">
      <c r="A340" s="22">
        <f t="shared" si="10"/>
        <v>367.1898075629901</v>
      </c>
      <c r="B340">
        <v>3671.8980756299011</v>
      </c>
      <c r="C340">
        <v>9878.8344075600689</v>
      </c>
      <c r="D340" s="23">
        <f t="shared" si="11"/>
        <v>98.788344075600691</v>
      </c>
    </row>
    <row r="341" spans="1:4">
      <c r="A341" s="22">
        <f t="shared" si="10"/>
        <v>368.2761679403954</v>
      </c>
      <c r="B341">
        <v>3682.7616794039541</v>
      </c>
      <c r="C341">
        <v>9810.6240771800694</v>
      </c>
      <c r="D341" s="23">
        <f t="shared" si="11"/>
        <v>98.106240771800699</v>
      </c>
    </row>
    <row r="342" spans="1:4">
      <c r="A342" s="22">
        <f t="shared" si="10"/>
        <v>369.3625283178007</v>
      </c>
      <c r="B342">
        <v>3693.6252831780071</v>
      </c>
      <c r="C342">
        <v>9742.4137468000699</v>
      </c>
      <c r="D342" s="23">
        <f t="shared" si="11"/>
        <v>97.424137468000694</v>
      </c>
    </row>
    <row r="343" spans="1:4">
      <c r="A343" s="22">
        <f t="shared" si="10"/>
        <v>370.44888869520599</v>
      </c>
      <c r="B343">
        <v>3704.4888869520601</v>
      </c>
      <c r="C343">
        <v>9674.2034164200704</v>
      </c>
      <c r="D343" s="23">
        <f t="shared" si="11"/>
        <v>96.742034164200703</v>
      </c>
    </row>
    <row r="344" spans="1:4">
      <c r="A344" s="22">
        <f t="shared" si="10"/>
        <v>371.53524907261129</v>
      </c>
      <c r="B344">
        <v>3715.352490726113</v>
      </c>
      <c r="C344">
        <v>9605.9930860400709</v>
      </c>
      <c r="D344" s="23">
        <f t="shared" si="11"/>
        <v>96.059930860400712</v>
      </c>
    </row>
    <row r="345" spans="1:4">
      <c r="A345" s="22">
        <f t="shared" si="10"/>
        <v>372.62160945001659</v>
      </c>
      <c r="B345">
        <v>3726.216094500166</v>
      </c>
      <c r="C345">
        <v>9537.7827556600714</v>
      </c>
      <c r="D345" s="23">
        <f t="shared" si="11"/>
        <v>95.377827556600721</v>
      </c>
    </row>
    <row r="346" spans="1:4">
      <c r="A346" s="22">
        <f t="shared" si="10"/>
        <v>373.70796982742189</v>
      </c>
      <c r="B346">
        <v>3737.079698274219</v>
      </c>
      <c r="C346">
        <v>9469.5724252800719</v>
      </c>
      <c r="D346" s="23">
        <f t="shared" si="11"/>
        <v>94.695724252800716</v>
      </c>
    </row>
    <row r="347" spans="1:4">
      <c r="A347" s="22">
        <f t="shared" si="10"/>
        <v>374.79433020482719</v>
      </c>
      <c r="B347">
        <v>3747.943302048272</v>
      </c>
      <c r="C347">
        <v>9401.3620949000724</v>
      </c>
      <c r="D347" s="23">
        <f t="shared" si="11"/>
        <v>94.013620949000725</v>
      </c>
    </row>
    <row r="348" spans="1:4">
      <c r="A348" s="22">
        <f t="shared" si="10"/>
        <v>375.88069058223249</v>
      </c>
      <c r="B348">
        <v>3758.806905822325</v>
      </c>
      <c r="C348">
        <v>9333.1517645200729</v>
      </c>
      <c r="D348" s="23">
        <f t="shared" si="11"/>
        <v>93.331517645200734</v>
      </c>
    </row>
    <row r="349" spans="1:4">
      <c r="A349" s="22">
        <f t="shared" si="10"/>
        <v>376.96705095963779</v>
      </c>
      <c r="B349">
        <v>3769.670509596378</v>
      </c>
      <c r="C349">
        <v>9264.9414341400734</v>
      </c>
      <c r="D349" s="23">
        <f t="shared" si="11"/>
        <v>92.649414341400728</v>
      </c>
    </row>
    <row r="350" spans="1:4">
      <c r="A350" s="22">
        <f t="shared" si="10"/>
        <v>378.05341133704309</v>
      </c>
      <c r="B350">
        <v>3780.534113370431</v>
      </c>
      <c r="C350">
        <v>9196.7311037600739</v>
      </c>
      <c r="D350" s="23">
        <f t="shared" si="11"/>
        <v>91.967311037600737</v>
      </c>
    </row>
    <row r="351" spans="1:4">
      <c r="A351" s="22">
        <f t="shared" si="10"/>
        <v>379.13977171444839</v>
      </c>
      <c r="B351">
        <v>3791.397717144484</v>
      </c>
      <c r="C351">
        <v>9128.5207733800744</v>
      </c>
      <c r="D351" s="23">
        <f t="shared" si="11"/>
        <v>91.285207733800746</v>
      </c>
    </row>
    <row r="352" spans="1:4">
      <c r="A352" s="22">
        <f t="shared" si="10"/>
        <v>380.22613209185363</v>
      </c>
      <c r="B352">
        <v>3802.2613209185365</v>
      </c>
      <c r="C352">
        <v>9060.3104430000749</v>
      </c>
      <c r="D352" s="23">
        <f t="shared" si="11"/>
        <v>90.603104430000755</v>
      </c>
    </row>
    <row r="353" spans="1:4">
      <c r="A353" s="22">
        <f t="shared" si="10"/>
        <v>381.31249246925893</v>
      </c>
      <c r="B353">
        <v>3813.1249246925895</v>
      </c>
      <c r="C353">
        <v>8992.1001126200754</v>
      </c>
      <c r="D353" s="23">
        <f t="shared" si="11"/>
        <v>89.92100112620075</v>
      </c>
    </row>
    <row r="354" spans="1:4">
      <c r="A354" s="22">
        <f t="shared" si="10"/>
        <v>382.39885284666423</v>
      </c>
      <c r="B354">
        <v>3823.9885284666425</v>
      </c>
      <c r="C354">
        <v>8923.8897822400759</v>
      </c>
      <c r="D354" s="23">
        <f t="shared" si="11"/>
        <v>89.238897822400759</v>
      </c>
    </row>
    <row r="355" spans="1:4">
      <c r="A355" s="22">
        <f t="shared" si="10"/>
        <v>383.48521322406953</v>
      </c>
      <c r="B355">
        <v>3834.8521322406955</v>
      </c>
      <c r="C355">
        <v>8855.6794518600764</v>
      </c>
      <c r="D355" s="23">
        <f t="shared" si="11"/>
        <v>88.556794518600768</v>
      </c>
    </row>
    <row r="356" spans="1:4">
      <c r="A356" s="22">
        <f t="shared" si="10"/>
        <v>384.57157360147482</v>
      </c>
      <c r="B356">
        <v>3845.7157360147485</v>
      </c>
      <c r="C356">
        <v>8787.4691214800769</v>
      </c>
      <c r="D356" s="23">
        <f t="shared" si="11"/>
        <v>87.874691214800762</v>
      </c>
    </row>
    <row r="357" spans="1:4">
      <c r="A357" s="22">
        <f t="shared" si="10"/>
        <v>385.65793397888012</v>
      </c>
      <c r="B357">
        <v>3856.5793397888015</v>
      </c>
      <c r="C357">
        <v>8719.2587911000774</v>
      </c>
      <c r="D357" s="23">
        <f t="shared" si="11"/>
        <v>87.192587911000771</v>
      </c>
    </row>
    <row r="358" spans="1:4">
      <c r="A358" s="22">
        <f t="shared" si="10"/>
        <v>386.74429435628542</v>
      </c>
      <c r="B358">
        <v>3867.4429435628545</v>
      </c>
      <c r="C358">
        <v>8651.0484607200779</v>
      </c>
      <c r="D358" s="23">
        <f t="shared" si="11"/>
        <v>86.51048460720078</v>
      </c>
    </row>
    <row r="359" spans="1:4">
      <c r="A359" s="22">
        <f t="shared" si="10"/>
        <v>387.83065473369072</v>
      </c>
      <c r="B359">
        <v>3878.3065473369074</v>
      </c>
      <c r="C359">
        <v>8582.8381303400784</v>
      </c>
      <c r="D359" s="23">
        <f t="shared" si="11"/>
        <v>85.828381303400789</v>
      </c>
    </row>
    <row r="360" spans="1:4">
      <c r="A360" s="22">
        <f t="shared" si="10"/>
        <v>388.91701511109602</v>
      </c>
      <c r="B360">
        <v>3889.1701511109604</v>
      </c>
      <c r="C360">
        <v>8514.6277999600788</v>
      </c>
      <c r="D360" s="23">
        <f t="shared" si="11"/>
        <v>85.146277999600784</v>
      </c>
    </row>
    <row r="361" spans="1:4">
      <c r="A361" s="22">
        <f t="shared" si="10"/>
        <v>390.00337548850132</v>
      </c>
      <c r="B361">
        <v>3900.0337548850134</v>
      </c>
      <c r="C361">
        <v>8446.4174695800793</v>
      </c>
      <c r="D361" s="23">
        <f t="shared" si="11"/>
        <v>84.464174695800793</v>
      </c>
    </row>
    <row r="362" spans="1:4">
      <c r="A362" s="22">
        <f t="shared" si="10"/>
        <v>391.08973586590662</v>
      </c>
      <c r="B362">
        <v>3910.8973586590664</v>
      </c>
      <c r="C362">
        <v>8378.2071392000798</v>
      </c>
      <c r="D362" s="23">
        <f t="shared" si="11"/>
        <v>83.782071392000802</v>
      </c>
    </row>
    <row r="363" spans="1:4">
      <c r="A363" s="22">
        <f t="shared" si="10"/>
        <v>392.17609624331192</v>
      </c>
      <c r="B363">
        <v>3921.7609624331194</v>
      </c>
      <c r="C363">
        <v>8309.9968088200803</v>
      </c>
      <c r="D363" s="23">
        <f t="shared" si="11"/>
        <v>83.099968088200797</v>
      </c>
    </row>
    <row r="364" spans="1:4">
      <c r="A364" s="22">
        <f t="shared" si="10"/>
        <v>393.26245662071722</v>
      </c>
      <c r="B364">
        <v>3932.6245662071724</v>
      </c>
      <c r="C364">
        <v>8241.7864784400808</v>
      </c>
      <c r="D364" s="23">
        <f t="shared" si="11"/>
        <v>82.417864784400805</v>
      </c>
    </row>
    <row r="365" spans="1:4">
      <c r="A365" s="22">
        <f t="shared" si="10"/>
        <v>394.34881699812252</v>
      </c>
      <c r="B365">
        <v>3943.4881699812254</v>
      </c>
      <c r="C365">
        <v>8173.5761480600804</v>
      </c>
      <c r="D365" s="23">
        <f t="shared" si="11"/>
        <v>81.7357614806008</v>
      </c>
    </row>
    <row r="366" spans="1:4">
      <c r="A366" s="22">
        <f t="shared" si="10"/>
        <v>395.43517737552781</v>
      </c>
      <c r="B366">
        <v>3954.3517737552784</v>
      </c>
      <c r="C366">
        <v>8105.36581768008</v>
      </c>
      <c r="D366" s="23">
        <f t="shared" si="11"/>
        <v>81.053658176800795</v>
      </c>
    </row>
    <row r="367" spans="1:4">
      <c r="A367" s="22">
        <f t="shared" si="10"/>
        <v>396.52153775293311</v>
      </c>
      <c r="B367">
        <v>3965.2153775293314</v>
      </c>
      <c r="C367">
        <v>8037.1554873000796</v>
      </c>
      <c r="D367" s="23">
        <f t="shared" si="11"/>
        <v>80.37155487300079</v>
      </c>
    </row>
    <row r="368" spans="1:4">
      <c r="A368" s="22">
        <f t="shared" si="10"/>
        <v>397.60789813033841</v>
      </c>
      <c r="B368">
        <v>3976.0789813033839</v>
      </c>
      <c r="C368">
        <v>7968.9451569200792</v>
      </c>
      <c r="D368" s="23">
        <f t="shared" si="11"/>
        <v>79.689451569200799</v>
      </c>
    </row>
    <row r="369" spans="1:4">
      <c r="A369" s="22">
        <f t="shared" si="10"/>
        <v>398.69425850774371</v>
      </c>
      <c r="B369">
        <v>3986.9425850774369</v>
      </c>
      <c r="C369">
        <v>7900.7348265400788</v>
      </c>
      <c r="D369" s="23">
        <f t="shared" si="11"/>
        <v>79.007348265400793</v>
      </c>
    </row>
    <row r="370" spans="1:4">
      <c r="A370" s="22">
        <f t="shared" si="10"/>
        <v>399.78061888514901</v>
      </c>
      <c r="B370">
        <v>3997.8061888514899</v>
      </c>
      <c r="C370">
        <v>7832.5244961600783</v>
      </c>
      <c r="D370" s="23">
        <f t="shared" si="11"/>
        <v>78.325244961600788</v>
      </c>
    </row>
    <row r="371" spans="1:4">
      <c r="A371" s="22">
        <f t="shared" si="10"/>
        <v>400.86697926255431</v>
      </c>
      <c r="B371">
        <v>4008.6697926255429</v>
      </c>
      <c r="C371">
        <v>7764.3141657800779</v>
      </c>
      <c r="D371" s="23">
        <f t="shared" si="11"/>
        <v>77.643141657800783</v>
      </c>
    </row>
    <row r="372" spans="1:4">
      <c r="A372" s="22">
        <f t="shared" si="10"/>
        <v>401.95333963995961</v>
      </c>
      <c r="B372">
        <v>4019.5333963995959</v>
      </c>
      <c r="C372">
        <v>7696.1038354000775</v>
      </c>
      <c r="D372" s="23">
        <f t="shared" si="11"/>
        <v>76.961038354000777</v>
      </c>
    </row>
    <row r="373" spans="1:4">
      <c r="A373" s="22">
        <f t="shared" si="10"/>
        <v>403.03970001736491</v>
      </c>
      <c r="B373">
        <v>4030.3970001736488</v>
      </c>
      <c r="C373">
        <v>7627.8935050200771</v>
      </c>
      <c r="D373" s="23">
        <f t="shared" si="11"/>
        <v>76.278935050200772</v>
      </c>
    </row>
    <row r="374" spans="1:4">
      <c r="A374" s="22">
        <f t="shared" si="10"/>
        <v>404.12606039477021</v>
      </c>
      <c r="B374">
        <v>4041.2606039477018</v>
      </c>
      <c r="C374">
        <v>7559.6831746400767</v>
      </c>
      <c r="D374" s="23">
        <f t="shared" si="11"/>
        <v>75.596831746400767</v>
      </c>
    </row>
    <row r="375" spans="1:4">
      <c r="A375" s="22">
        <f t="shared" si="10"/>
        <v>405.21242077217551</v>
      </c>
      <c r="B375">
        <v>4052.1242077217548</v>
      </c>
      <c r="C375">
        <v>7491.4728442600763</v>
      </c>
      <c r="D375" s="23">
        <f t="shared" si="11"/>
        <v>74.914728442600762</v>
      </c>
    </row>
    <row r="376" spans="1:4">
      <c r="A376" s="22">
        <f t="shared" si="10"/>
        <v>406.2987811495808</v>
      </c>
      <c r="B376">
        <v>4062.9878114958078</v>
      </c>
      <c r="C376">
        <v>7423.2625138800759</v>
      </c>
      <c r="D376" s="23">
        <f t="shared" si="11"/>
        <v>74.232625138800756</v>
      </c>
    </row>
    <row r="377" spans="1:4">
      <c r="A377" s="22">
        <f t="shared" si="10"/>
        <v>407.3851415269861</v>
      </c>
      <c r="B377">
        <v>4073.8514152698608</v>
      </c>
      <c r="C377">
        <v>7355.0521835000754</v>
      </c>
      <c r="D377" s="23">
        <f t="shared" si="11"/>
        <v>73.550521835000751</v>
      </c>
    </row>
    <row r="378" spans="1:4">
      <c r="A378" s="22">
        <f t="shared" si="10"/>
        <v>408.4715019043914</v>
      </c>
      <c r="B378">
        <v>4084.7150190439138</v>
      </c>
      <c r="C378">
        <v>7286.841853120075</v>
      </c>
      <c r="D378" s="23">
        <f t="shared" si="11"/>
        <v>72.868418531200746</v>
      </c>
    </row>
    <row r="379" spans="1:4">
      <c r="A379" s="22">
        <f t="shared" si="10"/>
        <v>409.5578622817967</v>
      </c>
      <c r="B379">
        <v>4095.5786228179668</v>
      </c>
      <c r="C379">
        <v>7218.6315227400746</v>
      </c>
      <c r="D379" s="23">
        <f t="shared" si="11"/>
        <v>72.18631522740074</v>
      </c>
    </row>
    <row r="380" spans="1:4">
      <c r="A380" s="22">
        <f t="shared" si="10"/>
        <v>410.64422265920194</v>
      </c>
      <c r="B380">
        <v>4106.4422265920193</v>
      </c>
      <c r="C380">
        <v>7150.4211923600742</v>
      </c>
      <c r="D380" s="23">
        <f t="shared" si="11"/>
        <v>71.504211923600735</v>
      </c>
    </row>
    <row r="381" spans="1:4">
      <c r="A381" s="22">
        <f t="shared" si="10"/>
        <v>411.7305830366073</v>
      </c>
      <c r="B381">
        <v>4117.3058303660728</v>
      </c>
      <c r="C381">
        <v>7082.2108619800738</v>
      </c>
      <c r="D381" s="23">
        <f t="shared" si="11"/>
        <v>70.822108619800744</v>
      </c>
    </row>
    <row r="382" spans="1:4">
      <c r="A382" s="22">
        <f t="shared" si="10"/>
        <v>412.81694341401254</v>
      </c>
      <c r="B382">
        <v>4128.1694341401253</v>
      </c>
      <c r="C382">
        <v>7014.0005316000734</v>
      </c>
      <c r="D382" s="23">
        <f t="shared" si="11"/>
        <v>70.140005316000739</v>
      </c>
    </row>
    <row r="383" spans="1:4">
      <c r="A383" s="22">
        <f t="shared" si="10"/>
        <v>413.9033037914179</v>
      </c>
      <c r="B383">
        <v>4139.0330379141787</v>
      </c>
      <c r="C383">
        <v>6945.790201220073</v>
      </c>
      <c r="D383" s="23">
        <f t="shared" si="11"/>
        <v>69.457902012200734</v>
      </c>
    </row>
    <row r="384" spans="1:4">
      <c r="A384" s="22">
        <f t="shared" si="10"/>
        <v>414.98966416882314</v>
      </c>
      <c r="B384">
        <v>4149.8966416882313</v>
      </c>
      <c r="C384">
        <v>6877.5798708400725</v>
      </c>
      <c r="D384" s="23">
        <f t="shared" si="11"/>
        <v>68.775798708400728</v>
      </c>
    </row>
    <row r="385" spans="1:4">
      <c r="A385" s="22">
        <f t="shared" si="10"/>
        <v>416.0760245462285</v>
      </c>
      <c r="B385">
        <v>4160.7602454622847</v>
      </c>
      <c r="C385">
        <v>6809.3695404600721</v>
      </c>
      <c r="D385" s="23">
        <f t="shared" si="11"/>
        <v>68.093695404600723</v>
      </c>
    </row>
    <row r="386" spans="1:4">
      <c r="A386" s="22">
        <f t="shared" si="10"/>
        <v>417.16238492363374</v>
      </c>
      <c r="B386">
        <v>4171.6238492363373</v>
      </c>
      <c r="C386">
        <v>6741.1592100800717</v>
      </c>
      <c r="D386" s="23">
        <f t="shared" si="11"/>
        <v>67.411592100800718</v>
      </c>
    </row>
    <row r="387" spans="1:4">
      <c r="A387" s="22">
        <f t="shared" ref="A387:A450" si="12">$B387/10</f>
        <v>418.24874530103909</v>
      </c>
      <c r="B387">
        <v>4182.4874530103907</v>
      </c>
      <c r="C387">
        <v>6672.9488797000713</v>
      </c>
      <c r="D387" s="23">
        <f t="shared" ref="D387:D450" si="13">$C387/100</f>
        <v>66.729488797000712</v>
      </c>
    </row>
    <row r="388" spans="1:4">
      <c r="A388" s="22">
        <f t="shared" si="12"/>
        <v>419.33510567844434</v>
      </c>
      <c r="B388">
        <v>4193.3510567844432</v>
      </c>
      <c r="C388">
        <v>6604.7385493200709</v>
      </c>
      <c r="D388" s="23">
        <f t="shared" si="13"/>
        <v>66.047385493200707</v>
      </c>
    </row>
    <row r="389" spans="1:4">
      <c r="A389" s="22">
        <f t="shared" si="12"/>
        <v>420.42146605584969</v>
      </c>
      <c r="B389">
        <v>4204.2146605584967</v>
      </c>
      <c r="C389">
        <v>6536.5282189400705</v>
      </c>
      <c r="D389" s="23">
        <f t="shared" si="13"/>
        <v>65.365282189400702</v>
      </c>
    </row>
    <row r="390" spans="1:4">
      <c r="A390" s="22">
        <f t="shared" si="12"/>
        <v>421.50782643325493</v>
      </c>
      <c r="B390">
        <v>4215.0782643325492</v>
      </c>
      <c r="C390">
        <v>6468.3178885600701</v>
      </c>
      <c r="D390" s="23">
        <f t="shared" si="13"/>
        <v>64.683178885600697</v>
      </c>
    </row>
    <row r="391" spans="1:4">
      <c r="A391" s="22">
        <f t="shared" si="12"/>
        <v>422.59418681066029</v>
      </c>
      <c r="B391">
        <v>4225.9418681066027</v>
      </c>
      <c r="C391">
        <v>6400.1075581800696</v>
      </c>
      <c r="D391" s="23">
        <f t="shared" si="13"/>
        <v>64.001075581800691</v>
      </c>
    </row>
    <row r="392" spans="1:4">
      <c r="A392" s="22">
        <f t="shared" si="12"/>
        <v>423.68054718806553</v>
      </c>
      <c r="B392">
        <v>4236.8054718806552</v>
      </c>
      <c r="C392">
        <v>6331.8972278000692</v>
      </c>
      <c r="D392" s="23">
        <f t="shared" si="13"/>
        <v>63.318972278000693</v>
      </c>
    </row>
    <row r="393" spans="1:4">
      <c r="A393" s="22">
        <f t="shared" si="12"/>
        <v>424.76690756547077</v>
      </c>
      <c r="B393">
        <v>4247.6690756547077</v>
      </c>
      <c r="C393">
        <v>6263.6868974200688</v>
      </c>
      <c r="D393" s="23">
        <f t="shared" si="13"/>
        <v>62.636868974200688</v>
      </c>
    </row>
    <row r="394" spans="1:4">
      <c r="A394" s="22">
        <f t="shared" si="12"/>
        <v>425.85326794287613</v>
      </c>
      <c r="B394">
        <v>4258.5326794287612</v>
      </c>
      <c r="C394">
        <v>6195.4765670400684</v>
      </c>
      <c r="D394" s="23">
        <f t="shared" si="13"/>
        <v>61.954765670400683</v>
      </c>
    </row>
    <row r="395" spans="1:4">
      <c r="A395" s="22">
        <f t="shared" si="12"/>
        <v>426.93962832028137</v>
      </c>
      <c r="B395">
        <v>4269.3962832028137</v>
      </c>
      <c r="C395">
        <v>6127.266236660068</v>
      </c>
      <c r="D395" s="23">
        <f t="shared" si="13"/>
        <v>61.272662366600677</v>
      </c>
    </row>
    <row r="396" spans="1:4">
      <c r="A396" s="22">
        <f t="shared" si="12"/>
        <v>428.02598869768673</v>
      </c>
      <c r="B396">
        <v>4280.2598869768672</v>
      </c>
      <c r="C396">
        <v>6059.0559062800676</v>
      </c>
      <c r="D396" s="23">
        <f t="shared" si="13"/>
        <v>60.590559062800679</v>
      </c>
    </row>
    <row r="397" spans="1:4">
      <c r="A397" s="22">
        <f t="shared" si="12"/>
        <v>429.11234907509197</v>
      </c>
      <c r="B397">
        <v>4291.1234907509197</v>
      </c>
      <c r="C397">
        <v>5990.8455759000672</v>
      </c>
      <c r="D397" s="23">
        <f t="shared" si="13"/>
        <v>59.908455759000674</v>
      </c>
    </row>
    <row r="398" spans="1:4">
      <c r="A398" s="22">
        <f t="shared" si="12"/>
        <v>430.19870945249733</v>
      </c>
      <c r="B398">
        <v>4301.9870945249731</v>
      </c>
      <c r="C398">
        <v>5922.6352455200667</v>
      </c>
      <c r="D398" s="23">
        <f t="shared" si="13"/>
        <v>59.226352455200669</v>
      </c>
    </row>
    <row r="399" spans="1:4">
      <c r="A399" s="22">
        <f t="shared" si="12"/>
        <v>431.28506982990257</v>
      </c>
      <c r="B399">
        <v>4312.8506982990257</v>
      </c>
      <c r="C399">
        <v>5854.4249151400663</v>
      </c>
      <c r="D399" s="23">
        <f t="shared" si="13"/>
        <v>58.544249151400663</v>
      </c>
    </row>
    <row r="400" spans="1:4">
      <c r="A400" s="22">
        <f t="shared" si="12"/>
        <v>432.37143020730792</v>
      </c>
      <c r="B400">
        <v>4323.7143020730791</v>
      </c>
      <c r="C400">
        <v>5786.2145847600659</v>
      </c>
      <c r="D400" s="23">
        <f t="shared" si="13"/>
        <v>57.862145847600658</v>
      </c>
    </row>
    <row r="401" spans="1:4">
      <c r="A401" s="22">
        <f t="shared" si="12"/>
        <v>433.45779058471317</v>
      </c>
      <c r="B401">
        <v>4334.5779058471317</v>
      </c>
      <c r="C401">
        <v>5718.0042543800655</v>
      </c>
      <c r="D401" s="23">
        <f t="shared" si="13"/>
        <v>57.180042543800653</v>
      </c>
    </row>
    <row r="402" spans="1:4">
      <c r="A402" s="22">
        <f t="shared" si="12"/>
        <v>434.54415096211852</v>
      </c>
      <c r="B402">
        <v>4345.4415096211851</v>
      </c>
      <c r="C402">
        <v>5649.7939240000651</v>
      </c>
      <c r="D402" s="23">
        <f t="shared" si="13"/>
        <v>56.497939240000647</v>
      </c>
    </row>
    <row r="403" spans="1:4">
      <c r="A403" s="22">
        <f t="shared" si="12"/>
        <v>435.63051133952376</v>
      </c>
      <c r="B403">
        <v>4356.3051133952376</v>
      </c>
      <c r="C403">
        <v>5581.5895316000588</v>
      </c>
      <c r="D403" s="23">
        <f t="shared" si="13"/>
        <v>55.815895316000585</v>
      </c>
    </row>
    <row r="404" spans="1:4">
      <c r="A404" s="22">
        <f t="shared" si="12"/>
        <v>436.71687171692912</v>
      </c>
      <c r="B404">
        <v>4367.1687171692911</v>
      </c>
      <c r="C404">
        <v>5513.3851392000524</v>
      </c>
      <c r="D404" s="23">
        <f t="shared" si="13"/>
        <v>55.133851392000523</v>
      </c>
    </row>
    <row r="405" spans="1:4">
      <c r="A405" s="22">
        <f t="shared" si="12"/>
        <v>437.80323209433436</v>
      </c>
      <c r="B405">
        <v>4378.0323209433436</v>
      </c>
      <c r="C405">
        <v>5445.1807468000461</v>
      </c>
      <c r="D405" s="23">
        <f t="shared" si="13"/>
        <v>54.45180746800046</v>
      </c>
    </row>
    <row r="406" spans="1:4">
      <c r="A406" s="22">
        <f t="shared" si="12"/>
        <v>438.88959247173972</v>
      </c>
      <c r="B406">
        <v>4388.8959247173971</v>
      </c>
      <c r="C406">
        <v>5376.9763544000398</v>
      </c>
      <c r="D406" s="23">
        <f t="shared" si="13"/>
        <v>53.769763544000398</v>
      </c>
    </row>
    <row r="407" spans="1:4">
      <c r="A407" s="22">
        <f t="shared" si="12"/>
        <v>439.97595284914496</v>
      </c>
      <c r="B407">
        <v>4399.7595284914496</v>
      </c>
      <c r="C407">
        <v>5308.7719620000335</v>
      </c>
      <c r="D407" s="23">
        <f t="shared" si="13"/>
        <v>53.087719620000335</v>
      </c>
    </row>
    <row r="408" spans="1:4">
      <c r="A408" s="22">
        <f t="shared" si="12"/>
        <v>441.0623132265502</v>
      </c>
      <c r="B408">
        <v>4410.6231322655021</v>
      </c>
      <c r="C408">
        <v>5240.5675696000271</v>
      </c>
      <c r="D408" s="23">
        <f t="shared" si="13"/>
        <v>52.405675696000273</v>
      </c>
    </row>
    <row r="409" spans="1:4">
      <c r="A409" s="22">
        <f t="shared" si="12"/>
        <v>442.14867360395556</v>
      </c>
      <c r="B409">
        <v>4421.4867360395556</v>
      </c>
      <c r="C409">
        <v>5172.3631772000208</v>
      </c>
      <c r="D409" s="23">
        <f t="shared" si="13"/>
        <v>51.723631772000211</v>
      </c>
    </row>
    <row r="410" spans="1:4">
      <c r="A410" s="22">
        <f t="shared" si="12"/>
        <v>443.2350339813608</v>
      </c>
      <c r="B410">
        <v>4432.3503398136081</v>
      </c>
      <c r="C410">
        <v>5104.1587848000145</v>
      </c>
      <c r="D410" s="23">
        <f t="shared" si="13"/>
        <v>51.041587848000148</v>
      </c>
    </row>
    <row r="411" spans="1:4">
      <c r="A411" s="22">
        <f t="shared" si="12"/>
        <v>444.32139435876616</v>
      </c>
      <c r="B411">
        <v>4443.2139435876616</v>
      </c>
      <c r="C411">
        <v>5035.9543924000081</v>
      </c>
      <c r="D411" s="23">
        <f t="shared" si="13"/>
        <v>50.359543924000079</v>
      </c>
    </row>
    <row r="412" spans="1:4">
      <c r="A412" s="22">
        <f t="shared" si="12"/>
        <v>445.4077547361714</v>
      </c>
      <c r="B412">
        <v>4454.0775473617141</v>
      </c>
      <c r="C412">
        <v>4967.75</v>
      </c>
      <c r="D412" s="23">
        <f t="shared" si="13"/>
        <v>49.677500000000002</v>
      </c>
    </row>
    <row r="413" spans="1:4">
      <c r="A413" s="22">
        <f t="shared" si="12"/>
        <v>446.49411511357675</v>
      </c>
      <c r="B413">
        <v>4464.9411511357675</v>
      </c>
      <c r="C413">
        <v>4900.54</v>
      </c>
      <c r="D413" s="23">
        <f t="shared" si="13"/>
        <v>49.005400000000002</v>
      </c>
    </row>
    <row r="414" spans="1:4">
      <c r="A414" s="22">
        <f t="shared" si="12"/>
        <v>447.580475490982</v>
      </c>
      <c r="B414">
        <v>4475.8047549098201</v>
      </c>
      <c r="C414">
        <v>4833.33</v>
      </c>
      <c r="D414" s="23">
        <f t="shared" si="13"/>
        <v>48.333300000000001</v>
      </c>
    </row>
    <row r="415" spans="1:4">
      <c r="A415" s="22">
        <f t="shared" si="12"/>
        <v>448.66683586838735</v>
      </c>
      <c r="B415">
        <v>4486.6683586838735</v>
      </c>
      <c r="C415">
        <v>4766.12</v>
      </c>
      <c r="D415" s="23">
        <f t="shared" si="13"/>
        <v>47.661200000000001</v>
      </c>
    </row>
    <row r="416" spans="1:4">
      <c r="A416" s="22">
        <f t="shared" si="12"/>
        <v>449.75319624579259</v>
      </c>
      <c r="B416">
        <v>4497.5319624579261</v>
      </c>
      <c r="C416">
        <v>4698.91</v>
      </c>
      <c r="D416" s="23">
        <f t="shared" si="13"/>
        <v>46.989100000000001</v>
      </c>
    </row>
    <row r="417" spans="1:4">
      <c r="A417" s="22">
        <f t="shared" si="12"/>
        <v>450.83955662319795</v>
      </c>
      <c r="B417">
        <v>4508.3955662319795</v>
      </c>
      <c r="C417">
        <v>4631.7</v>
      </c>
      <c r="D417" s="23">
        <f t="shared" si="13"/>
        <v>46.317</v>
      </c>
    </row>
    <row r="418" spans="1:4">
      <c r="A418" s="22">
        <f t="shared" si="12"/>
        <v>451.92591700060319</v>
      </c>
      <c r="B418">
        <v>4519.259170006032</v>
      </c>
      <c r="C418">
        <v>4564.49</v>
      </c>
      <c r="D418" s="23">
        <f t="shared" si="13"/>
        <v>45.6449</v>
      </c>
    </row>
    <row r="419" spans="1:4">
      <c r="A419" s="22">
        <f t="shared" si="12"/>
        <v>453.01227737800855</v>
      </c>
      <c r="B419">
        <v>4530.1227737800855</v>
      </c>
      <c r="C419">
        <v>4497.28</v>
      </c>
      <c r="D419" s="23">
        <f t="shared" si="13"/>
        <v>44.972799999999999</v>
      </c>
    </row>
    <row r="420" spans="1:4">
      <c r="A420" s="22">
        <f t="shared" si="12"/>
        <v>454.09863775541379</v>
      </c>
      <c r="B420">
        <v>4540.986377554138</v>
      </c>
      <c r="C420">
        <v>4430.07</v>
      </c>
      <c r="D420" s="23">
        <f t="shared" si="13"/>
        <v>44.300699999999999</v>
      </c>
    </row>
    <row r="421" spans="1:4">
      <c r="A421" s="22">
        <f t="shared" si="12"/>
        <v>455.18499813281915</v>
      </c>
      <c r="B421">
        <v>4551.8499813281915</v>
      </c>
      <c r="C421">
        <v>4362.8599999999997</v>
      </c>
      <c r="D421" s="23">
        <f t="shared" si="13"/>
        <v>43.628599999999999</v>
      </c>
    </row>
    <row r="422" spans="1:4">
      <c r="A422" s="22">
        <f t="shared" si="12"/>
        <v>456.27135851022439</v>
      </c>
      <c r="B422">
        <v>4562.713585102244</v>
      </c>
      <c r="C422">
        <v>4295.6499999999996</v>
      </c>
      <c r="D422" s="23">
        <f t="shared" si="13"/>
        <v>42.956499999999998</v>
      </c>
    </row>
    <row r="423" spans="1:4">
      <c r="A423" s="22">
        <f t="shared" si="12"/>
        <v>457.35771888762974</v>
      </c>
      <c r="B423">
        <v>4573.5771888762974</v>
      </c>
      <c r="C423">
        <v>4230.8979999999992</v>
      </c>
      <c r="D423" s="23">
        <f t="shared" si="13"/>
        <v>42.308979999999991</v>
      </c>
    </row>
    <row r="424" spans="1:4">
      <c r="A424" s="22">
        <f t="shared" si="12"/>
        <v>458.44407926503499</v>
      </c>
      <c r="B424">
        <v>4584.44079265035</v>
      </c>
      <c r="C424">
        <v>4166.1459999999988</v>
      </c>
      <c r="D424" s="23">
        <f t="shared" si="13"/>
        <v>41.661459999999991</v>
      </c>
    </row>
    <row r="425" spans="1:4">
      <c r="A425" s="22">
        <f t="shared" si="12"/>
        <v>459.53043964244023</v>
      </c>
      <c r="B425">
        <v>4595.3043964244025</v>
      </c>
      <c r="C425">
        <v>4101.3939999999984</v>
      </c>
      <c r="D425" s="23">
        <f t="shared" si="13"/>
        <v>41.013939999999984</v>
      </c>
    </row>
    <row r="426" spans="1:4">
      <c r="A426" s="22">
        <f t="shared" si="12"/>
        <v>460.61680001984558</v>
      </c>
      <c r="B426">
        <v>4606.168000198456</v>
      </c>
      <c r="C426">
        <v>4036.6419999999985</v>
      </c>
      <c r="D426" s="23">
        <f t="shared" si="13"/>
        <v>40.366419999999984</v>
      </c>
    </row>
    <row r="427" spans="1:4">
      <c r="A427" s="22">
        <f t="shared" si="12"/>
        <v>461.70316039725083</v>
      </c>
      <c r="B427">
        <v>4617.0316039725085</v>
      </c>
      <c r="C427">
        <v>3971.8899999999985</v>
      </c>
      <c r="D427" s="23">
        <f t="shared" si="13"/>
        <v>39.718899999999984</v>
      </c>
    </row>
    <row r="428" spans="1:4">
      <c r="A428" s="22">
        <f t="shared" si="12"/>
        <v>462.78952077465618</v>
      </c>
      <c r="B428">
        <v>4627.8952077465619</v>
      </c>
      <c r="C428">
        <v>3907.1379999999986</v>
      </c>
      <c r="D428" s="23">
        <f t="shared" si="13"/>
        <v>39.071379999999984</v>
      </c>
    </row>
    <row r="429" spans="1:4">
      <c r="A429" s="22">
        <f t="shared" si="12"/>
        <v>463.87588115206142</v>
      </c>
      <c r="B429">
        <v>4638.7588115206145</v>
      </c>
      <c r="C429">
        <v>3842.3859999999986</v>
      </c>
      <c r="D429" s="23">
        <f t="shared" si="13"/>
        <v>38.423859999999983</v>
      </c>
    </row>
    <row r="430" spans="1:4">
      <c r="A430" s="22">
        <f t="shared" si="12"/>
        <v>464.96224152946678</v>
      </c>
      <c r="B430">
        <v>4649.6224152946679</v>
      </c>
      <c r="C430">
        <v>3777.6339999999987</v>
      </c>
      <c r="D430" s="23">
        <f t="shared" si="13"/>
        <v>37.776339999999983</v>
      </c>
    </row>
    <row r="431" spans="1:4">
      <c r="A431" s="22">
        <f t="shared" si="12"/>
        <v>466.04860190687202</v>
      </c>
      <c r="B431">
        <v>4660.4860190687205</v>
      </c>
      <c r="C431">
        <v>3712.8819999999987</v>
      </c>
      <c r="D431" s="23">
        <f t="shared" si="13"/>
        <v>37.12881999999999</v>
      </c>
    </row>
    <row r="432" spans="1:4">
      <c r="A432" s="22">
        <f t="shared" si="12"/>
        <v>467.13496228427738</v>
      </c>
      <c r="B432">
        <v>4671.3496228427739</v>
      </c>
      <c r="C432">
        <v>3648.13</v>
      </c>
      <c r="D432" s="23">
        <f t="shared" si="13"/>
        <v>36.481300000000005</v>
      </c>
    </row>
    <row r="433" spans="1:4">
      <c r="A433" s="22">
        <f t="shared" si="12"/>
        <v>468.22132266168262</v>
      </c>
      <c r="B433">
        <v>4682.2132266168264</v>
      </c>
      <c r="C433">
        <v>3588.0190000000002</v>
      </c>
      <c r="D433" s="23">
        <f t="shared" si="13"/>
        <v>35.880189999999999</v>
      </c>
    </row>
    <row r="434" spans="1:4">
      <c r="A434" s="22">
        <f t="shared" si="12"/>
        <v>469.30768303908798</v>
      </c>
      <c r="B434">
        <v>4693.0768303908799</v>
      </c>
      <c r="C434">
        <v>3527.9080000000004</v>
      </c>
      <c r="D434" s="23">
        <f t="shared" si="13"/>
        <v>35.27908</v>
      </c>
    </row>
    <row r="435" spans="1:4">
      <c r="A435" s="22">
        <f t="shared" si="12"/>
        <v>470.39404341649322</v>
      </c>
      <c r="B435">
        <v>4703.9404341649324</v>
      </c>
      <c r="C435">
        <v>3467.7970000000005</v>
      </c>
      <c r="D435" s="23">
        <f t="shared" si="13"/>
        <v>34.677970000000002</v>
      </c>
    </row>
    <row r="436" spans="1:4">
      <c r="A436" s="22">
        <f t="shared" si="12"/>
        <v>471.48040379389857</v>
      </c>
      <c r="B436">
        <v>4714.8040379389859</v>
      </c>
      <c r="C436">
        <v>3407.6860000000006</v>
      </c>
      <c r="D436" s="23">
        <f t="shared" si="13"/>
        <v>34.076860000000003</v>
      </c>
    </row>
    <row r="437" spans="1:4">
      <c r="A437" s="22">
        <f t="shared" si="12"/>
        <v>472.56676417130382</v>
      </c>
      <c r="B437">
        <v>4725.6676417130384</v>
      </c>
      <c r="C437">
        <v>3347.5750000000007</v>
      </c>
      <c r="D437" s="23">
        <f t="shared" si="13"/>
        <v>33.475750000000005</v>
      </c>
    </row>
    <row r="438" spans="1:4">
      <c r="A438" s="22">
        <f t="shared" si="12"/>
        <v>473.65312454870917</v>
      </c>
      <c r="B438">
        <v>4736.5312454870918</v>
      </c>
      <c r="C438">
        <v>3287.4640000000009</v>
      </c>
      <c r="D438" s="23">
        <f t="shared" si="13"/>
        <v>32.874640000000007</v>
      </c>
    </row>
    <row r="439" spans="1:4">
      <c r="A439" s="22">
        <f t="shared" si="12"/>
        <v>474.73948492611441</v>
      </c>
      <c r="B439">
        <v>4747.3948492611444</v>
      </c>
      <c r="C439">
        <v>3227.353000000001</v>
      </c>
      <c r="D439" s="23">
        <f t="shared" si="13"/>
        <v>32.273530000000008</v>
      </c>
    </row>
    <row r="440" spans="1:4">
      <c r="A440" s="22">
        <f t="shared" si="12"/>
        <v>475.82584530351977</v>
      </c>
      <c r="B440">
        <v>4758.2584530351978</v>
      </c>
      <c r="C440">
        <v>3167.2420000000011</v>
      </c>
      <c r="D440" s="23">
        <f t="shared" si="13"/>
        <v>31.67242000000001</v>
      </c>
    </row>
    <row r="441" spans="1:4">
      <c r="A441" s="22">
        <f t="shared" si="12"/>
        <v>476.91220568092501</v>
      </c>
      <c r="B441">
        <v>4769.1220568092504</v>
      </c>
      <c r="C441">
        <v>3107.1310000000012</v>
      </c>
      <c r="D441" s="23">
        <f t="shared" si="13"/>
        <v>31.071310000000011</v>
      </c>
    </row>
    <row r="442" spans="1:4">
      <c r="A442" s="22">
        <f t="shared" si="12"/>
        <v>477.99856605833031</v>
      </c>
      <c r="B442">
        <v>4779.9856605833029</v>
      </c>
      <c r="C442">
        <v>3047.02</v>
      </c>
      <c r="D442" s="23">
        <f t="shared" si="13"/>
        <v>30.470199999999998</v>
      </c>
    </row>
    <row r="443" spans="1:4">
      <c r="A443" s="22">
        <f t="shared" si="12"/>
        <v>479.08492643573561</v>
      </c>
      <c r="B443">
        <v>4790.8492643573563</v>
      </c>
      <c r="C443">
        <v>2993.0219999999999</v>
      </c>
      <c r="D443" s="23">
        <f t="shared" si="13"/>
        <v>29.930219999999998</v>
      </c>
    </row>
    <row r="444" spans="1:4">
      <c r="A444" s="22">
        <f t="shared" si="12"/>
        <v>480.17128681314091</v>
      </c>
      <c r="B444">
        <v>4801.7128681314089</v>
      </c>
      <c r="C444">
        <v>2939.0239999999999</v>
      </c>
      <c r="D444" s="23">
        <f t="shared" si="13"/>
        <v>29.390239999999999</v>
      </c>
    </row>
    <row r="445" spans="1:4">
      <c r="A445" s="22">
        <f t="shared" si="12"/>
        <v>481.25764719054621</v>
      </c>
      <c r="B445">
        <v>4812.5764719054623</v>
      </c>
      <c r="C445">
        <v>2885.0259999999998</v>
      </c>
      <c r="D445" s="23">
        <f t="shared" si="13"/>
        <v>28.850259999999999</v>
      </c>
    </row>
    <row r="446" spans="1:4">
      <c r="A446" s="22">
        <f t="shared" si="12"/>
        <v>482.34400756795151</v>
      </c>
      <c r="B446">
        <v>4823.4400756795148</v>
      </c>
      <c r="C446">
        <v>2831.0279999999998</v>
      </c>
      <c r="D446" s="23">
        <f t="shared" si="13"/>
        <v>28.310279999999999</v>
      </c>
    </row>
    <row r="447" spans="1:4">
      <c r="A447" s="22">
        <f t="shared" si="12"/>
        <v>483.43036794535681</v>
      </c>
      <c r="B447">
        <v>4834.3036794535683</v>
      </c>
      <c r="C447">
        <v>2777.0299999999997</v>
      </c>
      <c r="D447" s="23">
        <f t="shared" si="13"/>
        <v>27.770299999999999</v>
      </c>
    </row>
    <row r="448" spans="1:4">
      <c r="A448" s="22">
        <f t="shared" si="12"/>
        <v>484.51672832276211</v>
      </c>
      <c r="B448">
        <v>4845.1672832276208</v>
      </c>
      <c r="C448">
        <v>2723.0319999999997</v>
      </c>
      <c r="D448" s="23">
        <f t="shared" si="13"/>
        <v>27.230319999999995</v>
      </c>
    </row>
    <row r="449" spans="1:4">
      <c r="A449" s="22">
        <f t="shared" si="12"/>
        <v>485.6030887001674</v>
      </c>
      <c r="B449">
        <v>4856.0308870016743</v>
      </c>
      <c r="C449">
        <v>2669.0339999999997</v>
      </c>
      <c r="D449" s="23">
        <f t="shared" si="13"/>
        <v>26.690339999999996</v>
      </c>
    </row>
    <row r="450" spans="1:4">
      <c r="A450" s="22">
        <f t="shared" si="12"/>
        <v>486.6894490775727</v>
      </c>
      <c r="B450">
        <v>4866.8944907757268</v>
      </c>
      <c r="C450">
        <v>2615.0359999999996</v>
      </c>
      <c r="D450" s="23">
        <f t="shared" si="13"/>
        <v>26.150359999999996</v>
      </c>
    </row>
    <row r="451" spans="1:4">
      <c r="A451" s="22">
        <f t="shared" ref="A451:A514" si="14">$B451/10</f>
        <v>487.775809454978</v>
      </c>
      <c r="B451">
        <v>4877.7580945497803</v>
      </c>
      <c r="C451">
        <v>2561.0379999999996</v>
      </c>
      <c r="D451" s="23">
        <f t="shared" ref="D451:D514" si="15">$C451/100</f>
        <v>25.610379999999996</v>
      </c>
    </row>
    <row r="452" spans="1:4">
      <c r="A452" s="22">
        <f t="shared" si="14"/>
        <v>488.8621698323833</v>
      </c>
      <c r="B452">
        <v>4888.6216983238328</v>
      </c>
      <c r="C452">
        <v>2507.04</v>
      </c>
      <c r="D452" s="23">
        <f t="shared" si="15"/>
        <v>25.070399999999999</v>
      </c>
    </row>
    <row r="453" spans="1:4">
      <c r="A453" s="22">
        <f t="shared" si="14"/>
        <v>489.9485302097886</v>
      </c>
      <c r="B453">
        <v>4899.4853020978862</v>
      </c>
      <c r="C453">
        <v>2459.02</v>
      </c>
      <c r="D453" s="23">
        <f t="shared" si="15"/>
        <v>24.590199999999999</v>
      </c>
    </row>
    <row r="454" spans="1:4">
      <c r="A454" s="22">
        <f t="shared" si="14"/>
        <v>491.0348905871939</v>
      </c>
      <c r="B454">
        <v>4910.3489058719388</v>
      </c>
      <c r="C454">
        <v>2411</v>
      </c>
      <c r="D454" s="23">
        <f t="shared" si="15"/>
        <v>24.11</v>
      </c>
    </row>
    <row r="455" spans="1:4">
      <c r="A455" s="22">
        <f t="shared" si="14"/>
        <v>492.1212509645992</v>
      </c>
      <c r="B455">
        <v>4921.2125096459922</v>
      </c>
      <c r="C455">
        <v>2362.98</v>
      </c>
      <c r="D455" s="23">
        <f t="shared" si="15"/>
        <v>23.629799999999999</v>
      </c>
    </row>
    <row r="456" spans="1:4">
      <c r="A456" s="22">
        <f t="shared" si="14"/>
        <v>493.2076113420045</v>
      </c>
      <c r="B456">
        <v>4932.0761134200447</v>
      </c>
      <c r="C456">
        <v>2314.96</v>
      </c>
      <c r="D456" s="23">
        <f t="shared" si="15"/>
        <v>23.1496</v>
      </c>
    </row>
    <row r="457" spans="1:4">
      <c r="A457" s="22">
        <f t="shared" si="14"/>
        <v>494.29397171940974</v>
      </c>
      <c r="B457">
        <v>4942.9397171940973</v>
      </c>
      <c r="C457">
        <v>2266.94</v>
      </c>
      <c r="D457" s="23">
        <f t="shared" si="15"/>
        <v>22.6694</v>
      </c>
    </row>
    <row r="458" spans="1:4">
      <c r="A458" s="22">
        <f t="shared" si="14"/>
        <v>495.3803320968151</v>
      </c>
      <c r="B458">
        <v>4953.8033209681507</v>
      </c>
      <c r="C458">
        <v>2218.92</v>
      </c>
      <c r="D458" s="23">
        <f t="shared" si="15"/>
        <v>22.1892</v>
      </c>
    </row>
    <row r="459" spans="1:4">
      <c r="A459" s="22">
        <f t="shared" si="14"/>
        <v>496.46669247422034</v>
      </c>
      <c r="B459">
        <v>4964.6669247422033</v>
      </c>
      <c r="C459">
        <v>2170.9</v>
      </c>
      <c r="D459" s="23">
        <f t="shared" si="15"/>
        <v>21.709</v>
      </c>
    </row>
    <row r="460" spans="1:4">
      <c r="A460" s="22">
        <f t="shared" si="14"/>
        <v>497.55305285162569</v>
      </c>
      <c r="B460">
        <v>4975.5305285162567</v>
      </c>
      <c r="C460">
        <v>2122.88</v>
      </c>
      <c r="D460" s="23">
        <f t="shared" si="15"/>
        <v>21.2288</v>
      </c>
    </row>
    <row r="461" spans="1:4">
      <c r="A461" s="22">
        <f t="shared" si="14"/>
        <v>498.63941322903094</v>
      </c>
      <c r="B461">
        <v>4986.3941322903092</v>
      </c>
      <c r="C461">
        <v>2074.86</v>
      </c>
      <c r="D461" s="23">
        <f t="shared" si="15"/>
        <v>20.7486</v>
      </c>
    </row>
    <row r="462" spans="1:4">
      <c r="A462" s="22">
        <f t="shared" si="14"/>
        <v>499.72577360643629</v>
      </c>
      <c r="B462">
        <v>4997.2577360643627</v>
      </c>
      <c r="C462">
        <v>2026.84</v>
      </c>
      <c r="D462" s="23">
        <f t="shared" si="15"/>
        <v>20.2684</v>
      </c>
    </row>
    <row r="463" spans="1:4">
      <c r="A463" s="22">
        <f t="shared" si="14"/>
        <v>500.81213398384153</v>
      </c>
      <c r="B463">
        <v>5008.1213398384152</v>
      </c>
      <c r="C463">
        <v>1984.617</v>
      </c>
      <c r="D463" s="23">
        <f t="shared" si="15"/>
        <v>19.846170000000001</v>
      </c>
    </row>
    <row r="464" spans="1:4">
      <c r="A464" s="22">
        <f t="shared" si="14"/>
        <v>501.89849436124689</v>
      </c>
      <c r="B464">
        <v>5018.9849436124687</v>
      </c>
      <c r="C464">
        <v>1942.394</v>
      </c>
      <c r="D464" s="23">
        <f t="shared" si="15"/>
        <v>19.423940000000002</v>
      </c>
    </row>
    <row r="465" spans="1:4">
      <c r="A465" s="22">
        <f t="shared" si="14"/>
        <v>502.98485473865213</v>
      </c>
      <c r="B465">
        <v>5029.8485473865212</v>
      </c>
      <c r="C465">
        <v>1900.171</v>
      </c>
      <c r="D465" s="23">
        <f t="shared" si="15"/>
        <v>19.001709999999999</v>
      </c>
    </row>
    <row r="466" spans="1:4">
      <c r="A466" s="22">
        <f t="shared" si="14"/>
        <v>504.07121511605749</v>
      </c>
      <c r="B466">
        <v>5040.7121511605746</v>
      </c>
      <c r="C466">
        <v>1857.9480000000001</v>
      </c>
      <c r="D466" s="23">
        <f t="shared" si="15"/>
        <v>18.57948</v>
      </c>
    </row>
    <row r="467" spans="1:4">
      <c r="A467" s="22">
        <f t="shared" si="14"/>
        <v>505.15757549346273</v>
      </c>
      <c r="B467">
        <v>5051.5757549346272</v>
      </c>
      <c r="C467">
        <v>1815.7250000000001</v>
      </c>
      <c r="D467" s="23">
        <f t="shared" si="15"/>
        <v>18.157250000000001</v>
      </c>
    </row>
    <row r="468" spans="1:4">
      <c r="A468" s="22">
        <f t="shared" si="14"/>
        <v>506.24393587086809</v>
      </c>
      <c r="B468">
        <v>5062.4393587086806</v>
      </c>
      <c r="C468">
        <v>1773.5020000000002</v>
      </c>
      <c r="D468" s="23">
        <f t="shared" si="15"/>
        <v>17.735020000000002</v>
      </c>
    </row>
    <row r="469" spans="1:4">
      <c r="A469" s="22">
        <f t="shared" si="14"/>
        <v>507.33029624827333</v>
      </c>
      <c r="B469">
        <v>5073.3029624827332</v>
      </c>
      <c r="C469">
        <v>1731.2790000000002</v>
      </c>
      <c r="D469" s="23">
        <f t="shared" si="15"/>
        <v>17.312790000000003</v>
      </c>
    </row>
    <row r="470" spans="1:4">
      <c r="A470" s="22">
        <f t="shared" si="14"/>
        <v>508.41665662567868</v>
      </c>
      <c r="B470">
        <v>5084.1665662567866</v>
      </c>
      <c r="C470">
        <v>1689.0560000000003</v>
      </c>
      <c r="D470" s="23">
        <f t="shared" si="15"/>
        <v>16.890560000000004</v>
      </c>
    </row>
    <row r="471" spans="1:4">
      <c r="A471" s="22">
        <f t="shared" si="14"/>
        <v>509.50301700308393</v>
      </c>
      <c r="B471">
        <v>5095.0301700308391</v>
      </c>
      <c r="C471">
        <v>1646.8330000000003</v>
      </c>
      <c r="D471" s="23">
        <f t="shared" si="15"/>
        <v>16.468330000000002</v>
      </c>
    </row>
    <row r="472" spans="1:4">
      <c r="A472" s="22">
        <f t="shared" si="14"/>
        <v>510.58937738048928</v>
      </c>
      <c r="B472">
        <v>5105.8937738048926</v>
      </c>
      <c r="C472">
        <v>1604.61</v>
      </c>
      <c r="D472" s="23">
        <f t="shared" si="15"/>
        <v>16.046099999999999</v>
      </c>
    </row>
    <row r="473" spans="1:4">
      <c r="A473" s="22">
        <f t="shared" si="14"/>
        <v>511.67573775789452</v>
      </c>
      <c r="B473">
        <v>5116.7573775789451</v>
      </c>
      <c r="C473">
        <v>1568.0369999999998</v>
      </c>
      <c r="D473" s="23">
        <f t="shared" si="15"/>
        <v>15.680369999999998</v>
      </c>
    </row>
    <row r="474" spans="1:4">
      <c r="A474" s="22">
        <f t="shared" si="14"/>
        <v>512.76209813529977</v>
      </c>
      <c r="B474">
        <v>5127.6209813529977</v>
      </c>
      <c r="C474">
        <v>1531.4639999999999</v>
      </c>
      <c r="D474" s="23">
        <f t="shared" si="15"/>
        <v>15.314639999999999</v>
      </c>
    </row>
    <row r="475" spans="1:4">
      <c r="A475" s="22">
        <f t="shared" si="14"/>
        <v>513.84845851270507</v>
      </c>
      <c r="B475">
        <v>5138.4845851270511</v>
      </c>
      <c r="C475">
        <v>1494.8910000000001</v>
      </c>
      <c r="D475" s="23">
        <f t="shared" si="15"/>
        <v>14.948910000000001</v>
      </c>
    </row>
    <row r="476" spans="1:4">
      <c r="A476" s="22">
        <f t="shared" si="14"/>
        <v>514.93481889011036</v>
      </c>
      <c r="B476">
        <v>5149.3481889011036</v>
      </c>
      <c r="C476">
        <v>1458.3180000000002</v>
      </c>
      <c r="D476" s="23">
        <f t="shared" si="15"/>
        <v>14.583180000000002</v>
      </c>
    </row>
    <row r="477" spans="1:4">
      <c r="A477" s="22">
        <f t="shared" si="14"/>
        <v>516.02117926751566</v>
      </c>
      <c r="B477">
        <v>5160.2117926751571</v>
      </c>
      <c r="C477">
        <v>1421.7450000000003</v>
      </c>
      <c r="D477" s="23">
        <f t="shared" si="15"/>
        <v>14.217450000000003</v>
      </c>
    </row>
    <row r="478" spans="1:4">
      <c r="A478" s="22">
        <f t="shared" si="14"/>
        <v>517.10753964492096</v>
      </c>
      <c r="B478">
        <v>5171.0753964492096</v>
      </c>
      <c r="C478">
        <v>1385.1720000000005</v>
      </c>
      <c r="D478" s="23">
        <f t="shared" si="15"/>
        <v>13.851720000000006</v>
      </c>
    </row>
    <row r="479" spans="1:4">
      <c r="A479" s="22">
        <f t="shared" si="14"/>
        <v>518.19390002232626</v>
      </c>
      <c r="B479">
        <v>5181.9390002232631</v>
      </c>
      <c r="C479">
        <v>1348.5990000000006</v>
      </c>
      <c r="D479" s="23">
        <f t="shared" si="15"/>
        <v>13.485990000000006</v>
      </c>
    </row>
    <row r="480" spans="1:4">
      <c r="A480" s="22">
        <f t="shared" si="14"/>
        <v>519.28026039973156</v>
      </c>
      <c r="B480">
        <v>5192.8026039973156</v>
      </c>
      <c r="C480">
        <v>1312.0260000000007</v>
      </c>
      <c r="D480" s="23">
        <f t="shared" si="15"/>
        <v>13.120260000000007</v>
      </c>
    </row>
    <row r="481" spans="1:4">
      <c r="A481" s="22">
        <f t="shared" si="14"/>
        <v>520.36662077713686</v>
      </c>
      <c r="B481">
        <v>5203.666207771369</v>
      </c>
      <c r="C481">
        <v>1275.4530000000009</v>
      </c>
      <c r="D481" s="23">
        <f t="shared" si="15"/>
        <v>12.75453000000001</v>
      </c>
    </row>
    <row r="482" spans="1:4">
      <c r="A482" s="22">
        <f t="shared" si="14"/>
        <v>521.45298115454216</v>
      </c>
      <c r="B482">
        <v>5214.5298115454216</v>
      </c>
      <c r="C482">
        <v>1238.8800000000001</v>
      </c>
      <c r="D482" s="23">
        <f t="shared" si="15"/>
        <v>12.388800000000002</v>
      </c>
    </row>
    <row r="483" spans="1:4">
      <c r="A483" s="22">
        <f t="shared" si="14"/>
        <v>522.53934153194746</v>
      </c>
      <c r="B483">
        <v>5225.393415319475</v>
      </c>
      <c r="C483">
        <v>1207.71</v>
      </c>
      <c r="D483" s="23">
        <f t="shared" si="15"/>
        <v>12.0771</v>
      </c>
    </row>
    <row r="484" spans="1:4">
      <c r="A484" s="22">
        <f t="shared" si="14"/>
        <v>523.62570190935276</v>
      </c>
      <c r="B484">
        <v>5236.2570190935276</v>
      </c>
      <c r="C484">
        <v>1176.54</v>
      </c>
      <c r="D484" s="23">
        <f t="shared" si="15"/>
        <v>11.7654</v>
      </c>
    </row>
    <row r="485" spans="1:4">
      <c r="A485" s="22">
        <f t="shared" si="14"/>
        <v>524.71206228675806</v>
      </c>
      <c r="B485">
        <v>5247.120622867581</v>
      </c>
      <c r="C485">
        <v>1145.3699999999999</v>
      </c>
      <c r="D485" s="23">
        <f t="shared" si="15"/>
        <v>11.4537</v>
      </c>
    </row>
    <row r="486" spans="1:4">
      <c r="A486" s="22">
        <f t="shared" si="14"/>
        <v>525.79842266416335</v>
      </c>
      <c r="B486">
        <v>5257.9842266416335</v>
      </c>
      <c r="C486">
        <v>1114.1999999999998</v>
      </c>
      <c r="D486" s="23">
        <f t="shared" si="15"/>
        <v>11.141999999999998</v>
      </c>
    </row>
    <row r="487" spans="1:4">
      <c r="A487" s="22">
        <f t="shared" si="14"/>
        <v>526.88478304156865</v>
      </c>
      <c r="B487">
        <v>5268.847830415687</v>
      </c>
      <c r="C487">
        <v>1083.0299999999997</v>
      </c>
      <c r="D487" s="23">
        <f t="shared" si="15"/>
        <v>10.830299999999998</v>
      </c>
    </row>
    <row r="488" spans="1:4">
      <c r="A488" s="22">
        <f t="shared" si="14"/>
        <v>527.97114341897395</v>
      </c>
      <c r="B488">
        <v>5279.7114341897395</v>
      </c>
      <c r="C488">
        <v>1051.8599999999997</v>
      </c>
      <c r="D488" s="23">
        <f t="shared" si="15"/>
        <v>10.518599999999998</v>
      </c>
    </row>
    <row r="489" spans="1:4">
      <c r="A489" s="22">
        <f t="shared" si="14"/>
        <v>529.05750379637925</v>
      </c>
      <c r="B489">
        <v>5290.575037963793</v>
      </c>
      <c r="C489">
        <v>1020.6899999999996</v>
      </c>
      <c r="D489" s="23">
        <f t="shared" si="15"/>
        <v>10.206899999999996</v>
      </c>
    </row>
    <row r="490" spans="1:4">
      <c r="A490" s="22">
        <f t="shared" si="14"/>
        <v>530.14386417378455</v>
      </c>
      <c r="B490">
        <v>5301.4386417378455</v>
      </c>
      <c r="C490">
        <v>989.51999999999953</v>
      </c>
      <c r="D490" s="23">
        <f t="shared" si="15"/>
        <v>9.8951999999999956</v>
      </c>
    </row>
    <row r="491" spans="1:4">
      <c r="A491" s="22">
        <f t="shared" si="14"/>
        <v>531.23022455118985</v>
      </c>
      <c r="B491">
        <v>5312.302245511898</v>
      </c>
      <c r="C491">
        <v>958.34999999999945</v>
      </c>
      <c r="D491" s="23">
        <f t="shared" si="15"/>
        <v>9.5834999999999937</v>
      </c>
    </row>
    <row r="492" spans="1:4">
      <c r="A492" s="22">
        <f t="shared" si="14"/>
        <v>532.31658492859515</v>
      </c>
      <c r="B492">
        <v>5323.1658492859515</v>
      </c>
      <c r="C492">
        <v>927.18</v>
      </c>
      <c r="D492" s="23">
        <f t="shared" si="15"/>
        <v>9.2717999999999989</v>
      </c>
    </row>
    <row r="493" spans="1:4">
      <c r="A493" s="22">
        <f t="shared" si="14"/>
        <v>533.40294530600045</v>
      </c>
      <c r="B493">
        <v>5334.029453060004</v>
      </c>
      <c r="C493">
        <v>901.17099999999994</v>
      </c>
      <c r="D493" s="23">
        <f t="shared" si="15"/>
        <v>9.011709999999999</v>
      </c>
    </row>
    <row r="494" spans="1:4">
      <c r="A494" s="22">
        <f t="shared" si="14"/>
        <v>534.48930568340575</v>
      </c>
      <c r="B494">
        <v>5344.8930568340575</v>
      </c>
      <c r="C494">
        <v>875.16199999999992</v>
      </c>
      <c r="D494" s="23">
        <f t="shared" si="15"/>
        <v>8.7516199999999991</v>
      </c>
    </row>
    <row r="495" spans="1:4">
      <c r="A495" s="22">
        <f t="shared" si="14"/>
        <v>535.57566606081105</v>
      </c>
      <c r="B495">
        <v>5355.75666060811</v>
      </c>
      <c r="C495">
        <v>849.15299999999991</v>
      </c>
      <c r="D495" s="23">
        <f t="shared" si="15"/>
        <v>8.4915299999999991</v>
      </c>
    </row>
    <row r="496" spans="1:4">
      <c r="A496" s="22">
        <f t="shared" si="14"/>
        <v>536.66202643821634</v>
      </c>
      <c r="B496">
        <v>5366.6202643821634</v>
      </c>
      <c r="C496">
        <v>823.14399999999989</v>
      </c>
      <c r="D496" s="23">
        <f t="shared" si="15"/>
        <v>8.2314399999999992</v>
      </c>
    </row>
    <row r="497" spans="1:4">
      <c r="A497" s="22">
        <f t="shared" si="14"/>
        <v>537.74838681562164</v>
      </c>
      <c r="B497">
        <v>5377.483868156216</v>
      </c>
      <c r="C497">
        <v>797.13499999999988</v>
      </c>
      <c r="D497" s="23">
        <f t="shared" si="15"/>
        <v>7.9713499999999984</v>
      </c>
    </row>
    <row r="498" spans="1:4">
      <c r="A498" s="22">
        <f t="shared" si="14"/>
        <v>538.83474719302694</v>
      </c>
      <c r="B498">
        <v>5388.3474719302694</v>
      </c>
      <c r="C498">
        <v>771.12599999999986</v>
      </c>
      <c r="D498" s="23">
        <f t="shared" si="15"/>
        <v>7.7112599999999984</v>
      </c>
    </row>
    <row r="499" spans="1:4">
      <c r="A499" s="22">
        <f t="shared" si="14"/>
        <v>539.92110757043224</v>
      </c>
      <c r="B499">
        <v>5399.211075704322</v>
      </c>
      <c r="C499">
        <v>745.11699999999985</v>
      </c>
      <c r="D499" s="23">
        <f t="shared" si="15"/>
        <v>7.4511699999999985</v>
      </c>
    </row>
    <row r="500" spans="1:4">
      <c r="A500" s="22">
        <f t="shared" si="14"/>
        <v>541.00746794783754</v>
      </c>
      <c r="B500">
        <v>5410.0746794783754</v>
      </c>
      <c r="C500">
        <v>719.10799999999983</v>
      </c>
      <c r="D500" s="23">
        <f t="shared" si="15"/>
        <v>7.1910799999999986</v>
      </c>
    </row>
    <row r="501" spans="1:4">
      <c r="A501" s="22">
        <f t="shared" si="14"/>
        <v>542.09382832524284</v>
      </c>
      <c r="B501">
        <v>5420.9382832524279</v>
      </c>
      <c r="C501">
        <v>693.09899999999982</v>
      </c>
      <c r="D501" s="23">
        <f t="shared" si="15"/>
        <v>6.9309899999999978</v>
      </c>
    </row>
    <row r="502" spans="1:4">
      <c r="A502" s="22">
        <f t="shared" si="14"/>
        <v>543.18018870264814</v>
      </c>
      <c r="B502">
        <v>5431.8018870264814</v>
      </c>
      <c r="C502">
        <v>667.09</v>
      </c>
      <c r="D502" s="23">
        <f t="shared" si="15"/>
        <v>6.6709000000000005</v>
      </c>
    </row>
    <row r="503" spans="1:4">
      <c r="A503" s="22">
        <f t="shared" si="14"/>
        <v>544.26654908005344</v>
      </c>
      <c r="B503">
        <v>5442.6654908005339</v>
      </c>
      <c r="C503">
        <v>645.88100000000009</v>
      </c>
      <c r="D503" s="23">
        <f t="shared" si="15"/>
        <v>6.4588100000000006</v>
      </c>
    </row>
    <row r="504" spans="1:4">
      <c r="A504" s="22">
        <f t="shared" si="14"/>
        <v>545.35290945745874</v>
      </c>
      <c r="B504">
        <v>5453.5290945745874</v>
      </c>
      <c r="C504">
        <v>624.67200000000003</v>
      </c>
      <c r="D504" s="23">
        <f t="shared" si="15"/>
        <v>6.2467199999999998</v>
      </c>
    </row>
    <row r="505" spans="1:4">
      <c r="A505" s="22">
        <f t="shared" si="14"/>
        <v>546.43926983486404</v>
      </c>
      <c r="B505">
        <v>5464.3926983486399</v>
      </c>
      <c r="C505">
        <v>603.46299999999997</v>
      </c>
      <c r="D505" s="23">
        <f t="shared" si="15"/>
        <v>6.0346299999999999</v>
      </c>
    </row>
    <row r="506" spans="1:4">
      <c r="A506" s="22">
        <f t="shared" si="14"/>
        <v>547.52563021226922</v>
      </c>
      <c r="B506">
        <v>5475.2563021226924</v>
      </c>
      <c r="C506">
        <v>582.25399999999991</v>
      </c>
      <c r="D506" s="23">
        <f t="shared" si="15"/>
        <v>5.8225399999999992</v>
      </c>
    </row>
    <row r="507" spans="1:4">
      <c r="A507" s="22">
        <f t="shared" si="14"/>
        <v>548.61199058967463</v>
      </c>
      <c r="B507">
        <v>5486.1199058967459</v>
      </c>
      <c r="C507">
        <v>561.04499999999985</v>
      </c>
      <c r="D507" s="23">
        <f t="shared" si="15"/>
        <v>5.6104499999999984</v>
      </c>
    </row>
    <row r="508" spans="1:4">
      <c r="A508" s="22">
        <f t="shared" si="14"/>
        <v>549.69835096707982</v>
      </c>
      <c r="B508">
        <v>5496.9835096707984</v>
      </c>
      <c r="C508">
        <v>539.83599999999979</v>
      </c>
      <c r="D508" s="23">
        <f t="shared" si="15"/>
        <v>5.3983599999999976</v>
      </c>
    </row>
    <row r="509" spans="1:4">
      <c r="A509" s="22">
        <f t="shared" si="14"/>
        <v>550.78471134448523</v>
      </c>
      <c r="B509">
        <v>5507.8471134448519</v>
      </c>
      <c r="C509">
        <v>518.62699999999973</v>
      </c>
      <c r="D509" s="23">
        <f t="shared" si="15"/>
        <v>5.1862699999999968</v>
      </c>
    </row>
    <row r="510" spans="1:4">
      <c r="A510" s="22">
        <f t="shared" si="14"/>
        <v>551.87107172189042</v>
      </c>
      <c r="B510">
        <v>5518.7107172189044</v>
      </c>
      <c r="C510">
        <v>497.41799999999972</v>
      </c>
      <c r="D510" s="23">
        <f t="shared" si="15"/>
        <v>4.9741799999999969</v>
      </c>
    </row>
    <row r="511" spans="1:4">
      <c r="A511" s="22">
        <f t="shared" si="14"/>
        <v>552.95743209929583</v>
      </c>
      <c r="B511">
        <v>5529.5743209929578</v>
      </c>
      <c r="C511">
        <v>476.20899999999972</v>
      </c>
      <c r="D511" s="23">
        <f t="shared" si="15"/>
        <v>4.762089999999997</v>
      </c>
    </row>
    <row r="512" spans="1:4">
      <c r="A512" s="22">
        <f t="shared" si="14"/>
        <v>554.04379247670101</v>
      </c>
      <c r="B512">
        <v>5540.4379247670104</v>
      </c>
      <c r="C512">
        <v>455</v>
      </c>
      <c r="D512" s="23">
        <f t="shared" si="15"/>
        <v>4.55</v>
      </c>
    </row>
    <row r="513" spans="1:4">
      <c r="A513" s="22">
        <f t="shared" si="14"/>
        <v>555.13015285410643</v>
      </c>
      <c r="B513">
        <v>5551.3015285410638</v>
      </c>
      <c r="C513">
        <v>438.5</v>
      </c>
      <c r="D513" s="23">
        <f t="shared" si="15"/>
        <v>4.3849999999999998</v>
      </c>
    </row>
    <row r="514" spans="1:4">
      <c r="A514" s="22">
        <f t="shared" si="14"/>
        <v>556.21651323151161</v>
      </c>
      <c r="B514">
        <v>5562.1651323151164</v>
      </c>
      <c r="C514">
        <v>422</v>
      </c>
      <c r="D514" s="23">
        <f t="shared" si="15"/>
        <v>4.22</v>
      </c>
    </row>
    <row r="515" spans="1:4">
      <c r="A515" s="22">
        <f t="shared" ref="A515:A572" si="16">$B515/10</f>
        <v>557.30287360891703</v>
      </c>
      <c r="B515">
        <v>5573.0287360891698</v>
      </c>
      <c r="C515">
        <v>405.5</v>
      </c>
      <c r="D515" s="23">
        <f t="shared" ref="D515:D572" si="17">$C515/100</f>
        <v>4.0549999999999997</v>
      </c>
    </row>
    <row r="516" spans="1:4">
      <c r="A516" s="22">
        <f t="shared" si="16"/>
        <v>558.38923398632221</v>
      </c>
      <c r="B516">
        <v>5583.8923398632223</v>
      </c>
      <c r="C516">
        <v>389</v>
      </c>
      <c r="D516" s="23">
        <f t="shared" si="17"/>
        <v>3.89</v>
      </c>
    </row>
    <row r="517" spans="1:4">
      <c r="A517" s="22">
        <f t="shared" si="16"/>
        <v>559.47559436372762</v>
      </c>
      <c r="B517">
        <v>5594.7559436372758</v>
      </c>
      <c r="C517">
        <v>372.5</v>
      </c>
      <c r="D517" s="23">
        <f t="shared" si="17"/>
        <v>3.7250000000000001</v>
      </c>
    </row>
    <row r="518" spans="1:4">
      <c r="A518" s="22">
        <f t="shared" si="16"/>
        <v>560.56195474113281</v>
      </c>
      <c r="B518">
        <v>5605.6195474113283</v>
      </c>
      <c r="C518">
        <v>356</v>
      </c>
      <c r="D518" s="23">
        <f t="shared" si="17"/>
        <v>3.56</v>
      </c>
    </row>
    <row r="519" spans="1:4">
      <c r="A519" s="22">
        <f t="shared" si="16"/>
        <v>561.64831511853822</v>
      </c>
      <c r="B519">
        <v>5616.4831511853818</v>
      </c>
      <c r="C519">
        <v>339.5</v>
      </c>
      <c r="D519" s="23">
        <f t="shared" si="17"/>
        <v>3.395</v>
      </c>
    </row>
    <row r="520" spans="1:4">
      <c r="A520" s="22">
        <f t="shared" si="16"/>
        <v>562.73467549594341</v>
      </c>
      <c r="B520">
        <v>5627.3467549594343</v>
      </c>
      <c r="C520">
        <v>323</v>
      </c>
      <c r="D520" s="23">
        <f t="shared" si="17"/>
        <v>3.23</v>
      </c>
    </row>
    <row r="521" spans="1:4">
      <c r="A521" s="22">
        <f t="shared" si="16"/>
        <v>563.82103587334882</v>
      </c>
      <c r="B521">
        <v>5638.2103587334877</v>
      </c>
      <c r="C521">
        <v>306.5</v>
      </c>
      <c r="D521" s="23">
        <f t="shared" si="17"/>
        <v>3.0649999999999999</v>
      </c>
    </row>
    <row r="522" spans="1:4">
      <c r="A522" s="22">
        <f t="shared" si="16"/>
        <v>564.907396250754</v>
      </c>
      <c r="B522">
        <v>5649.0739625075403</v>
      </c>
      <c r="C522">
        <v>290</v>
      </c>
      <c r="D522" s="23">
        <f t="shared" si="17"/>
        <v>2.9</v>
      </c>
    </row>
    <row r="523" spans="1:4">
      <c r="A523" s="22">
        <f t="shared" si="16"/>
        <v>565.9937566281593</v>
      </c>
      <c r="B523">
        <v>5659.9375662815928</v>
      </c>
      <c r="C523">
        <v>277.685</v>
      </c>
      <c r="D523" s="23">
        <f t="shared" si="17"/>
        <v>2.77685</v>
      </c>
    </row>
    <row r="524" spans="1:4">
      <c r="A524" s="22">
        <f t="shared" si="16"/>
        <v>567.0801170055646</v>
      </c>
      <c r="B524">
        <v>5670.8011700556463</v>
      </c>
      <c r="C524">
        <v>265.37</v>
      </c>
      <c r="D524" s="23">
        <f t="shared" si="17"/>
        <v>2.6537000000000002</v>
      </c>
    </row>
    <row r="525" spans="1:4">
      <c r="A525" s="22">
        <f t="shared" si="16"/>
        <v>568.1664773829699</v>
      </c>
      <c r="B525">
        <v>5681.6647738296988</v>
      </c>
      <c r="C525">
        <v>253.05500000000001</v>
      </c>
      <c r="D525" s="23">
        <f t="shared" si="17"/>
        <v>2.5305499999999999</v>
      </c>
    </row>
    <row r="526" spans="1:4">
      <c r="A526" s="22">
        <f t="shared" si="16"/>
        <v>569.2528377603752</v>
      </c>
      <c r="B526">
        <v>5692.5283776037522</v>
      </c>
      <c r="C526">
        <v>240.74</v>
      </c>
      <c r="D526" s="23">
        <f t="shared" si="17"/>
        <v>2.4074</v>
      </c>
    </row>
    <row r="527" spans="1:4">
      <c r="A527" s="22">
        <f t="shared" si="16"/>
        <v>570.3391981377805</v>
      </c>
      <c r="B527">
        <v>5703.3919813778048</v>
      </c>
      <c r="C527">
        <v>228.42500000000001</v>
      </c>
      <c r="D527" s="23">
        <f t="shared" si="17"/>
        <v>2.2842500000000001</v>
      </c>
    </row>
    <row r="528" spans="1:4">
      <c r="A528" s="22">
        <f t="shared" si="16"/>
        <v>571.4255585151858</v>
      </c>
      <c r="B528">
        <v>5714.2555851518582</v>
      </c>
      <c r="C528">
        <v>216.11</v>
      </c>
      <c r="D528" s="23">
        <f t="shared" si="17"/>
        <v>2.1611000000000002</v>
      </c>
    </row>
    <row r="529" spans="1:4">
      <c r="A529" s="22">
        <f t="shared" si="16"/>
        <v>572.5119188925911</v>
      </c>
      <c r="B529">
        <v>5725.1191889259107</v>
      </c>
      <c r="C529">
        <v>203.79500000000002</v>
      </c>
      <c r="D529" s="23">
        <f t="shared" si="17"/>
        <v>2.0379500000000004</v>
      </c>
    </row>
    <row r="530" spans="1:4">
      <c r="A530" s="22">
        <f t="shared" si="16"/>
        <v>573.5982792699964</v>
      </c>
      <c r="B530">
        <v>5735.9827926999642</v>
      </c>
      <c r="C530">
        <v>191.48000000000002</v>
      </c>
      <c r="D530" s="23">
        <f t="shared" si="17"/>
        <v>1.9148000000000003</v>
      </c>
    </row>
    <row r="531" spans="1:4">
      <c r="A531" s="22">
        <f t="shared" si="16"/>
        <v>574.6846396474017</v>
      </c>
      <c r="B531">
        <v>5746.8463964740167</v>
      </c>
      <c r="C531">
        <v>179.16500000000002</v>
      </c>
      <c r="D531" s="23">
        <f t="shared" si="17"/>
        <v>1.7916500000000002</v>
      </c>
    </row>
    <row r="532" spans="1:4">
      <c r="A532" s="22">
        <f t="shared" si="16"/>
        <v>575.77100002480699</v>
      </c>
      <c r="B532">
        <v>5757.7100002480702</v>
      </c>
      <c r="C532">
        <v>166.85</v>
      </c>
      <c r="D532" s="23">
        <f t="shared" si="17"/>
        <v>1.6684999999999999</v>
      </c>
    </row>
    <row r="533" spans="1:4">
      <c r="A533" s="22">
        <f t="shared" si="16"/>
        <v>576.85736040221229</v>
      </c>
      <c r="B533">
        <v>5768.5736040221227</v>
      </c>
      <c r="C533">
        <v>158.32499999999999</v>
      </c>
      <c r="D533" s="23">
        <f t="shared" si="17"/>
        <v>1.5832499999999998</v>
      </c>
    </row>
    <row r="534" spans="1:4">
      <c r="A534" s="22">
        <f t="shared" si="16"/>
        <v>577.94372077961759</v>
      </c>
      <c r="B534">
        <v>5779.4372077961762</v>
      </c>
      <c r="C534">
        <v>149.79999999999998</v>
      </c>
      <c r="D534" s="23">
        <f t="shared" si="17"/>
        <v>1.4979999999999998</v>
      </c>
    </row>
    <row r="535" spans="1:4">
      <c r="A535" s="22">
        <f t="shared" si="16"/>
        <v>579.03008115702289</v>
      </c>
      <c r="B535">
        <v>5790.3008115702287</v>
      </c>
      <c r="C535">
        <v>141.27499999999998</v>
      </c>
      <c r="D535" s="23">
        <f t="shared" si="17"/>
        <v>1.4127499999999997</v>
      </c>
    </row>
    <row r="536" spans="1:4">
      <c r="A536" s="22">
        <f t="shared" si="16"/>
        <v>580.11644153442819</v>
      </c>
      <c r="B536">
        <v>5801.1644153442821</v>
      </c>
      <c r="C536">
        <v>132.74999999999997</v>
      </c>
      <c r="D536" s="23">
        <f t="shared" si="17"/>
        <v>1.3274999999999997</v>
      </c>
    </row>
    <row r="537" spans="1:4">
      <c r="A537" s="22">
        <f t="shared" si="16"/>
        <v>581.20280191183349</v>
      </c>
      <c r="B537">
        <v>5812.0280191183347</v>
      </c>
      <c r="C537">
        <v>124.22499999999997</v>
      </c>
      <c r="D537" s="23">
        <f t="shared" si="17"/>
        <v>1.2422499999999996</v>
      </c>
    </row>
    <row r="538" spans="1:4">
      <c r="A538" s="22">
        <f t="shared" si="16"/>
        <v>582.28916228923867</v>
      </c>
      <c r="B538">
        <v>5822.8916228923872</v>
      </c>
      <c r="C538">
        <v>115.69999999999996</v>
      </c>
      <c r="D538" s="23">
        <f t="shared" si="17"/>
        <v>1.1569999999999996</v>
      </c>
    </row>
    <row r="539" spans="1:4">
      <c r="A539" s="22">
        <f t="shared" si="16"/>
        <v>583.37552266664409</v>
      </c>
      <c r="B539">
        <v>5833.7552266664406</v>
      </c>
      <c r="C539">
        <v>107.17499999999995</v>
      </c>
      <c r="D539" s="23">
        <f t="shared" si="17"/>
        <v>1.0717499999999995</v>
      </c>
    </row>
    <row r="540" spans="1:4">
      <c r="A540" s="22">
        <f t="shared" si="16"/>
        <v>584.46188304404927</v>
      </c>
      <c r="B540">
        <v>5844.6188304404932</v>
      </c>
      <c r="C540">
        <v>98.649999999999949</v>
      </c>
      <c r="D540" s="23">
        <f t="shared" si="17"/>
        <v>0.98649999999999949</v>
      </c>
    </row>
    <row r="541" spans="1:4">
      <c r="A541" s="22">
        <f t="shared" si="16"/>
        <v>585.54824342145469</v>
      </c>
      <c r="B541">
        <v>5855.4824342145466</v>
      </c>
      <c r="C541">
        <v>90.124999999999943</v>
      </c>
      <c r="D541" s="23">
        <f t="shared" si="17"/>
        <v>0.90124999999999944</v>
      </c>
    </row>
    <row r="542" spans="1:4">
      <c r="A542" s="22">
        <f t="shared" si="16"/>
        <v>586.63460379885987</v>
      </c>
      <c r="B542">
        <v>5866.3460379885992</v>
      </c>
      <c r="C542">
        <v>81.599999999999994</v>
      </c>
      <c r="D542" s="23">
        <f t="shared" si="17"/>
        <v>0.81599999999999995</v>
      </c>
    </row>
    <row r="543" spans="1:4">
      <c r="A543" s="22">
        <f t="shared" si="16"/>
        <v>587.72096417626528</v>
      </c>
      <c r="B543">
        <v>5877.2096417626526</v>
      </c>
      <c r="C543">
        <v>76.41</v>
      </c>
      <c r="D543" s="23">
        <f t="shared" si="17"/>
        <v>0.7641</v>
      </c>
    </row>
    <row r="544" spans="1:4">
      <c r="A544" s="22">
        <f t="shared" si="16"/>
        <v>588.80732455367047</v>
      </c>
      <c r="B544">
        <v>5888.0732455367051</v>
      </c>
      <c r="C544">
        <v>71.22</v>
      </c>
      <c r="D544" s="23">
        <f t="shared" si="17"/>
        <v>0.71219999999999994</v>
      </c>
    </row>
    <row r="545" spans="1:4">
      <c r="A545" s="22">
        <f t="shared" si="16"/>
        <v>589.89368493107588</v>
      </c>
      <c r="B545">
        <v>5898.9368493107586</v>
      </c>
      <c r="C545">
        <v>66.03</v>
      </c>
      <c r="D545" s="23">
        <f t="shared" si="17"/>
        <v>0.6603</v>
      </c>
    </row>
    <row r="546" spans="1:4">
      <c r="A546" s="22">
        <f t="shared" si="16"/>
        <v>590.98004530848107</v>
      </c>
      <c r="B546">
        <v>5909.8004530848111</v>
      </c>
      <c r="C546">
        <v>60.84</v>
      </c>
      <c r="D546" s="23">
        <f t="shared" si="17"/>
        <v>0.60840000000000005</v>
      </c>
    </row>
    <row r="547" spans="1:4">
      <c r="A547" s="22">
        <f t="shared" si="16"/>
        <v>592.06640568588648</v>
      </c>
      <c r="B547">
        <v>5920.6640568588646</v>
      </c>
      <c r="C547">
        <v>55.650000000000006</v>
      </c>
      <c r="D547" s="23">
        <f t="shared" si="17"/>
        <v>0.55650000000000011</v>
      </c>
    </row>
    <row r="548" spans="1:4">
      <c r="A548" s="22">
        <f t="shared" si="16"/>
        <v>593.15276606329166</v>
      </c>
      <c r="B548">
        <v>5931.5276606329171</v>
      </c>
      <c r="C548">
        <v>50.460000000000008</v>
      </c>
      <c r="D548" s="23">
        <f t="shared" si="17"/>
        <v>0.50460000000000005</v>
      </c>
    </row>
    <row r="549" spans="1:4">
      <c r="A549" s="22">
        <f t="shared" si="16"/>
        <v>594.23912644069708</v>
      </c>
      <c r="B549">
        <v>5942.3912644069705</v>
      </c>
      <c r="C549">
        <v>45.27000000000001</v>
      </c>
      <c r="D549" s="23">
        <f t="shared" si="17"/>
        <v>0.4527000000000001</v>
      </c>
    </row>
    <row r="550" spans="1:4">
      <c r="A550" s="22">
        <f t="shared" si="16"/>
        <v>595.32548681810226</v>
      </c>
      <c r="B550">
        <v>5953.2548681810231</v>
      </c>
      <c r="C550">
        <v>40.080000000000013</v>
      </c>
      <c r="D550" s="23">
        <f t="shared" si="17"/>
        <v>0.4008000000000001</v>
      </c>
    </row>
    <row r="551" spans="1:4">
      <c r="A551" s="22">
        <f t="shared" si="16"/>
        <v>596.41184719550768</v>
      </c>
      <c r="B551">
        <v>5964.1184719550765</v>
      </c>
      <c r="C551">
        <v>34.890000000000015</v>
      </c>
      <c r="D551" s="23">
        <f t="shared" si="17"/>
        <v>0.34890000000000015</v>
      </c>
    </row>
    <row r="552" spans="1:4">
      <c r="A552" s="22">
        <f t="shared" si="16"/>
        <v>597.49820757291286</v>
      </c>
      <c r="B552">
        <v>5974.9820757291291</v>
      </c>
      <c r="C552">
        <v>29.7</v>
      </c>
      <c r="D552" s="23">
        <f t="shared" si="17"/>
        <v>0.29699999999999999</v>
      </c>
    </row>
    <row r="553" spans="1:4">
      <c r="A553" s="22">
        <f t="shared" si="16"/>
        <v>598.58456795031827</v>
      </c>
      <c r="B553">
        <v>5985.8456795031825</v>
      </c>
      <c r="C553">
        <v>27.259999999999998</v>
      </c>
      <c r="D553" s="23">
        <f t="shared" si="17"/>
        <v>0.27259999999999995</v>
      </c>
    </row>
    <row r="554" spans="1:4">
      <c r="A554" s="22">
        <f t="shared" si="16"/>
        <v>599.67092832772346</v>
      </c>
      <c r="B554">
        <v>5996.709283277235</v>
      </c>
      <c r="C554">
        <v>24.819999999999997</v>
      </c>
      <c r="D554" s="23">
        <f t="shared" si="17"/>
        <v>0.24819999999999998</v>
      </c>
    </row>
    <row r="555" spans="1:4">
      <c r="A555" s="22">
        <f t="shared" si="16"/>
        <v>600.75728870512876</v>
      </c>
      <c r="B555">
        <v>6007.5728870512876</v>
      </c>
      <c r="C555">
        <v>22.379999999999995</v>
      </c>
      <c r="D555" s="23">
        <f t="shared" si="17"/>
        <v>0.22379999999999994</v>
      </c>
    </row>
    <row r="556" spans="1:4">
      <c r="A556" s="22">
        <f t="shared" si="16"/>
        <v>601.84364908253406</v>
      </c>
      <c r="B556">
        <v>6018.436490825341</v>
      </c>
      <c r="C556">
        <v>19.939999999999994</v>
      </c>
      <c r="D556" s="23">
        <f t="shared" si="17"/>
        <v>0.19939999999999994</v>
      </c>
    </row>
    <row r="557" spans="1:4">
      <c r="A557" s="22">
        <f t="shared" si="16"/>
        <v>602.93000945993936</v>
      </c>
      <c r="B557">
        <v>6029.3000945993936</v>
      </c>
      <c r="C557">
        <v>17.499999999999993</v>
      </c>
      <c r="D557" s="23">
        <f t="shared" si="17"/>
        <v>0.17499999999999993</v>
      </c>
    </row>
    <row r="558" spans="1:4">
      <c r="A558" s="22">
        <f t="shared" si="16"/>
        <v>604.01636983734466</v>
      </c>
      <c r="B558">
        <v>6040.163698373447</v>
      </c>
      <c r="C558">
        <v>15.059999999999993</v>
      </c>
      <c r="D558" s="23">
        <f t="shared" si="17"/>
        <v>0.15059999999999993</v>
      </c>
    </row>
    <row r="559" spans="1:4">
      <c r="A559" s="22">
        <f t="shared" si="16"/>
        <v>605.10273021474995</v>
      </c>
      <c r="B559">
        <v>6051.0273021474995</v>
      </c>
      <c r="C559">
        <v>12.619999999999994</v>
      </c>
      <c r="D559" s="23">
        <f t="shared" si="17"/>
        <v>0.12619999999999995</v>
      </c>
    </row>
    <row r="560" spans="1:4">
      <c r="A560" s="22">
        <f t="shared" si="16"/>
        <v>606.18909059215525</v>
      </c>
      <c r="B560">
        <v>6061.890905921553</v>
      </c>
      <c r="C560">
        <v>10.179999999999994</v>
      </c>
      <c r="D560" s="23">
        <f t="shared" si="17"/>
        <v>0.10179999999999995</v>
      </c>
    </row>
    <row r="561" spans="1:4">
      <c r="A561" s="22">
        <f t="shared" si="16"/>
        <v>607.27545096956055</v>
      </c>
      <c r="B561">
        <v>6072.7545096956055</v>
      </c>
      <c r="C561">
        <v>7.7399999999999949</v>
      </c>
      <c r="D561" s="23">
        <f t="shared" si="17"/>
        <v>7.7399999999999955E-2</v>
      </c>
    </row>
    <row r="562" spans="1:4">
      <c r="A562" s="22">
        <f t="shared" si="16"/>
        <v>608.36181134696585</v>
      </c>
      <c r="B562">
        <v>6083.618113469659</v>
      </c>
      <c r="C562">
        <v>5.3</v>
      </c>
      <c r="D562" s="23">
        <f t="shared" si="17"/>
        <v>5.2999999999999999E-2</v>
      </c>
    </row>
    <row r="563" spans="1:4">
      <c r="A563" s="22">
        <f t="shared" si="16"/>
        <v>609.44817172437115</v>
      </c>
      <c r="B563">
        <v>6094.4817172437115</v>
      </c>
      <c r="C563">
        <v>4.7699999999999996</v>
      </c>
      <c r="D563" s="23">
        <f t="shared" si="17"/>
        <v>4.7699999999999992E-2</v>
      </c>
    </row>
    <row r="564" spans="1:4">
      <c r="A564" s="22">
        <f t="shared" si="16"/>
        <v>610.53453210177645</v>
      </c>
      <c r="B564">
        <v>6105.3453210177649</v>
      </c>
      <c r="C564">
        <v>4.2399999999999993</v>
      </c>
      <c r="D564" s="23">
        <f t="shared" si="17"/>
        <v>4.2399999999999993E-2</v>
      </c>
    </row>
    <row r="565" spans="1:4">
      <c r="A565" s="22">
        <f t="shared" si="16"/>
        <v>611.62089247918175</v>
      </c>
      <c r="B565">
        <v>6116.2089247918175</v>
      </c>
      <c r="C565">
        <v>3.7099999999999991</v>
      </c>
      <c r="D565" s="23">
        <f t="shared" si="17"/>
        <v>3.7099999999999994E-2</v>
      </c>
    </row>
    <row r="566" spans="1:4">
      <c r="A566" s="22">
        <f t="shared" si="16"/>
        <v>612.70725285658705</v>
      </c>
      <c r="B566">
        <v>6127.0725285658709</v>
      </c>
      <c r="C566">
        <v>3.1799999999999988</v>
      </c>
      <c r="D566" s="23">
        <f t="shared" si="17"/>
        <v>3.1799999999999988E-2</v>
      </c>
    </row>
    <row r="567" spans="1:4">
      <c r="A567" s="22">
        <f t="shared" si="16"/>
        <v>613.79361323399235</v>
      </c>
      <c r="B567">
        <v>6137.9361323399235</v>
      </c>
      <c r="C567">
        <v>2.6499999999999986</v>
      </c>
      <c r="D567" s="23">
        <f t="shared" si="17"/>
        <v>2.6499999999999985E-2</v>
      </c>
    </row>
    <row r="568" spans="1:4">
      <c r="A568" s="22">
        <f t="shared" si="16"/>
        <v>614.87997361139765</v>
      </c>
      <c r="B568">
        <v>6148.7997361139769</v>
      </c>
      <c r="C568">
        <v>2.1199999999999983</v>
      </c>
      <c r="D568" s="23">
        <f t="shared" si="17"/>
        <v>2.1199999999999983E-2</v>
      </c>
    </row>
    <row r="569" spans="1:4">
      <c r="A569" s="22">
        <f t="shared" si="16"/>
        <v>615.96633398880294</v>
      </c>
      <c r="B569">
        <v>6159.6633398880294</v>
      </c>
      <c r="C569">
        <v>1.5899999999999983</v>
      </c>
      <c r="D569" s="23">
        <f t="shared" si="17"/>
        <v>1.5899999999999984E-2</v>
      </c>
    </row>
    <row r="570" spans="1:4">
      <c r="A570" s="22">
        <f t="shared" si="16"/>
        <v>617.05269436620824</v>
      </c>
      <c r="B570">
        <v>6170.5269436620829</v>
      </c>
      <c r="C570">
        <v>1.0599999999999983</v>
      </c>
      <c r="D570" s="23">
        <f t="shared" si="17"/>
        <v>1.0599999999999983E-2</v>
      </c>
    </row>
    <row r="571" spans="1:4">
      <c r="A571" s="22">
        <f t="shared" si="16"/>
        <v>618.13905474361354</v>
      </c>
      <c r="B571">
        <v>6181.3905474361354</v>
      </c>
      <c r="C571">
        <v>0.52999999999999825</v>
      </c>
      <c r="D571" s="23">
        <f t="shared" si="17"/>
        <v>5.2999999999999827E-3</v>
      </c>
    </row>
    <row r="572" spans="1:4">
      <c r="A572" s="22">
        <f t="shared" si="16"/>
        <v>619.22541512101884</v>
      </c>
      <c r="B572">
        <v>6192.254151210188</v>
      </c>
      <c r="C572">
        <v>0</v>
      </c>
      <c r="D572" s="23">
        <f t="shared" si="17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7450-AF32-41B3-9EE8-8D96FBC432B5}">
  <sheetPr>
    <tabColor rgb="FFFF0000"/>
  </sheetPr>
  <dimension ref="A1:D441"/>
  <sheetViews>
    <sheetView topLeftCell="A401" zoomScaleNormal="100" workbookViewId="0">
      <selection activeCell="D2" sqref="D2:D260"/>
    </sheetView>
  </sheetViews>
  <sheetFormatPr baseColWidth="10" defaultColWidth="11.3984375" defaultRowHeight="14.25"/>
  <cols>
    <col min="1" max="16384" width="11.3984375" style="35"/>
  </cols>
  <sheetData>
    <row r="1" spans="1:4" ht="15" customHeight="1">
      <c r="A1" t="s">
        <v>0</v>
      </c>
      <c r="B1" s="27" t="s">
        <v>1</v>
      </c>
      <c r="C1" t="s">
        <v>2</v>
      </c>
      <c r="D1" t="s">
        <v>3</v>
      </c>
    </row>
    <row r="2" spans="1:4" ht="18" customHeight="1">
      <c r="A2" s="36">
        <v>0</v>
      </c>
      <c r="B2" s="36">
        <v>0</v>
      </c>
      <c r="C2" s="36">
        <v>19055</v>
      </c>
      <c r="D2" s="36">
        <f>C2/100</f>
        <v>190.55</v>
      </c>
    </row>
    <row r="3" spans="1:4" ht="15" customHeight="1">
      <c r="A3" s="35">
        <f>B3/10</f>
        <v>1</v>
      </c>
      <c r="B3" s="35">
        <v>10</v>
      </c>
      <c r="C3" s="35">
        <v>19052.2</v>
      </c>
      <c r="D3" s="36">
        <f t="shared" ref="D3:D66" si="0">C3/100</f>
        <v>190.52200000000002</v>
      </c>
    </row>
    <row r="4" spans="1:4" ht="19.5">
      <c r="A4" s="35">
        <f t="shared" ref="A4:A67" si="1">B4/10</f>
        <v>2</v>
      </c>
      <c r="B4" s="35">
        <v>20</v>
      </c>
      <c r="C4" s="35">
        <v>19049.400000000001</v>
      </c>
      <c r="D4" s="36">
        <f t="shared" si="0"/>
        <v>190.49400000000003</v>
      </c>
    </row>
    <row r="5" spans="1:4" ht="19.5">
      <c r="A5" s="35">
        <f t="shared" si="1"/>
        <v>3</v>
      </c>
      <c r="B5" s="35">
        <v>30</v>
      </c>
      <c r="C5" s="35">
        <v>19046.600000000002</v>
      </c>
      <c r="D5" s="36">
        <f t="shared" si="0"/>
        <v>190.46600000000001</v>
      </c>
    </row>
    <row r="6" spans="1:4" ht="15" customHeight="1">
      <c r="A6" s="35">
        <f t="shared" si="1"/>
        <v>4</v>
      </c>
      <c r="B6" s="35">
        <v>40</v>
      </c>
      <c r="C6" s="35">
        <v>19043.800000000003</v>
      </c>
      <c r="D6" s="36">
        <f t="shared" si="0"/>
        <v>190.43800000000002</v>
      </c>
    </row>
    <row r="7" spans="1:4" ht="19.5">
      <c r="A7" s="35">
        <f t="shared" si="1"/>
        <v>5</v>
      </c>
      <c r="B7" s="35">
        <v>50</v>
      </c>
      <c r="C7" s="35">
        <v>19041.000000000004</v>
      </c>
      <c r="D7" s="36">
        <f t="shared" si="0"/>
        <v>190.41000000000003</v>
      </c>
    </row>
    <row r="8" spans="1:4" ht="19.5">
      <c r="A8" s="35">
        <f t="shared" si="1"/>
        <v>6</v>
      </c>
      <c r="B8" s="35">
        <v>60</v>
      </c>
      <c r="C8" s="35">
        <v>19038.200000000004</v>
      </c>
      <c r="D8" s="36">
        <f t="shared" si="0"/>
        <v>190.38200000000003</v>
      </c>
    </row>
    <row r="9" spans="1:4" ht="19.5">
      <c r="A9" s="35">
        <f t="shared" si="1"/>
        <v>7</v>
      </c>
      <c r="B9" s="35">
        <v>70</v>
      </c>
      <c r="C9" s="35">
        <v>19035.400000000005</v>
      </c>
      <c r="D9" s="36">
        <f t="shared" si="0"/>
        <v>190.35400000000004</v>
      </c>
    </row>
    <row r="10" spans="1:4" ht="19.5">
      <c r="A10" s="35">
        <f t="shared" si="1"/>
        <v>8</v>
      </c>
      <c r="B10" s="35">
        <v>80</v>
      </c>
      <c r="C10" s="35">
        <v>19032.600000000006</v>
      </c>
      <c r="D10" s="36">
        <f t="shared" si="0"/>
        <v>190.32600000000005</v>
      </c>
    </row>
    <row r="11" spans="1:4" ht="19.5">
      <c r="A11" s="35">
        <f t="shared" si="1"/>
        <v>9</v>
      </c>
      <c r="B11" s="35">
        <v>90</v>
      </c>
      <c r="C11" s="35">
        <v>19029.800000000007</v>
      </c>
      <c r="D11" s="36">
        <f t="shared" si="0"/>
        <v>190.29800000000006</v>
      </c>
    </row>
    <row r="12" spans="1:4" ht="19.5">
      <c r="A12" s="35">
        <f t="shared" si="1"/>
        <v>10</v>
      </c>
      <c r="B12" s="35">
        <v>100</v>
      </c>
      <c r="C12" s="35">
        <v>19027</v>
      </c>
      <c r="D12" s="36">
        <f t="shared" si="0"/>
        <v>190.27</v>
      </c>
    </row>
    <row r="13" spans="1:4" ht="19.5">
      <c r="A13" s="35">
        <f t="shared" si="1"/>
        <v>11</v>
      </c>
      <c r="B13" s="35">
        <v>110</v>
      </c>
      <c r="C13" s="35">
        <v>19024.2</v>
      </c>
      <c r="D13" s="36">
        <f t="shared" si="0"/>
        <v>190.24200000000002</v>
      </c>
    </row>
    <row r="14" spans="1:4" ht="19.5">
      <c r="A14" s="35">
        <f t="shared" si="1"/>
        <v>12</v>
      </c>
      <c r="B14" s="35">
        <v>120</v>
      </c>
      <c r="C14" s="35">
        <v>19021.400000000001</v>
      </c>
      <c r="D14" s="36">
        <f t="shared" si="0"/>
        <v>190.21400000000003</v>
      </c>
    </row>
    <row r="15" spans="1:4" ht="19.5">
      <c r="A15" s="35">
        <f t="shared" si="1"/>
        <v>13</v>
      </c>
      <c r="B15" s="35">
        <v>130</v>
      </c>
      <c r="C15" s="35">
        <v>19018.600000000002</v>
      </c>
      <c r="D15" s="36">
        <f t="shared" si="0"/>
        <v>190.18600000000004</v>
      </c>
    </row>
    <row r="16" spans="1:4" ht="19.5">
      <c r="A16" s="35">
        <f t="shared" si="1"/>
        <v>14</v>
      </c>
      <c r="B16" s="35">
        <v>140</v>
      </c>
      <c r="C16" s="35">
        <v>19015.800000000003</v>
      </c>
      <c r="D16" s="36">
        <f t="shared" si="0"/>
        <v>190.15800000000002</v>
      </c>
    </row>
    <row r="17" spans="1:4" ht="19.5">
      <c r="A17" s="35">
        <f t="shared" si="1"/>
        <v>15</v>
      </c>
      <c r="B17" s="35">
        <v>150</v>
      </c>
      <c r="C17" s="35">
        <v>19013.000000000004</v>
      </c>
      <c r="D17" s="36">
        <f t="shared" si="0"/>
        <v>190.13000000000002</v>
      </c>
    </row>
    <row r="18" spans="1:4" ht="19.5">
      <c r="A18" s="35">
        <f t="shared" si="1"/>
        <v>16</v>
      </c>
      <c r="B18" s="35">
        <v>160</v>
      </c>
      <c r="C18" s="35">
        <v>19010.200000000004</v>
      </c>
      <c r="D18" s="36">
        <f t="shared" si="0"/>
        <v>190.10200000000003</v>
      </c>
    </row>
    <row r="19" spans="1:4" ht="19.5">
      <c r="A19" s="35">
        <f t="shared" si="1"/>
        <v>17</v>
      </c>
      <c r="B19" s="35">
        <v>170</v>
      </c>
      <c r="C19" s="35">
        <v>19007.400000000005</v>
      </c>
      <c r="D19" s="36">
        <f t="shared" si="0"/>
        <v>190.07400000000004</v>
      </c>
    </row>
    <row r="20" spans="1:4" ht="19.5">
      <c r="A20" s="35">
        <f t="shared" si="1"/>
        <v>18</v>
      </c>
      <c r="B20" s="35">
        <v>180</v>
      </c>
      <c r="C20" s="35">
        <v>19004.600000000006</v>
      </c>
      <c r="D20" s="36">
        <f t="shared" si="0"/>
        <v>190.04600000000005</v>
      </c>
    </row>
    <row r="21" spans="1:4" ht="19.5">
      <c r="A21" s="35">
        <f t="shared" si="1"/>
        <v>19</v>
      </c>
      <c r="B21" s="35">
        <v>190</v>
      </c>
      <c r="C21" s="35">
        <v>19001.800000000007</v>
      </c>
      <c r="D21" s="36">
        <f t="shared" si="0"/>
        <v>190.01800000000006</v>
      </c>
    </row>
    <row r="22" spans="1:4" ht="19.5">
      <c r="A22" s="35">
        <f t="shared" si="1"/>
        <v>20</v>
      </c>
      <c r="B22" s="35">
        <v>200</v>
      </c>
      <c r="C22" s="35">
        <v>18999</v>
      </c>
      <c r="D22" s="36">
        <f t="shared" si="0"/>
        <v>189.99</v>
      </c>
    </row>
    <row r="23" spans="1:4" ht="19.5">
      <c r="A23" s="35">
        <f t="shared" si="1"/>
        <v>21</v>
      </c>
      <c r="B23" s="35">
        <v>210</v>
      </c>
      <c r="C23" s="35">
        <v>18996.2</v>
      </c>
      <c r="D23" s="36">
        <f t="shared" si="0"/>
        <v>189.96200000000002</v>
      </c>
    </row>
    <row r="24" spans="1:4" ht="19.5">
      <c r="A24" s="35">
        <f t="shared" si="1"/>
        <v>22</v>
      </c>
      <c r="B24" s="35">
        <v>220</v>
      </c>
      <c r="C24" s="35">
        <v>18993.400000000001</v>
      </c>
      <c r="D24" s="36">
        <f t="shared" si="0"/>
        <v>189.93400000000003</v>
      </c>
    </row>
    <row r="25" spans="1:4" ht="19.5">
      <c r="A25" s="35">
        <f t="shared" si="1"/>
        <v>23</v>
      </c>
      <c r="B25" s="35">
        <v>230</v>
      </c>
      <c r="C25" s="35">
        <v>18990.600000000002</v>
      </c>
      <c r="D25" s="36">
        <f t="shared" si="0"/>
        <v>189.90600000000003</v>
      </c>
    </row>
    <row r="26" spans="1:4" ht="19.5">
      <c r="A26" s="35">
        <f t="shared" si="1"/>
        <v>24</v>
      </c>
      <c r="B26" s="35">
        <v>240</v>
      </c>
      <c r="C26" s="35">
        <v>18987.800000000003</v>
      </c>
      <c r="D26" s="36">
        <f t="shared" si="0"/>
        <v>189.87800000000004</v>
      </c>
    </row>
    <row r="27" spans="1:4" ht="19.5">
      <c r="A27" s="35">
        <f t="shared" si="1"/>
        <v>25</v>
      </c>
      <c r="B27" s="35">
        <v>250</v>
      </c>
      <c r="C27" s="35">
        <v>18985.000000000004</v>
      </c>
      <c r="D27" s="36">
        <f t="shared" si="0"/>
        <v>189.85000000000002</v>
      </c>
    </row>
    <row r="28" spans="1:4" ht="19.5">
      <c r="A28" s="35">
        <f t="shared" si="1"/>
        <v>26</v>
      </c>
      <c r="B28" s="35">
        <v>260</v>
      </c>
      <c r="C28" s="35">
        <v>18982.200000000004</v>
      </c>
      <c r="D28" s="36">
        <f t="shared" si="0"/>
        <v>189.82200000000003</v>
      </c>
    </row>
    <row r="29" spans="1:4" ht="19.5">
      <c r="A29" s="35">
        <f t="shared" si="1"/>
        <v>27</v>
      </c>
      <c r="B29" s="35">
        <v>270</v>
      </c>
      <c r="C29" s="35">
        <v>18979.400000000005</v>
      </c>
      <c r="D29" s="36">
        <f t="shared" si="0"/>
        <v>189.79400000000004</v>
      </c>
    </row>
    <row r="30" spans="1:4" ht="19.5">
      <c r="A30" s="35">
        <f t="shared" si="1"/>
        <v>28</v>
      </c>
      <c r="B30" s="35">
        <v>280</v>
      </c>
      <c r="C30" s="35">
        <v>18976.600000000006</v>
      </c>
      <c r="D30" s="36">
        <f t="shared" si="0"/>
        <v>189.76600000000005</v>
      </c>
    </row>
    <row r="31" spans="1:4" ht="19.5">
      <c r="A31" s="35">
        <f t="shared" si="1"/>
        <v>29</v>
      </c>
      <c r="B31" s="35">
        <v>290</v>
      </c>
      <c r="C31" s="35">
        <v>18973.800000000007</v>
      </c>
      <c r="D31" s="36">
        <f t="shared" si="0"/>
        <v>189.73800000000006</v>
      </c>
    </row>
    <row r="32" spans="1:4" ht="19.5">
      <c r="A32" s="35">
        <f t="shared" si="1"/>
        <v>30</v>
      </c>
      <c r="B32" s="35">
        <v>300</v>
      </c>
      <c r="C32" s="35">
        <v>18971</v>
      </c>
      <c r="D32" s="36">
        <f t="shared" si="0"/>
        <v>189.71</v>
      </c>
    </row>
    <row r="33" spans="1:4" ht="19.5">
      <c r="A33" s="35">
        <f t="shared" si="1"/>
        <v>31</v>
      </c>
      <c r="B33" s="35">
        <v>310</v>
      </c>
      <c r="C33" s="35">
        <v>18968.099999999999</v>
      </c>
      <c r="D33" s="36">
        <f t="shared" si="0"/>
        <v>189.68099999999998</v>
      </c>
    </row>
    <row r="34" spans="1:4" ht="19.5">
      <c r="A34" s="35">
        <f t="shared" si="1"/>
        <v>32</v>
      </c>
      <c r="B34" s="35">
        <v>320</v>
      </c>
      <c r="C34" s="35">
        <v>18965.199999999997</v>
      </c>
      <c r="D34" s="36">
        <f t="shared" si="0"/>
        <v>189.65199999999996</v>
      </c>
    </row>
    <row r="35" spans="1:4" ht="19.5">
      <c r="A35" s="35">
        <f t="shared" si="1"/>
        <v>33</v>
      </c>
      <c r="B35" s="35">
        <v>330</v>
      </c>
      <c r="C35" s="35">
        <v>18962.299999999996</v>
      </c>
      <c r="D35" s="36">
        <f t="shared" si="0"/>
        <v>189.62299999999996</v>
      </c>
    </row>
    <row r="36" spans="1:4" ht="19.5">
      <c r="A36" s="35">
        <f t="shared" si="1"/>
        <v>34</v>
      </c>
      <c r="B36" s="35">
        <v>340</v>
      </c>
      <c r="C36" s="35">
        <v>18959.399999999994</v>
      </c>
      <c r="D36" s="36">
        <f t="shared" si="0"/>
        <v>189.59399999999994</v>
      </c>
    </row>
    <row r="37" spans="1:4" ht="19.5">
      <c r="A37" s="35">
        <f t="shared" si="1"/>
        <v>35</v>
      </c>
      <c r="B37" s="35">
        <v>350</v>
      </c>
      <c r="C37" s="35">
        <v>18956.499999999993</v>
      </c>
      <c r="D37" s="36">
        <f t="shared" si="0"/>
        <v>189.56499999999994</v>
      </c>
    </row>
    <row r="38" spans="1:4" ht="19.5">
      <c r="A38" s="35">
        <f t="shared" si="1"/>
        <v>36</v>
      </c>
      <c r="B38" s="35">
        <v>360</v>
      </c>
      <c r="C38" s="35">
        <v>18953.599999999991</v>
      </c>
      <c r="D38" s="36">
        <f t="shared" si="0"/>
        <v>189.53599999999992</v>
      </c>
    </row>
    <row r="39" spans="1:4" ht="19.5">
      <c r="A39" s="35">
        <f t="shared" si="1"/>
        <v>37</v>
      </c>
      <c r="B39" s="35">
        <v>370</v>
      </c>
      <c r="C39" s="35">
        <v>18950.69999999999</v>
      </c>
      <c r="D39" s="36">
        <f t="shared" si="0"/>
        <v>189.50699999999989</v>
      </c>
    </row>
    <row r="40" spans="1:4" ht="19.5">
      <c r="A40" s="35">
        <f t="shared" si="1"/>
        <v>38</v>
      </c>
      <c r="B40" s="35">
        <v>380</v>
      </c>
      <c r="C40" s="35">
        <v>18947.799999999988</v>
      </c>
      <c r="D40" s="36">
        <f t="shared" si="0"/>
        <v>189.47799999999989</v>
      </c>
    </row>
    <row r="41" spans="1:4" ht="19.5">
      <c r="A41" s="35">
        <f t="shared" si="1"/>
        <v>39</v>
      </c>
      <c r="B41" s="35">
        <v>390</v>
      </c>
      <c r="C41" s="35">
        <v>18944.899999999987</v>
      </c>
      <c r="D41" s="36">
        <f t="shared" si="0"/>
        <v>189.44899999999987</v>
      </c>
    </row>
    <row r="42" spans="1:4" ht="19.5">
      <c r="A42" s="35">
        <f t="shared" si="1"/>
        <v>40</v>
      </c>
      <c r="B42" s="35">
        <v>400</v>
      </c>
      <c r="C42" s="35">
        <v>18942</v>
      </c>
      <c r="D42" s="36">
        <f t="shared" si="0"/>
        <v>189.42</v>
      </c>
    </row>
    <row r="43" spans="1:4" ht="19.5">
      <c r="A43" s="35">
        <f t="shared" si="1"/>
        <v>41</v>
      </c>
      <c r="B43" s="35">
        <v>410</v>
      </c>
      <c r="C43" s="35">
        <v>18939.2</v>
      </c>
      <c r="D43" s="36">
        <f t="shared" si="0"/>
        <v>189.392</v>
      </c>
    </row>
    <row r="44" spans="1:4" ht="19.5">
      <c r="A44" s="35">
        <f t="shared" si="1"/>
        <v>42</v>
      </c>
      <c r="B44" s="35">
        <v>420</v>
      </c>
      <c r="C44" s="35">
        <v>18936.400000000001</v>
      </c>
      <c r="D44" s="36">
        <f t="shared" si="0"/>
        <v>189.364</v>
      </c>
    </row>
    <row r="45" spans="1:4" ht="19.5">
      <c r="A45" s="35">
        <f t="shared" si="1"/>
        <v>43</v>
      </c>
      <c r="B45" s="35">
        <v>430</v>
      </c>
      <c r="C45" s="35">
        <v>18933.600000000002</v>
      </c>
      <c r="D45" s="36">
        <f t="shared" si="0"/>
        <v>189.33600000000001</v>
      </c>
    </row>
    <row r="46" spans="1:4" ht="19.5">
      <c r="A46" s="35">
        <f t="shared" si="1"/>
        <v>44</v>
      </c>
      <c r="B46" s="35">
        <v>440</v>
      </c>
      <c r="C46" s="35">
        <v>18930.800000000003</v>
      </c>
      <c r="D46" s="36">
        <f t="shared" si="0"/>
        <v>189.30800000000002</v>
      </c>
    </row>
    <row r="47" spans="1:4" ht="19.5">
      <c r="A47" s="35">
        <f t="shared" si="1"/>
        <v>45</v>
      </c>
      <c r="B47" s="35">
        <v>450</v>
      </c>
      <c r="C47" s="35">
        <v>18928.000000000004</v>
      </c>
      <c r="D47" s="36">
        <f t="shared" si="0"/>
        <v>189.28000000000003</v>
      </c>
    </row>
    <row r="48" spans="1:4" ht="19.5">
      <c r="A48" s="35">
        <f t="shared" si="1"/>
        <v>46</v>
      </c>
      <c r="B48" s="35">
        <v>460</v>
      </c>
      <c r="C48" s="35">
        <v>18925.200000000004</v>
      </c>
      <c r="D48" s="36">
        <f t="shared" si="0"/>
        <v>189.25200000000004</v>
      </c>
    </row>
    <row r="49" spans="1:4" ht="19.5">
      <c r="A49" s="35">
        <f t="shared" si="1"/>
        <v>47</v>
      </c>
      <c r="B49" s="35">
        <v>470</v>
      </c>
      <c r="C49" s="35">
        <v>18922.400000000005</v>
      </c>
      <c r="D49" s="36">
        <f t="shared" si="0"/>
        <v>189.22400000000005</v>
      </c>
    </row>
    <row r="50" spans="1:4" ht="19.5">
      <c r="A50" s="35">
        <f t="shared" si="1"/>
        <v>48</v>
      </c>
      <c r="B50" s="35">
        <v>480</v>
      </c>
      <c r="C50" s="35">
        <v>18919.600000000006</v>
      </c>
      <c r="D50" s="36">
        <f t="shared" si="0"/>
        <v>189.19600000000005</v>
      </c>
    </row>
    <row r="51" spans="1:4" ht="19.5">
      <c r="A51" s="35">
        <f t="shared" si="1"/>
        <v>49</v>
      </c>
      <c r="B51" s="35">
        <v>490</v>
      </c>
      <c r="C51" s="35">
        <v>18916.800000000007</v>
      </c>
      <c r="D51" s="36">
        <f t="shared" si="0"/>
        <v>189.16800000000006</v>
      </c>
    </row>
    <row r="52" spans="1:4" ht="19.5">
      <c r="A52" s="35">
        <f t="shared" si="1"/>
        <v>50</v>
      </c>
      <c r="B52" s="35">
        <v>500</v>
      </c>
      <c r="C52" s="35">
        <v>18914</v>
      </c>
      <c r="D52" s="36">
        <f t="shared" si="0"/>
        <v>189.14</v>
      </c>
    </row>
    <row r="53" spans="1:4" ht="19.5">
      <c r="A53" s="35">
        <f t="shared" si="1"/>
        <v>51</v>
      </c>
      <c r="B53" s="35">
        <v>510</v>
      </c>
      <c r="C53" s="35">
        <v>18911.2</v>
      </c>
      <c r="D53" s="36">
        <f t="shared" si="0"/>
        <v>189.11199999999999</v>
      </c>
    </row>
    <row r="54" spans="1:4" ht="19.5">
      <c r="A54" s="35">
        <f t="shared" si="1"/>
        <v>52</v>
      </c>
      <c r="B54" s="35">
        <v>520</v>
      </c>
      <c r="C54" s="35">
        <v>18908.400000000001</v>
      </c>
      <c r="D54" s="36">
        <f t="shared" si="0"/>
        <v>189.084</v>
      </c>
    </row>
    <row r="55" spans="1:4" ht="19.5">
      <c r="A55" s="35">
        <f t="shared" si="1"/>
        <v>53</v>
      </c>
      <c r="B55" s="35">
        <v>530</v>
      </c>
      <c r="C55" s="35">
        <v>18905.600000000002</v>
      </c>
      <c r="D55" s="36">
        <f t="shared" si="0"/>
        <v>189.05600000000001</v>
      </c>
    </row>
    <row r="56" spans="1:4" ht="19.5">
      <c r="A56" s="35">
        <f t="shared" si="1"/>
        <v>54</v>
      </c>
      <c r="B56" s="35">
        <v>540</v>
      </c>
      <c r="C56" s="35">
        <v>18902.800000000003</v>
      </c>
      <c r="D56" s="36">
        <f t="shared" si="0"/>
        <v>189.02800000000002</v>
      </c>
    </row>
    <row r="57" spans="1:4" ht="19.5">
      <c r="A57" s="35">
        <f t="shared" si="1"/>
        <v>55</v>
      </c>
      <c r="B57" s="35">
        <v>550</v>
      </c>
      <c r="C57" s="35">
        <v>18900.000000000004</v>
      </c>
      <c r="D57" s="36">
        <f t="shared" si="0"/>
        <v>189.00000000000003</v>
      </c>
    </row>
    <row r="58" spans="1:4" ht="19.5">
      <c r="A58" s="35">
        <f t="shared" si="1"/>
        <v>56</v>
      </c>
      <c r="B58" s="35">
        <v>560</v>
      </c>
      <c r="C58" s="35">
        <v>18897.200000000004</v>
      </c>
      <c r="D58" s="36">
        <f t="shared" si="0"/>
        <v>188.97200000000004</v>
      </c>
    </row>
    <row r="59" spans="1:4" ht="19.5">
      <c r="A59" s="35">
        <f t="shared" si="1"/>
        <v>57</v>
      </c>
      <c r="B59" s="35">
        <v>570</v>
      </c>
      <c r="C59" s="35">
        <v>18894.400000000005</v>
      </c>
      <c r="D59" s="36">
        <f t="shared" si="0"/>
        <v>188.94400000000005</v>
      </c>
    </row>
    <row r="60" spans="1:4" ht="19.5">
      <c r="A60" s="35">
        <f t="shared" si="1"/>
        <v>58</v>
      </c>
      <c r="B60" s="35">
        <v>580</v>
      </c>
      <c r="C60" s="35">
        <v>18891.600000000006</v>
      </c>
      <c r="D60" s="36">
        <f t="shared" si="0"/>
        <v>188.91600000000005</v>
      </c>
    </row>
    <row r="61" spans="1:4" ht="19.5">
      <c r="A61" s="35">
        <f t="shared" si="1"/>
        <v>59</v>
      </c>
      <c r="B61" s="35">
        <v>590</v>
      </c>
      <c r="C61" s="35">
        <v>18888.800000000007</v>
      </c>
      <c r="D61" s="36">
        <f t="shared" si="0"/>
        <v>188.88800000000006</v>
      </c>
    </row>
    <row r="62" spans="1:4" ht="19.5">
      <c r="A62" s="35">
        <f t="shared" si="1"/>
        <v>60</v>
      </c>
      <c r="B62" s="35">
        <v>600</v>
      </c>
      <c r="C62" s="35">
        <v>18886</v>
      </c>
      <c r="D62" s="36">
        <f t="shared" si="0"/>
        <v>188.86</v>
      </c>
    </row>
    <row r="63" spans="1:4" ht="19.5">
      <c r="A63" s="35">
        <f t="shared" si="1"/>
        <v>61</v>
      </c>
      <c r="B63" s="35">
        <v>610</v>
      </c>
      <c r="C63" s="35">
        <v>18877.400000000001</v>
      </c>
      <c r="D63" s="36">
        <f t="shared" si="0"/>
        <v>188.774</v>
      </c>
    </row>
    <row r="64" spans="1:4" ht="19.5">
      <c r="A64" s="35">
        <f t="shared" si="1"/>
        <v>62</v>
      </c>
      <c r="B64" s="35">
        <v>620</v>
      </c>
      <c r="C64" s="35">
        <v>18868.800000000003</v>
      </c>
      <c r="D64" s="36">
        <f t="shared" si="0"/>
        <v>188.68800000000002</v>
      </c>
    </row>
    <row r="65" spans="1:4" ht="19.5">
      <c r="A65" s="35">
        <f t="shared" si="1"/>
        <v>63</v>
      </c>
      <c r="B65" s="35">
        <v>630</v>
      </c>
      <c r="C65" s="35">
        <v>18860.200000000004</v>
      </c>
      <c r="D65" s="36">
        <f t="shared" si="0"/>
        <v>188.60200000000003</v>
      </c>
    </row>
    <row r="66" spans="1:4" ht="19.5">
      <c r="A66" s="35">
        <f t="shared" si="1"/>
        <v>64</v>
      </c>
      <c r="B66" s="35">
        <v>640</v>
      </c>
      <c r="C66" s="35">
        <v>18851.600000000006</v>
      </c>
      <c r="D66" s="36">
        <f t="shared" si="0"/>
        <v>188.51600000000005</v>
      </c>
    </row>
    <row r="67" spans="1:4" ht="19.5">
      <c r="A67" s="35">
        <f t="shared" si="1"/>
        <v>65</v>
      </c>
      <c r="B67" s="35">
        <v>650</v>
      </c>
      <c r="C67" s="35">
        <v>18843.000000000007</v>
      </c>
      <c r="D67" s="36">
        <f t="shared" ref="D67:D130" si="2">C67/100</f>
        <v>188.43000000000006</v>
      </c>
    </row>
    <row r="68" spans="1:4" ht="19.5">
      <c r="A68" s="35">
        <f t="shared" ref="A68:A131" si="3">B68/10</f>
        <v>66</v>
      </c>
      <c r="B68" s="35">
        <v>660</v>
      </c>
      <c r="C68" s="35">
        <v>18834.400000000009</v>
      </c>
      <c r="D68" s="36">
        <f t="shared" si="2"/>
        <v>188.34400000000008</v>
      </c>
    </row>
    <row r="69" spans="1:4" ht="19.5">
      <c r="A69" s="35">
        <f t="shared" si="3"/>
        <v>67</v>
      </c>
      <c r="B69" s="35">
        <v>670</v>
      </c>
      <c r="C69" s="35">
        <v>18825.80000000001</v>
      </c>
      <c r="D69" s="36">
        <f t="shared" si="2"/>
        <v>188.2580000000001</v>
      </c>
    </row>
    <row r="70" spans="1:4" ht="19.5">
      <c r="A70" s="35">
        <f t="shared" si="3"/>
        <v>68</v>
      </c>
      <c r="B70" s="35">
        <v>680</v>
      </c>
      <c r="C70" s="35">
        <v>18817.200000000012</v>
      </c>
      <c r="D70" s="36">
        <f t="shared" si="2"/>
        <v>188.17200000000011</v>
      </c>
    </row>
    <row r="71" spans="1:4" ht="19.5">
      <c r="A71" s="35">
        <f t="shared" si="3"/>
        <v>69</v>
      </c>
      <c r="B71" s="35">
        <v>690</v>
      </c>
      <c r="C71" s="35">
        <v>18808.600000000013</v>
      </c>
      <c r="D71" s="36">
        <f t="shared" si="2"/>
        <v>188.08600000000013</v>
      </c>
    </row>
    <row r="72" spans="1:4" ht="19.5">
      <c r="A72" s="35">
        <f t="shared" si="3"/>
        <v>70</v>
      </c>
      <c r="B72" s="35">
        <v>700</v>
      </c>
      <c r="C72" s="35">
        <v>18800</v>
      </c>
      <c r="D72" s="36">
        <f t="shared" si="2"/>
        <v>188</v>
      </c>
    </row>
    <row r="73" spans="1:4" ht="19.5">
      <c r="A73" s="35">
        <f t="shared" si="3"/>
        <v>71</v>
      </c>
      <c r="B73" s="35">
        <v>710</v>
      </c>
      <c r="C73" s="35">
        <v>18772.7</v>
      </c>
      <c r="D73" s="36">
        <f t="shared" si="2"/>
        <v>187.727</v>
      </c>
    </row>
    <row r="74" spans="1:4" ht="19.5">
      <c r="A74" s="35">
        <f t="shared" si="3"/>
        <v>72</v>
      </c>
      <c r="B74" s="35">
        <v>720</v>
      </c>
      <c r="C74" s="35">
        <v>18745.400000000001</v>
      </c>
      <c r="D74" s="36">
        <f t="shared" si="2"/>
        <v>187.45400000000001</v>
      </c>
    </row>
    <row r="75" spans="1:4" ht="19.5">
      <c r="A75" s="35">
        <f t="shared" si="3"/>
        <v>73</v>
      </c>
      <c r="B75" s="35">
        <v>730</v>
      </c>
      <c r="C75" s="35">
        <v>18718.100000000002</v>
      </c>
      <c r="D75" s="36">
        <f t="shared" si="2"/>
        <v>187.18100000000001</v>
      </c>
    </row>
    <row r="76" spans="1:4" ht="19.5">
      <c r="A76" s="35">
        <f t="shared" si="3"/>
        <v>74</v>
      </c>
      <c r="B76" s="35">
        <v>740</v>
      </c>
      <c r="C76" s="35">
        <v>18690.800000000003</v>
      </c>
      <c r="D76" s="36">
        <f t="shared" si="2"/>
        <v>186.90800000000002</v>
      </c>
    </row>
    <row r="77" spans="1:4" ht="19.5">
      <c r="A77" s="35">
        <f t="shared" si="3"/>
        <v>75</v>
      </c>
      <c r="B77" s="35">
        <v>750</v>
      </c>
      <c r="C77" s="35">
        <v>18663.500000000004</v>
      </c>
      <c r="D77" s="36">
        <f t="shared" si="2"/>
        <v>186.63500000000005</v>
      </c>
    </row>
    <row r="78" spans="1:4" ht="19.5">
      <c r="A78" s="35">
        <f t="shared" si="3"/>
        <v>76</v>
      </c>
      <c r="B78" s="35">
        <v>760</v>
      </c>
      <c r="C78" s="35">
        <v>18636.200000000004</v>
      </c>
      <c r="D78" s="36">
        <f t="shared" si="2"/>
        <v>186.36200000000005</v>
      </c>
    </row>
    <row r="79" spans="1:4" ht="19.5">
      <c r="A79" s="35">
        <f t="shared" si="3"/>
        <v>77</v>
      </c>
      <c r="B79" s="35">
        <v>770</v>
      </c>
      <c r="C79" s="35">
        <v>18608.900000000005</v>
      </c>
      <c r="D79" s="36">
        <f t="shared" si="2"/>
        <v>186.08900000000006</v>
      </c>
    </row>
    <row r="80" spans="1:4" ht="19.5">
      <c r="A80" s="35">
        <f t="shared" si="3"/>
        <v>78</v>
      </c>
      <c r="B80" s="35">
        <v>780</v>
      </c>
      <c r="C80" s="35">
        <v>18581.600000000006</v>
      </c>
      <c r="D80" s="36">
        <f t="shared" si="2"/>
        <v>185.81600000000006</v>
      </c>
    </row>
    <row r="81" spans="1:4" ht="19.5">
      <c r="A81" s="35">
        <f t="shared" si="3"/>
        <v>79</v>
      </c>
      <c r="B81" s="35">
        <v>790</v>
      </c>
      <c r="C81" s="35">
        <v>18554.300000000007</v>
      </c>
      <c r="D81" s="36">
        <f t="shared" si="2"/>
        <v>185.54300000000006</v>
      </c>
    </row>
    <row r="82" spans="1:4" ht="19.5">
      <c r="A82" s="35">
        <f t="shared" si="3"/>
        <v>80</v>
      </c>
      <c r="B82" s="35">
        <v>800</v>
      </c>
      <c r="C82" s="35">
        <v>18527</v>
      </c>
      <c r="D82" s="36">
        <f t="shared" si="2"/>
        <v>185.27</v>
      </c>
    </row>
    <row r="83" spans="1:4" ht="19.5">
      <c r="A83" s="35">
        <f t="shared" si="3"/>
        <v>81</v>
      </c>
      <c r="B83" s="35">
        <v>810</v>
      </c>
      <c r="C83" s="35">
        <v>18470.7</v>
      </c>
      <c r="D83" s="36">
        <f t="shared" si="2"/>
        <v>184.70699999999999</v>
      </c>
    </row>
    <row r="84" spans="1:4" ht="19.5">
      <c r="A84" s="35">
        <f t="shared" si="3"/>
        <v>82</v>
      </c>
      <c r="B84" s="35">
        <v>820</v>
      </c>
      <c r="C84" s="35">
        <v>18414.400000000001</v>
      </c>
      <c r="D84" s="36">
        <f t="shared" si="2"/>
        <v>184.14400000000001</v>
      </c>
    </row>
    <row r="85" spans="1:4" ht="19.5">
      <c r="A85" s="35">
        <f t="shared" si="3"/>
        <v>83</v>
      </c>
      <c r="B85" s="35">
        <v>830</v>
      </c>
      <c r="C85" s="35">
        <v>18358.100000000002</v>
      </c>
      <c r="D85" s="36">
        <f t="shared" si="2"/>
        <v>183.58100000000002</v>
      </c>
    </row>
    <row r="86" spans="1:4" ht="19.5">
      <c r="A86" s="35">
        <f t="shared" si="3"/>
        <v>84</v>
      </c>
      <c r="B86" s="35">
        <v>840</v>
      </c>
      <c r="C86" s="35">
        <v>18301.800000000003</v>
      </c>
      <c r="D86" s="36">
        <f t="shared" si="2"/>
        <v>183.01800000000003</v>
      </c>
    </row>
    <row r="87" spans="1:4" ht="19.5">
      <c r="A87" s="35">
        <f t="shared" si="3"/>
        <v>85</v>
      </c>
      <c r="B87" s="35">
        <v>850</v>
      </c>
      <c r="C87" s="35">
        <v>18245.500000000004</v>
      </c>
      <c r="D87" s="36">
        <f t="shared" si="2"/>
        <v>182.45500000000004</v>
      </c>
    </row>
    <row r="88" spans="1:4" ht="19.5">
      <c r="A88" s="35">
        <f t="shared" si="3"/>
        <v>86</v>
      </c>
      <c r="B88" s="35">
        <v>860</v>
      </c>
      <c r="C88" s="35">
        <v>18189.200000000004</v>
      </c>
      <c r="D88" s="36">
        <f t="shared" si="2"/>
        <v>181.89200000000005</v>
      </c>
    </row>
    <row r="89" spans="1:4" ht="19.5">
      <c r="A89" s="35">
        <f t="shared" si="3"/>
        <v>87</v>
      </c>
      <c r="B89" s="35">
        <v>870</v>
      </c>
      <c r="C89" s="35">
        <v>18132.900000000005</v>
      </c>
      <c r="D89" s="36">
        <f t="shared" si="2"/>
        <v>181.32900000000006</v>
      </c>
    </row>
    <row r="90" spans="1:4" ht="19.5">
      <c r="A90" s="35">
        <f t="shared" si="3"/>
        <v>88</v>
      </c>
      <c r="B90" s="35">
        <v>880</v>
      </c>
      <c r="C90" s="35">
        <v>18076.600000000006</v>
      </c>
      <c r="D90" s="36">
        <f t="shared" si="2"/>
        <v>180.76600000000005</v>
      </c>
    </row>
    <row r="91" spans="1:4" ht="19.5">
      <c r="A91" s="35">
        <f t="shared" si="3"/>
        <v>89</v>
      </c>
      <c r="B91" s="35">
        <v>890</v>
      </c>
      <c r="C91" s="35">
        <v>18020.300000000007</v>
      </c>
      <c r="D91" s="36">
        <f t="shared" si="2"/>
        <v>180.20300000000006</v>
      </c>
    </row>
    <row r="92" spans="1:4" ht="19.5">
      <c r="A92" s="35">
        <f t="shared" si="3"/>
        <v>90</v>
      </c>
      <c r="B92" s="35">
        <v>900</v>
      </c>
      <c r="C92" s="35">
        <v>17964</v>
      </c>
      <c r="D92" s="36">
        <f t="shared" si="2"/>
        <v>179.64</v>
      </c>
    </row>
    <row r="93" spans="1:4" ht="19.5">
      <c r="A93" s="35">
        <f t="shared" si="3"/>
        <v>91</v>
      </c>
      <c r="B93" s="35">
        <v>910</v>
      </c>
      <c r="C93" s="35">
        <v>17895.8</v>
      </c>
      <c r="D93" s="36">
        <f t="shared" si="2"/>
        <v>178.958</v>
      </c>
    </row>
    <row r="94" spans="1:4" ht="19.5">
      <c r="A94" s="35">
        <f t="shared" si="3"/>
        <v>92</v>
      </c>
      <c r="B94" s="35">
        <v>920</v>
      </c>
      <c r="C94" s="35">
        <v>17827.599999999999</v>
      </c>
      <c r="D94" s="36">
        <f t="shared" si="2"/>
        <v>178.27599999999998</v>
      </c>
    </row>
    <row r="95" spans="1:4" ht="19.5">
      <c r="A95" s="35">
        <f t="shared" si="3"/>
        <v>93</v>
      </c>
      <c r="B95" s="35">
        <v>930</v>
      </c>
      <c r="C95" s="35">
        <v>17759.399999999998</v>
      </c>
      <c r="D95" s="36">
        <f t="shared" si="2"/>
        <v>177.59399999999997</v>
      </c>
    </row>
    <row r="96" spans="1:4" ht="19.5">
      <c r="A96" s="35">
        <f t="shared" si="3"/>
        <v>94</v>
      </c>
      <c r="B96" s="35">
        <v>940</v>
      </c>
      <c r="C96" s="35">
        <v>17691.199999999997</v>
      </c>
      <c r="D96" s="36">
        <f t="shared" si="2"/>
        <v>176.91199999999998</v>
      </c>
    </row>
    <row r="97" spans="1:4" ht="19.5">
      <c r="A97" s="35">
        <f t="shared" si="3"/>
        <v>95</v>
      </c>
      <c r="B97" s="35">
        <v>950</v>
      </c>
      <c r="C97" s="35">
        <v>17622.999999999996</v>
      </c>
      <c r="D97" s="36">
        <f t="shared" si="2"/>
        <v>176.22999999999996</v>
      </c>
    </row>
    <row r="98" spans="1:4" ht="19.5">
      <c r="A98" s="35">
        <f t="shared" si="3"/>
        <v>96</v>
      </c>
      <c r="B98" s="35">
        <v>960</v>
      </c>
      <c r="C98" s="35">
        <v>17554.799999999996</v>
      </c>
      <c r="D98" s="36">
        <f t="shared" si="2"/>
        <v>175.54799999999994</v>
      </c>
    </row>
    <row r="99" spans="1:4" ht="19.5">
      <c r="A99" s="35">
        <f t="shared" si="3"/>
        <v>97</v>
      </c>
      <c r="B99" s="35">
        <v>970</v>
      </c>
      <c r="C99" s="35">
        <v>17486.599999999995</v>
      </c>
      <c r="D99" s="36">
        <f t="shared" si="2"/>
        <v>174.86599999999996</v>
      </c>
    </row>
    <row r="100" spans="1:4" ht="19.5">
      <c r="A100" s="35">
        <f t="shared" si="3"/>
        <v>98</v>
      </c>
      <c r="B100" s="35">
        <v>980</v>
      </c>
      <c r="C100" s="35">
        <v>17418.399999999994</v>
      </c>
      <c r="D100" s="36">
        <f t="shared" si="2"/>
        <v>174.18399999999994</v>
      </c>
    </row>
    <row r="101" spans="1:4" ht="19.5">
      <c r="A101" s="35">
        <f t="shared" si="3"/>
        <v>99</v>
      </c>
      <c r="B101" s="35">
        <v>990</v>
      </c>
      <c r="C101" s="35">
        <v>17350.199999999993</v>
      </c>
      <c r="D101" s="36">
        <f t="shared" si="2"/>
        <v>173.50199999999992</v>
      </c>
    </row>
    <row r="102" spans="1:4" ht="19.5">
      <c r="A102" s="35">
        <f t="shared" si="3"/>
        <v>100</v>
      </c>
      <c r="B102" s="35">
        <v>1000</v>
      </c>
      <c r="C102" s="35">
        <v>17282</v>
      </c>
      <c r="D102" s="36">
        <f t="shared" si="2"/>
        <v>172.82</v>
      </c>
    </row>
    <row r="103" spans="1:4" ht="19.5">
      <c r="A103" s="35">
        <f t="shared" si="3"/>
        <v>101</v>
      </c>
      <c r="B103" s="35">
        <v>1010</v>
      </c>
      <c r="C103" s="35">
        <v>17213.78966962</v>
      </c>
      <c r="D103" s="36">
        <f t="shared" si="2"/>
        <v>172.13789669620002</v>
      </c>
    </row>
    <row r="104" spans="1:4" ht="19.5">
      <c r="A104" s="35">
        <f t="shared" si="3"/>
        <v>102</v>
      </c>
      <c r="B104" s="35">
        <v>1020</v>
      </c>
      <c r="C104" s="35">
        <v>17145.579339240001</v>
      </c>
      <c r="D104" s="36">
        <f t="shared" si="2"/>
        <v>171.45579339240001</v>
      </c>
    </row>
    <row r="105" spans="1:4" ht="19.5">
      <c r="A105" s="35">
        <f t="shared" si="3"/>
        <v>103</v>
      </c>
      <c r="B105" s="35">
        <v>1030</v>
      </c>
      <c r="C105" s="35">
        <v>17077.369008860001</v>
      </c>
      <c r="D105" s="36">
        <f t="shared" si="2"/>
        <v>170.77369008860001</v>
      </c>
    </row>
    <row r="106" spans="1:4" ht="19.5">
      <c r="A106" s="35">
        <f t="shared" si="3"/>
        <v>104</v>
      </c>
      <c r="B106" s="35">
        <v>1040</v>
      </c>
      <c r="C106" s="35">
        <v>17009.158678480002</v>
      </c>
      <c r="D106" s="36">
        <f t="shared" si="2"/>
        <v>170.09158678480003</v>
      </c>
    </row>
    <row r="107" spans="1:4" ht="19.5">
      <c r="A107" s="35">
        <f t="shared" si="3"/>
        <v>105</v>
      </c>
      <c r="B107" s="35">
        <v>1050</v>
      </c>
      <c r="C107" s="35">
        <v>16940.948348100002</v>
      </c>
      <c r="D107" s="36">
        <f t="shared" si="2"/>
        <v>169.40948348100002</v>
      </c>
    </row>
    <row r="108" spans="1:4" ht="19.5">
      <c r="A108" s="35">
        <f t="shared" si="3"/>
        <v>106</v>
      </c>
      <c r="B108" s="35">
        <v>1060</v>
      </c>
      <c r="C108" s="35">
        <v>16872.738017720003</v>
      </c>
      <c r="D108" s="36">
        <f t="shared" si="2"/>
        <v>168.72738017720002</v>
      </c>
    </row>
    <row r="109" spans="1:4" ht="19.5">
      <c r="A109" s="35">
        <f t="shared" si="3"/>
        <v>107</v>
      </c>
      <c r="B109" s="35">
        <v>1070</v>
      </c>
      <c r="C109" s="35">
        <v>16804.527687340003</v>
      </c>
      <c r="D109" s="36">
        <f t="shared" si="2"/>
        <v>168.04527687340004</v>
      </c>
    </row>
    <row r="110" spans="1:4" ht="19.5">
      <c r="A110" s="35">
        <f t="shared" si="3"/>
        <v>108</v>
      </c>
      <c r="B110" s="35">
        <v>1080</v>
      </c>
      <c r="C110" s="35">
        <v>16736.317356960004</v>
      </c>
      <c r="D110" s="36">
        <f t="shared" si="2"/>
        <v>167.36317356960004</v>
      </c>
    </row>
    <row r="111" spans="1:4" ht="19.5">
      <c r="A111" s="35">
        <f t="shared" si="3"/>
        <v>109</v>
      </c>
      <c r="B111" s="35">
        <v>1090</v>
      </c>
      <c r="C111" s="35">
        <v>16668.107026580004</v>
      </c>
      <c r="D111" s="36">
        <f t="shared" si="2"/>
        <v>166.68107026580003</v>
      </c>
    </row>
    <row r="112" spans="1:4" ht="19.5">
      <c r="A112" s="35">
        <f t="shared" si="3"/>
        <v>110</v>
      </c>
      <c r="B112" s="35">
        <v>1100</v>
      </c>
      <c r="C112" s="35">
        <v>16599.896696200005</v>
      </c>
      <c r="D112" s="36">
        <f t="shared" si="2"/>
        <v>165.99896696200005</v>
      </c>
    </row>
    <row r="113" spans="1:4" ht="19.5">
      <c r="A113" s="35">
        <f t="shared" si="3"/>
        <v>111</v>
      </c>
      <c r="B113" s="35">
        <v>1110</v>
      </c>
      <c r="C113" s="35">
        <v>16531.686365820005</v>
      </c>
      <c r="D113" s="36">
        <f t="shared" si="2"/>
        <v>165.31686365820005</v>
      </c>
    </row>
    <row r="114" spans="1:4" ht="19.5">
      <c r="A114" s="35">
        <f t="shared" si="3"/>
        <v>112</v>
      </c>
      <c r="B114" s="35">
        <v>1120</v>
      </c>
      <c r="C114" s="35">
        <v>16463.476035440006</v>
      </c>
      <c r="D114" s="36">
        <f t="shared" si="2"/>
        <v>164.63476035440007</v>
      </c>
    </row>
    <row r="115" spans="1:4" ht="19.5">
      <c r="A115" s="35">
        <f t="shared" si="3"/>
        <v>113</v>
      </c>
      <c r="B115" s="35">
        <v>1130</v>
      </c>
      <c r="C115" s="35">
        <v>16395.265705060006</v>
      </c>
      <c r="D115" s="36">
        <f t="shared" si="2"/>
        <v>163.95265705060007</v>
      </c>
    </row>
    <row r="116" spans="1:4" ht="19.5">
      <c r="A116" s="35">
        <f t="shared" si="3"/>
        <v>114</v>
      </c>
      <c r="B116" s="35">
        <v>1140</v>
      </c>
      <c r="C116" s="35">
        <v>16327.055374680007</v>
      </c>
      <c r="D116" s="36">
        <f t="shared" si="2"/>
        <v>163.27055374680006</v>
      </c>
    </row>
    <row r="117" spans="1:4" ht="19.5">
      <c r="A117" s="35">
        <f t="shared" si="3"/>
        <v>115</v>
      </c>
      <c r="B117" s="35">
        <v>1150</v>
      </c>
      <c r="C117" s="35">
        <v>16258.845044300007</v>
      </c>
      <c r="D117" s="36">
        <f t="shared" si="2"/>
        <v>162.58845044300008</v>
      </c>
    </row>
    <row r="118" spans="1:4" ht="19.5">
      <c r="A118" s="35">
        <f t="shared" si="3"/>
        <v>116</v>
      </c>
      <c r="B118" s="35">
        <v>1160</v>
      </c>
      <c r="C118" s="35">
        <v>16190.634713920008</v>
      </c>
      <c r="D118" s="36">
        <f t="shared" si="2"/>
        <v>161.90634713920008</v>
      </c>
    </row>
    <row r="119" spans="1:4" ht="19.5">
      <c r="A119" s="35">
        <f t="shared" si="3"/>
        <v>117</v>
      </c>
      <c r="B119" s="35">
        <v>1170</v>
      </c>
      <c r="C119" s="35">
        <v>16122.424383540008</v>
      </c>
      <c r="D119" s="36">
        <f t="shared" si="2"/>
        <v>161.22424383540007</v>
      </c>
    </row>
    <row r="120" spans="1:4" ht="19.5">
      <c r="A120" s="35">
        <f t="shared" si="3"/>
        <v>118</v>
      </c>
      <c r="B120" s="35">
        <v>1180</v>
      </c>
      <c r="C120" s="35">
        <v>16054.214053160009</v>
      </c>
      <c r="D120" s="36">
        <f t="shared" si="2"/>
        <v>160.5421405316001</v>
      </c>
    </row>
    <row r="121" spans="1:4" ht="19.5">
      <c r="A121" s="35">
        <f t="shared" si="3"/>
        <v>119</v>
      </c>
      <c r="B121" s="35">
        <v>1190</v>
      </c>
      <c r="C121" s="35">
        <v>15986.003722780009</v>
      </c>
      <c r="D121" s="36">
        <f t="shared" si="2"/>
        <v>159.86003722780009</v>
      </c>
    </row>
    <row r="122" spans="1:4" ht="19.5">
      <c r="A122" s="35">
        <f t="shared" si="3"/>
        <v>120</v>
      </c>
      <c r="B122" s="35">
        <v>1200</v>
      </c>
      <c r="C122" s="35">
        <v>15917.79339240001</v>
      </c>
      <c r="D122" s="36">
        <f t="shared" si="2"/>
        <v>159.17793392400009</v>
      </c>
    </row>
    <row r="123" spans="1:4" ht="19.5">
      <c r="A123" s="35">
        <f t="shared" si="3"/>
        <v>121</v>
      </c>
      <c r="B123" s="35">
        <v>1210</v>
      </c>
      <c r="C123" s="35">
        <v>15849.58306202001</v>
      </c>
      <c r="D123" s="36">
        <f t="shared" si="2"/>
        <v>158.49583062020011</v>
      </c>
    </row>
    <row r="124" spans="1:4" ht="19.5">
      <c r="A124" s="35">
        <f t="shared" si="3"/>
        <v>122</v>
      </c>
      <c r="B124" s="35">
        <v>1220</v>
      </c>
      <c r="C124" s="35">
        <v>15781.372731640011</v>
      </c>
      <c r="D124" s="36">
        <f t="shared" si="2"/>
        <v>157.8137273164001</v>
      </c>
    </row>
    <row r="125" spans="1:4" ht="19.5">
      <c r="A125" s="35">
        <f t="shared" si="3"/>
        <v>123</v>
      </c>
      <c r="B125" s="35">
        <v>1230</v>
      </c>
      <c r="C125" s="35">
        <v>15713.162401260011</v>
      </c>
      <c r="D125" s="36">
        <f t="shared" si="2"/>
        <v>157.13162401260013</v>
      </c>
    </row>
    <row r="126" spans="1:4" ht="19.5">
      <c r="A126" s="35">
        <f t="shared" si="3"/>
        <v>124</v>
      </c>
      <c r="B126" s="35">
        <v>1240</v>
      </c>
      <c r="C126" s="35">
        <v>15644.952070880012</v>
      </c>
      <c r="D126" s="36">
        <f t="shared" si="2"/>
        <v>156.44952070880012</v>
      </c>
    </row>
    <row r="127" spans="1:4" ht="19.5">
      <c r="A127" s="35">
        <f t="shared" si="3"/>
        <v>125</v>
      </c>
      <c r="B127" s="35">
        <v>1250</v>
      </c>
      <c r="C127" s="35">
        <v>15576.741740500012</v>
      </c>
      <c r="D127" s="36">
        <f t="shared" si="2"/>
        <v>155.76741740500012</v>
      </c>
    </row>
    <row r="128" spans="1:4" ht="19.5">
      <c r="A128" s="35">
        <f t="shared" si="3"/>
        <v>126</v>
      </c>
      <c r="B128" s="35">
        <v>1260</v>
      </c>
      <c r="C128" s="35">
        <v>15508.531410120013</v>
      </c>
      <c r="D128" s="36">
        <f t="shared" si="2"/>
        <v>155.08531410120014</v>
      </c>
    </row>
    <row r="129" spans="1:4" ht="19.5">
      <c r="A129" s="35">
        <f t="shared" si="3"/>
        <v>127</v>
      </c>
      <c r="B129" s="35">
        <v>1270</v>
      </c>
      <c r="C129" s="35">
        <v>15440.321079740013</v>
      </c>
      <c r="D129" s="36">
        <f t="shared" si="2"/>
        <v>154.40321079740013</v>
      </c>
    </row>
    <row r="130" spans="1:4" ht="19.5">
      <c r="A130" s="35">
        <f t="shared" si="3"/>
        <v>128</v>
      </c>
      <c r="B130" s="35">
        <v>1280</v>
      </c>
      <c r="C130" s="35">
        <v>15372.110749360014</v>
      </c>
      <c r="D130" s="36">
        <f t="shared" si="2"/>
        <v>153.72110749360013</v>
      </c>
    </row>
    <row r="131" spans="1:4" ht="19.5">
      <c r="A131" s="35">
        <f t="shared" si="3"/>
        <v>129</v>
      </c>
      <c r="B131" s="35">
        <v>1290</v>
      </c>
      <c r="C131" s="35">
        <v>15303.900418980014</v>
      </c>
      <c r="D131" s="36">
        <f t="shared" ref="D131:D194" si="4">C131/100</f>
        <v>153.03900418980015</v>
      </c>
    </row>
    <row r="132" spans="1:4" ht="19.5">
      <c r="A132" s="35">
        <f t="shared" ref="A132:A195" si="5">B132/10</f>
        <v>130</v>
      </c>
      <c r="B132" s="35">
        <v>1300</v>
      </c>
      <c r="C132" s="35">
        <v>15235.690088600015</v>
      </c>
      <c r="D132" s="36">
        <f t="shared" si="4"/>
        <v>152.35690088600015</v>
      </c>
    </row>
    <row r="133" spans="1:4" ht="19.5">
      <c r="A133" s="35">
        <f t="shared" si="5"/>
        <v>131</v>
      </c>
      <c r="B133" s="35">
        <v>1310</v>
      </c>
      <c r="C133" s="35">
        <v>15167.479758220015</v>
      </c>
      <c r="D133" s="36">
        <f t="shared" si="4"/>
        <v>151.67479758220014</v>
      </c>
    </row>
    <row r="134" spans="1:4" ht="19.5">
      <c r="A134" s="35">
        <f t="shared" si="5"/>
        <v>132</v>
      </c>
      <c r="B134" s="35">
        <v>1320</v>
      </c>
      <c r="C134" s="35">
        <v>15099.269427840016</v>
      </c>
      <c r="D134" s="36">
        <f t="shared" si="4"/>
        <v>150.99269427840017</v>
      </c>
    </row>
    <row r="135" spans="1:4" ht="19.5">
      <c r="A135" s="35">
        <f t="shared" si="5"/>
        <v>133</v>
      </c>
      <c r="B135" s="35">
        <v>1330</v>
      </c>
      <c r="C135" s="35">
        <v>15031.059097460016</v>
      </c>
      <c r="D135" s="36">
        <f t="shared" si="4"/>
        <v>150.31059097460016</v>
      </c>
    </row>
    <row r="136" spans="1:4" ht="19.5">
      <c r="A136" s="35">
        <f t="shared" si="5"/>
        <v>134</v>
      </c>
      <c r="B136" s="35">
        <v>1340</v>
      </c>
      <c r="C136" s="35">
        <v>14962.848767080017</v>
      </c>
      <c r="D136" s="36">
        <f t="shared" si="4"/>
        <v>149.62848767080015</v>
      </c>
    </row>
    <row r="137" spans="1:4" ht="19.5">
      <c r="A137" s="35">
        <f t="shared" si="5"/>
        <v>135</v>
      </c>
      <c r="B137" s="35">
        <v>1350</v>
      </c>
      <c r="C137" s="35">
        <v>14894.638436700017</v>
      </c>
      <c r="D137" s="36">
        <f t="shared" si="4"/>
        <v>148.94638436700018</v>
      </c>
    </row>
    <row r="138" spans="1:4" ht="19.5">
      <c r="A138" s="35">
        <f t="shared" si="5"/>
        <v>136</v>
      </c>
      <c r="B138" s="35">
        <v>1360</v>
      </c>
      <c r="C138" s="35">
        <v>14826.428106320018</v>
      </c>
      <c r="D138" s="36">
        <f t="shared" si="4"/>
        <v>148.26428106320017</v>
      </c>
    </row>
    <row r="139" spans="1:4" ht="19.5">
      <c r="A139" s="35">
        <f t="shared" si="5"/>
        <v>137</v>
      </c>
      <c r="B139" s="35">
        <v>1370</v>
      </c>
      <c r="C139" s="35">
        <v>14758.217775940018</v>
      </c>
      <c r="D139" s="36">
        <f t="shared" si="4"/>
        <v>147.5821777594002</v>
      </c>
    </row>
    <row r="140" spans="1:4" ht="19.5">
      <c r="A140" s="35">
        <f t="shared" si="5"/>
        <v>138</v>
      </c>
      <c r="B140" s="35">
        <v>1380</v>
      </c>
      <c r="C140" s="35">
        <v>14690.007445560019</v>
      </c>
      <c r="D140" s="36">
        <f t="shared" si="4"/>
        <v>146.90007445560019</v>
      </c>
    </row>
    <row r="141" spans="1:4" ht="19.5">
      <c r="A141" s="35">
        <f t="shared" si="5"/>
        <v>139</v>
      </c>
      <c r="B141" s="35">
        <v>1390</v>
      </c>
      <c r="C141" s="35">
        <v>14621.797115180019</v>
      </c>
      <c r="D141" s="36">
        <f t="shared" si="4"/>
        <v>146.21797115180019</v>
      </c>
    </row>
    <row r="142" spans="1:4" ht="19.5">
      <c r="A142" s="35">
        <f t="shared" si="5"/>
        <v>140</v>
      </c>
      <c r="B142" s="35">
        <v>1400</v>
      </c>
      <c r="C142" s="35">
        <v>14553.58678480002</v>
      </c>
      <c r="D142" s="36">
        <f t="shared" si="4"/>
        <v>145.53586784800021</v>
      </c>
    </row>
    <row r="143" spans="1:4" ht="19.5">
      <c r="A143" s="35">
        <f t="shared" si="5"/>
        <v>141</v>
      </c>
      <c r="B143" s="35">
        <v>1410</v>
      </c>
      <c r="C143" s="35">
        <v>14485.37645442002</v>
      </c>
      <c r="D143" s="36">
        <f t="shared" si="4"/>
        <v>144.8537645442002</v>
      </c>
    </row>
    <row r="144" spans="1:4" ht="19.5">
      <c r="A144" s="35">
        <f t="shared" si="5"/>
        <v>142</v>
      </c>
      <c r="B144" s="35">
        <v>1420</v>
      </c>
      <c r="C144" s="35">
        <v>14417.166124040021</v>
      </c>
      <c r="D144" s="36">
        <f t="shared" si="4"/>
        <v>144.1716612404002</v>
      </c>
    </row>
    <row r="145" spans="1:4" ht="19.5">
      <c r="A145" s="35">
        <f t="shared" si="5"/>
        <v>143</v>
      </c>
      <c r="B145" s="35">
        <v>1430</v>
      </c>
      <c r="C145" s="35">
        <v>14348.955793660021</v>
      </c>
      <c r="D145" s="36">
        <f t="shared" si="4"/>
        <v>143.48955793660022</v>
      </c>
    </row>
    <row r="146" spans="1:4" ht="19.5">
      <c r="A146" s="35">
        <f t="shared" si="5"/>
        <v>144</v>
      </c>
      <c r="B146" s="35">
        <v>1440</v>
      </c>
      <c r="C146" s="35">
        <v>14280.745463280022</v>
      </c>
      <c r="D146" s="36">
        <f t="shared" si="4"/>
        <v>142.80745463280022</v>
      </c>
    </row>
    <row r="147" spans="1:4" ht="19.5">
      <c r="A147" s="35">
        <f t="shared" si="5"/>
        <v>145</v>
      </c>
      <c r="B147" s="35">
        <v>1450</v>
      </c>
      <c r="C147" s="35">
        <v>14212.535132900022</v>
      </c>
      <c r="D147" s="36">
        <f t="shared" si="4"/>
        <v>142.12535132900021</v>
      </c>
    </row>
    <row r="148" spans="1:4" ht="19.5">
      <c r="A148" s="35">
        <f t="shared" si="5"/>
        <v>146</v>
      </c>
      <c r="B148" s="35">
        <v>1460</v>
      </c>
      <c r="C148" s="35">
        <v>14144.324802520023</v>
      </c>
      <c r="D148" s="36">
        <f t="shared" si="4"/>
        <v>141.44324802520023</v>
      </c>
    </row>
    <row r="149" spans="1:4" ht="19.5">
      <c r="A149" s="35">
        <f t="shared" si="5"/>
        <v>147</v>
      </c>
      <c r="B149" s="35">
        <v>1470</v>
      </c>
      <c r="C149" s="35">
        <v>14076.114472140023</v>
      </c>
      <c r="D149" s="36">
        <f t="shared" si="4"/>
        <v>140.76114472140023</v>
      </c>
    </row>
    <row r="150" spans="1:4" ht="19.5">
      <c r="A150" s="35">
        <f t="shared" si="5"/>
        <v>148</v>
      </c>
      <c r="B150" s="35">
        <v>1480</v>
      </c>
      <c r="C150" s="35">
        <v>14007.904141760024</v>
      </c>
      <c r="D150" s="36">
        <f t="shared" si="4"/>
        <v>140.07904141760025</v>
      </c>
    </row>
    <row r="151" spans="1:4" ht="19.5">
      <c r="A151" s="35">
        <f t="shared" si="5"/>
        <v>149</v>
      </c>
      <c r="B151" s="35">
        <v>1490</v>
      </c>
      <c r="C151" s="35">
        <v>13939.693811380024</v>
      </c>
      <c r="D151" s="36">
        <f t="shared" si="4"/>
        <v>139.39693811380025</v>
      </c>
    </row>
    <row r="152" spans="1:4" ht="19.5">
      <c r="A152" s="35">
        <f t="shared" si="5"/>
        <v>150</v>
      </c>
      <c r="B152" s="35">
        <v>1500</v>
      </c>
      <c r="C152" s="35">
        <v>13871.483481000025</v>
      </c>
      <c r="D152" s="36">
        <f t="shared" si="4"/>
        <v>138.71483481000024</v>
      </c>
    </row>
    <row r="153" spans="1:4" ht="19.5">
      <c r="A153" s="35">
        <f t="shared" si="5"/>
        <v>151</v>
      </c>
      <c r="B153" s="35">
        <v>1510</v>
      </c>
      <c r="C153" s="35">
        <v>13803.273150620025</v>
      </c>
      <c r="D153" s="36">
        <f t="shared" si="4"/>
        <v>138.03273150620026</v>
      </c>
    </row>
    <row r="154" spans="1:4" ht="19.5">
      <c r="A154" s="35">
        <f t="shared" si="5"/>
        <v>152</v>
      </c>
      <c r="B154" s="35">
        <v>1520</v>
      </c>
      <c r="C154" s="35">
        <v>13735.062820240026</v>
      </c>
      <c r="D154" s="36">
        <f t="shared" si="4"/>
        <v>137.35062820240026</v>
      </c>
    </row>
    <row r="155" spans="1:4" ht="19.5">
      <c r="A155" s="35">
        <f t="shared" si="5"/>
        <v>153</v>
      </c>
      <c r="B155" s="35">
        <v>1530</v>
      </c>
      <c r="C155" s="35">
        <v>13666.852489860026</v>
      </c>
      <c r="D155" s="36">
        <f t="shared" si="4"/>
        <v>136.66852489860025</v>
      </c>
    </row>
    <row r="156" spans="1:4" ht="19.5">
      <c r="A156" s="35">
        <f t="shared" si="5"/>
        <v>154</v>
      </c>
      <c r="B156" s="35">
        <v>1540</v>
      </c>
      <c r="C156" s="35">
        <v>13598.642159480027</v>
      </c>
      <c r="D156" s="36">
        <f t="shared" si="4"/>
        <v>135.98642159480028</v>
      </c>
    </row>
    <row r="157" spans="1:4" ht="19.5">
      <c r="A157" s="35">
        <f t="shared" si="5"/>
        <v>155</v>
      </c>
      <c r="B157" s="35">
        <v>1550</v>
      </c>
      <c r="C157" s="35">
        <v>13530.431829100027</v>
      </c>
      <c r="D157" s="36">
        <f t="shared" si="4"/>
        <v>135.30431829100027</v>
      </c>
    </row>
    <row r="158" spans="1:4" ht="19.5">
      <c r="A158" s="35">
        <f t="shared" si="5"/>
        <v>156</v>
      </c>
      <c r="B158" s="35">
        <v>1560</v>
      </c>
      <c r="C158" s="35">
        <v>13462.221498720028</v>
      </c>
      <c r="D158" s="36">
        <f t="shared" si="4"/>
        <v>134.62221498720027</v>
      </c>
    </row>
    <row r="159" spans="1:4" ht="19.5">
      <c r="A159" s="35">
        <f t="shared" si="5"/>
        <v>157</v>
      </c>
      <c r="B159" s="35">
        <v>1570</v>
      </c>
      <c r="C159" s="35">
        <v>13394.011168340028</v>
      </c>
      <c r="D159" s="36">
        <f t="shared" si="4"/>
        <v>133.94011168340029</v>
      </c>
    </row>
    <row r="160" spans="1:4" ht="19.5">
      <c r="A160" s="35">
        <f t="shared" si="5"/>
        <v>158</v>
      </c>
      <c r="B160" s="35">
        <v>1580</v>
      </c>
      <c r="C160" s="35">
        <v>13325.800837960029</v>
      </c>
      <c r="D160" s="36">
        <f t="shared" si="4"/>
        <v>133.25800837960028</v>
      </c>
    </row>
    <row r="161" spans="1:4" ht="19.5">
      <c r="A161" s="35">
        <f t="shared" si="5"/>
        <v>159</v>
      </c>
      <c r="B161" s="35">
        <v>1590</v>
      </c>
      <c r="C161" s="35">
        <v>13257.590507580029</v>
      </c>
      <c r="D161" s="36">
        <f t="shared" si="4"/>
        <v>132.57590507580028</v>
      </c>
    </row>
    <row r="162" spans="1:4" ht="19.5">
      <c r="A162" s="35">
        <f t="shared" si="5"/>
        <v>160</v>
      </c>
      <c r="B162" s="35">
        <v>1600</v>
      </c>
      <c r="C162" s="35">
        <v>13189.38017720003</v>
      </c>
      <c r="D162" s="36">
        <f t="shared" si="4"/>
        <v>131.8938017720003</v>
      </c>
    </row>
    <row r="163" spans="1:4" ht="19.5">
      <c r="A163" s="35">
        <f t="shared" si="5"/>
        <v>161</v>
      </c>
      <c r="B163" s="35">
        <v>1610</v>
      </c>
      <c r="C163" s="35">
        <v>13121.16984682003</v>
      </c>
      <c r="D163" s="36">
        <f t="shared" si="4"/>
        <v>131.2116984682003</v>
      </c>
    </row>
    <row r="164" spans="1:4" ht="19.5">
      <c r="A164" s="35">
        <f t="shared" si="5"/>
        <v>162</v>
      </c>
      <c r="B164" s="35">
        <v>1620</v>
      </c>
      <c r="C164" s="35">
        <v>13052.959516440031</v>
      </c>
      <c r="D164" s="36">
        <f t="shared" si="4"/>
        <v>130.52959516440032</v>
      </c>
    </row>
    <row r="165" spans="1:4" ht="19.5">
      <c r="A165" s="35">
        <f t="shared" si="5"/>
        <v>163</v>
      </c>
      <c r="B165" s="35">
        <v>1630</v>
      </c>
      <c r="C165" s="35">
        <v>12984.749186060031</v>
      </c>
      <c r="D165" s="36">
        <f t="shared" si="4"/>
        <v>129.84749186060031</v>
      </c>
    </row>
    <row r="166" spans="1:4" ht="19.5">
      <c r="A166" s="35">
        <f t="shared" si="5"/>
        <v>164</v>
      </c>
      <c r="B166" s="35">
        <v>1640</v>
      </c>
      <c r="C166" s="35">
        <v>12916.538855680032</v>
      </c>
      <c r="D166" s="36">
        <f t="shared" si="4"/>
        <v>129.16538855680031</v>
      </c>
    </row>
    <row r="167" spans="1:4" ht="19.5">
      <c r="A167" s="35">
        <f t="shared" si="5"/>
        <v>165</v>
      </c>
      <c r="B167" s="35">
        <v>1650</v>
      </c>
      <c r="C167" s="35">
        <v>12848.328525300032</v>
      </c>
      <c r="D167" s="36">
        <f t="shared" si="4"/>
        <v>128.48328525300033</v>
      </c>
    </row>
    <row r="168" spans="1:4" ht="19.5">
      <c r="A168" s="35">
        <f t="shared" si="5"/>
        <v>166</v>
      </c>
      <c r="B168" s="35">
        <v>1660</v>
      </c>
      <c r="C168" s="35">
        <v>12780.118194920033</v>
      </c>
      <c r="D168" s="36">
        <f t="shared" si="4"/>
        <v>127.80118194920033</v>
      </c>
    </row>
    <row r="169" spans="1:4" ht="19.5">
      <c r="A169" s="35">
        <f t="shared" si="5"/>
        <v>167</v>
      </c>
      <c r="B169" s="35">
        <v>1670</v>
      </c>
      <c r="C169" s="35">
        <v>12711.907864540033</v>
      </c>
      <c r="D169" s="36">
        <f t="shared" si="4"/>
        <v>127.11907864540034</v>
      </c>
    </row>
    <row r="170" spans="1:4" ht="19.5">
      <c r="A170" s="35">
        <f t="shared" si="5"/>
        <v>168</v>
      </c>
      <c r="B170" s="35">
        <v>1680</v>
      </c>
      <c r="C170" s="35">
        <v>12643.697534160034</v>
      </c>
      <c r="D170" s="36">
        <f t="shared" si="4"/>
        <v>126.43697534160033</v>
      </c>
    </row>
    <row r="171" spans="1:4" ht="19.5">
      <c r="A171" s="35">
        <f t="shared" si="5"/>
        <v>169</v>
      </c>
      <c r="B171" s="35">
        <v>1690</v>
      </c>
      <c r="C171" s="35">
        <v>12575.487203780034</v>
      </c>
      <c r="D171" s="36">
        <f t="shared" si="4"/>
        <v>125.75487203780034</v>
      </c>
    </row>
    <row r="172" spans="1:4" ht="19.5">
      <c r="A172" s="35">
        <f t="shared" si="5"/>
        <v>170</v>
      </c>
      <c r="B172" s="35">
        <v>1700</v>
      </c>
      <c r="C172" s="35">
        <v>12507.276873400035</v>
      </c>
      <c r="D172" s="36">
        <f t="shared" si="4"/>
        <v>125.07276873400035</v>
      </c>
    </row>
    <row r="173" spans="1:4" ht="19.5">
      <c r="A173" s="35">
        <f t="shared" si="5"/>
        <v>171</v>
      </c>
      <c r="B173" s="35">
        <v>1710</v>
      </c>
      <c r="C173" s="35">
        <v>12439.066543020035</v>
      </c>
      <c r="D173" s="36">
        <f t="shared" si="4"/>
        <v>124.39066543020036</v>
      </c>
    </row>
    <row r="174" spans="1:4" ht="19.5">
      <c r="A174" s="35">
        <f t="shared" si="5"/>
        <v>172</v>
      </c>
      <c r="B174" s="35">
        <v>1720</v>
      </c>
      <c r="C174" s="35">
        <v>12370.856212640036</v>
      </c>
      <c r="D174" s="36">
        <f t="shared" si="4"/>
        <v>123.70856212640035</v>
      </c>
    </row>
    <row r="175" spans="1:4" ht="19.5">
      <c r="A175" s="35">
        <f t="shared" si="5"/>
        <v>173</v>
      </c>
      <c r="B175" s="35">
        <v>1730</v>
      </c>
      <c r="C175" s="35">
        <v>12302.645882260036</v>
      </c>
      <c r="D175" s="36">
        <f t="shared" si="4"/>
        <v>123.02645882260036</v>
      </c>
    </row>
    <row r="176" spans="1:4" ht="19.5">
      <c r="A176" s="35">
        <f t="shared" si="5"/>
        <v>174</v>
      </c>
      <c r="B176" s="35">
        <v>1740</v>
      </c>
      <c r="C176" s="35">
        <v>12234.435551880037</v>
      </c>
      <c r="D176" s="36">
        <f t="shared" si="4"/>
        <v>122.34435551880037</v>
      </c>
    </row>
    <row r="177" spans="1:4" ht="19.5">
      <c r="A177" s="35">
        <f t="shared" si="5"/>
        <v>175</v>
      </c>
      <c r="B177" s="35">
        <v>1750</v>
      </c>
      <c r="C177" s="35">
        <v>12166.225221500037</v>
      </c>
      <c r="D177" s="36">
        <f t="shared" si="4"/>
        <v>121.66225221500036</v>
      </c>
    </row>
    <row r="178" spans="1:4" ht="19.5">
      <c r="A178" s="35">
        <f t="shared" si="5"/>
        <v>176</v>
      </c>
      <c r="B178" s="35">
        <v>1760</v>
      </c>
      <c r="C178" s="35">
        <v>12098.014891120038</v>
      </c>
      <c r="D178" s="36">
        <f t="shared" si="4"/>
        <v>120.98014891120037</v>
      </c>
    </row>
    <row r="179" spans="1:4" ht="19.5">
      <c r="A179" s="35">
        <f t="shared" si="5"/>
        <v>177</v>
      </c>
      <c r="B179" s="35">
        <v>1770</v>
      </c>
      <c r="C179" s="35">
        <v>12029.804560740038</v>
      </c>
      <c r="D179" s="36">
        <f t="shared" si="4"/>
        <v>120.29804560740038</v>
      </c>
    </row>
    <row r="180" spans="1:4" ht="19.5">
      <c r="A180" s="35">
        <f t="shared" si="5"/>
        <v>178</v>
      </c>
      <c r="B180" s="35">
        <v>1780</v>
      </c>
      <c r="C180" s="35">
        <v>11961.594230360039</v>
      </c>
      <c r="D180" s="36">
        <f t="shared" si="4"/>
        <v>119.61594230360039</v>
      </c>
    </row>
    <row r="181" spans="1:4" ht="19.5">
      <c r="A181" s="35">
        <f t="shared" si="5"/>
        <v>179</v>
      </c>
      <c r="B181" s="35">
        <v>1790</v>
      </c>
      <c r="C181" s="35">
        <v>11893.383899980039</v>
      </c>
      <c r="D181" s="36">
        <f t="shared" si="4"/>
        <v>118.93383899980039</v>
      </c>
    </row>
    <row r="182" spans="1:4" ht="19.5">
      <c r="A182" s="35">
        <f t="shared" si="5"/>
        <v>180</v>
      </c>
      <c r="B182" s="35">
        <v>1800</v>
      </c>
      <c r="C182" s="35">
        <v>11825.17356960004</v>
      </c>
      <c r="D182" s="36">
        <f t="shared" si="4"/>
        <v>118.2517356960004</v>
      </c>
    </row>
    <row r="183" spans="1:4" ht="19.5">
      <c r="A183" s="35">
        <f t="shared" si="5"/>
        <v>181</v>
      </c>
      <c r="B183" s="35">
        <v>1810</v>
      </c>
      <c r="C183" s="35">
        <v>11756.96323922004</v>
      </c>
      <c r="D183" s="36">
        <f t="shared" si="4"/>
        <v>117.5696323922004</v>
      </c>
    </row>
    <row r="184" spans="1:4" ht="19.5">
      <c r="A184" s="35">
        <f t="shared" si="5"/>
        <v>182</v>
      </c>
      <c r="B184" s="35">
        <v>1820</v>
      </c>
      <c r="C184" s="35">
        <v>11688.752908840041</v>
      </c>
      <c r="D184" s="36">
        <f t="shared" si="4"/>
        <v>116.88752908840041</v>
      </c>
    </row>
    <row r="185" spans="1:4" ht="19.5">
      <c r="A185" s="35">
        <f t="shared" si="5"/>
        <v>183</v>
      </c>
      <c r="B185" s="35">
        <v>1830</v>
      </c>
      <c r="C185" s="35">
        <v>11620.542578460041</v>
      </c>
      <c r="D185" s="36">
        <f t="shared" si="4"/>
        <v>116.20542578460041</v>
      </c>
    </row>
    <row r="186" spans="1:4" ht="19.5">
      <c r="A186" s="35">
        <f t="shared" si="5"/>
        <v>184</v>
      </c>
      <c r="B186" s="35">
        <v>1840</v>
      </c>
      <c r="C186" s="35">
        <v>11552.332248080042</v>
      </c>
      <c r="D186" s="36">
        <f t="shared" si="4"/>
        <v>115.52332248080042</v>
      </c>
    </row>
    <row r="187" spans="1:4" ht="19.5">
      <c r="A187" s="35">
        <f t="shared" si="5"/>
        <v>185</v>
      </c>
      <c r="B187" s="35">
        <v>1850</v>
      </c>
      <c r="C187" s="35">
        <v>11484.121917700042</v>
      </c>
      <c r="D187" s="36">
        <f t="shared" si="4"/>
        <v>114.84121917700043</v>
      </c>
    </row>
    <row r="188" spans="1:4" ht="19.5">
      <c r="A188" s="35">
        <f t="shared" si="5"/>
        <v>186</v>
      </c>
      <c r="B188" s="35">
        <v>1860</v>
      </c>
      <c r="C188" s="35">
        <v>11415.911587320043</v>
      </c>
      <c r="D188" s="36">
        <f t="shared" si="4"/>
        <v>114.15911587320042</v>
      </c>
    </row>
    <row r="189" spans="1:4" ht="19.5">
      <c r="A189" s="35">
        <f t="shared" si="5"/>
        <v>187</v>
      </c>
      <c r="B189" s="35">
        <v>1870</v>
      </c>
      <c r="C189" s="35">
        <v>11347.701256940043</v>
      </c>
      <c r="D189" s="36">
        <f t="shared" si="4"/>
        <v>113.47701256940043</v>
      </c>
    </row>
    <row r="190" spans="1:4" ht="19.5">
      <c r="A190" s="35">
        <f t="shared" si="5"/>
        <v>188</v>
      </c>
      <c r="B190" s="35">
        <v>1880</v>
      </c>
      <c r="C190" s="35">
        <v>11279.490926560044</v>
      </c>
      <c r="D190" s="36">
        <f t="shared" si="4"/>
        <v>112.79490926560044</v>
      </c>
    </row>
    <row r="191" spans="1:4" ht="19.5">
      <c r="A191" s="35">
        <f t="shared" si="5"/>
        <v>189</v>
      </c>
      <c r="B191" s="35">
        <v>1890</v>
      </c>
      <c r="C191" s="35">
        <v>11211.280596180044</v>
      </c>
      <c r="D191" s="36">
        <f t="shared" si="4"/>
        <v>112.11280596180045</v>
      </c>
    </row>
    <row r="192" spans="1:4" ht="19.5">
      <c r="A192" s="35">
        <f t="shared" si="5"/>
        <v>190</v>
      </c>
      <c r="B192" s="35">
        <v>1900</v>
      </c>
      <c r="C192" s="35">
        <v>11143.070265800045</v>
      </c>
      <c r="D192" s="36">
        <f t="shared" si="4"/>
        <v>111.43070265800044</v>
      </c>
    </row>
    <row r="193" spans="1:4" ht="19.5">
      <c r="A193" s="35">
        <f t="shared" si="5"/>
        <v>191</v>
      </c>
      <c r="B193" s="35">
        <v>1910</v>
      </c>
      <c r="C193" s="35">
        <v>11074.859935420045</v>
      </c>
      <c r="D193" s="36">
        <f t="shared" si="4"/>
        <v>110.74859935420045</v>
      </c>
    </row>
    <row r="194" spans="1:4" ht="19.5">
      <c r="A194" s="35">
        <f t="shared" si="5"/>
        <v>192</v>
      </c>
      <c r="B194" s="35">
        <v>1920</v>
      </c>
      <c r="C194" s="35">
        <v>11006.649605040046</v>
      </c>
      <c r="D194" s="36">
        <f t="shared" si="4"/>
        <v>110.06649605040046</v>
      </c>
    </row>
    <row r="195" spans="1:4" ht="19.5">
      <c r="A195" s="35">
        <f t="shared" si="5"/>
        <v>193</v>
      </c>
      <c r="B195" s="35">
        <v>1930</v>
      </c>
      <c r="C195" s="35">
        <v>10938.439274660046</v>
      </c>
      <c r="D195" s="36">
        <f t="shared" ref="D195:D258" si="6">C195/100</f>
        <v>109.38439274660045</v>
      </c>
    </row>
    <row r="196" spans="1:4" ht="19.5">
      <c r="A196" s="35">
        <f t="shared" ref="A196:A259" si="7">B196/10</f>
        <v>194</v>
      </c>
      <c r="B196" s="35">
        <v>1940</v>
      </c>
      <c r="C196" s="35">
        <v>10870.228944280047</v>
      </c>
      <c r="D196" s="36">
        <f t="shared" si="6"/>
        <v>108.70228944280046</v>
      </c>
    </row>
    <row r="197" spans="1:4" ht="19.5">
      <c r="A197" s="35">
        <f t="shared" si="7"/>
        <v>195</v>
      </c>
      <c r="B197" s="35">
        <v>1950</v>
      </c>
      <c r="C197" s="35">
        <v>10802.018613900047</v>
      </c>
      <c r="D197" s="36">
        <f t="shared" si="6"/>
        <v>108.02018613900047</v>
      </c>
    </row>
    <row r="198" spans="1:4" ht="19.5">
      <c r="A198" s="35">
        <f t="shared" si="7"/>
        <v>196</v>
      </c>
      <c r="B198" s="35">
        <v>1960</v>
      </c>
      <c r="C198" s="35">
        <v>10733.808283520048</v>
      </c>
      <c r="D198" s="36">
        <f t="shared" si="6"/>
        <v>107.33808283520048</v>
      </c>
    </row>
    <row r="199" spans="1:4" ht="19.5">
      <c r="A199" s="35">
        <f t="shared" si="7"/>
        <v>197</v>
      </c>
      <c r="B199" s="35">
        <v>1970</v>
      </c>
      <c r="C199" s="35">
        <v>10665.597953140048</v>
      </c>
      <c r="D199" s="36">
        <f t="shared" si="6"/>
        <v>106.65597953140048</v>
      </c>
    </row>
    <row r="200" spans="1:4" ht="19.5">
      <c r="A200" s="35">
        <f t="shared" si="7"/>
        <v>198</v>
      </c>
      <c r="B200" s="35">
        <v>1980</v>
      </c>
      <c r="C200" s="35">
        <v>10597.387622760049</v>
      </c>
      <c r="D200" s="36">
        <f t="shared" si="6"/>
        <v>105.97387622760048</v>
      </c>
    </row>
    <row r="201" spans="1:4" ht="19.5">
      <c r="A201" s="35">
        <f t="shared" si="7"/>
        <v>199</v>
      </c>
      <c r="B201" s="35">
        <v>1990</v>
      </c>
      <c r="C201" s="35">
        <v>10529.177292380049</v>
      </c>
      <c r="D201" s="36">
        <f t="shared" si="6"/>
        <v>105.29177292380049</v>
      </c>
    </row>
    <row r="202" spans="1:4" ht="19.5">
      <c r="A202" s="35">
        <f t="shared" si="7"/>
        <v>200</v>
      </c>
      <c r="B202" s="35">
        <v>2000</v>
      </c>
      <c r="C202" s="35">
        <v>10460.96696200005</v>
      </c>
      <c r="D202" s="36">
        <f t="shared" si="6"/>
        <v>104.60966962000049</v>
      </c>
    </row>
    <row r="203" spans="1:4" ht="19.5">
      <c r="A203" s="35">
        <f t="shared" si="7"/>
        <v>201</v>
      </c>
      <c r="B203" s="35">
        <v>2010</v>
      </c>
      <c r="C203" s="35">
        <v>10392.75663162005</v>
      </c>
      <c r="D203" s="36">
        <f t="shared" si="6"/>
        <v>103.9275663162005</v>
      </c>
    </row>
    <row r="204" spans="1:4" ht="19.5">
      <c r="A204" s="35">
        <f t="shared" si="7"/>
        <v>202</v>
      </c>
      <c r="B204" s="35">
        <v>2020</v>
      </c>
      <c r="C204" s="35">
        <v>10324.546301240051</v>
      </c>
      <c r="D204" s="36">
        <f t="shared" si="6"/>
        <v>103.24546301240051</v>
      </c>
    </row>
    <row r="205" spans="1:4" ht="19.5">
      <c r="A205" s="35">
        <f t="shared" si="7"/>
        <v>203</v>
      </c>
      <c r="B205" s="35">
        <v>2030</v>
      </c>
      <c r="C205" s="35">
        <v>10256.335970860051</v>
      </c>
      <c r="D205" s="36">
        <f t="shared" si="6"/>
        <v>102.56335970860052</v>
      </c>
    </row>
    <row r="206" spans="1:4" ht="19.5">
      <c r="A206" s="35">
        <f t="shared" si="7"/>
        <v>204</v>
      </c>
      <c r="B206" s="35">
        <v>2040</v>
      </c>
      <c r="C206" s="35">
        <v>10188.125640480052</v>
      </c>
      <c r="D206" s="36">
        <f t="shared" si="6"/>
        <v>101.88125640480051</v>
      </c>
    </row>
    <row r="207" spans="1:4" ht="19.5">
      <c r="A207" s="35">
        <f t="shared" si="7"/>
        <v>205</v>
      </c>
      <c r="B207" s="35">
        <v>2050</v>
      </c>
      <c r="C207" s="35">
        <v>10119.915310100052</v>
      </c>
      <c r="D207" s="36">
        <f t="shared" si="6"/>
        <v>101.19915310100052</v>
      </c>
    </row>
    <row r="208" spans="1:4" ht="19.5">
      <c r="A208" s="35">
        <f t="shared" si="7"/>
        <v>206</v>
      </c>
      <c r="B208" s="35">
        <v>2060</v>
      </c>
      <c r="C208" s="35">
        <v>10051.704979720053</v>
      </c>
      <c r="D208" s="36">
        <f t="shared" si="6"/>
        <v>100.51704979720053</v>
      </c>
    </row>
    <row r="209" spans="1:4" ht="19.5">
      <c r="A209" s="35">
        <f t="shared" si="7"/>
        <v>207</v>
      </c>
      <c r="B209" s="35">
        <v>2070</v>
      </c>
      <c r="C209" s="35">
        <v>9983.494649340053</v>
      </c>
      <c r="D209" s="36">
        <f t="shared" si="6"/>
        <v>99.834946493400537</v>
      </c>
    </row>
    <row r="210" spans="1:4" ht="19.5">
      <c r="A210" s="35">
        <f t="shared" si="7"/>
        <v>208</v>
      </c>
      <c r="B210" s="35">
        <v>2080</v>
      </c>
      <c r="C210" s="35">
        <v>9915.2843189600535</v>
      </c>
      <c r="D210" s="36">
        <f t="shared" si="6"/>
        <v>99.152843189600532</v>
      </c>
    </row>
    <row r="211" spans="1:4" ht="19.5">
      <c r="A211" s="35">
        <f t="shared" si="7"/>
        <v>209</v>
      </c>
      <c r="B211" s="35">
        <v>2090</v>
      </c>
      <c r="C211" s="35">
        <v>9847.073988580054</v>
      </c>
      <c r="D211" s="36">
        <f t="shared" si="6"/>
        <v>98.47073988580054</v>
      </c>
    </row>
    <row r="212" spans="1:4" ht="19.5">
      <c r="A212" s="35">
        <f t="shared" si="7"/>
        <v>210</v>
      </c>
      <c r="B212" s="35">
        <v>2100</v>
      </c>
      <c r="C212" s="35">
        <v>9778.8636582000545</v>
      </c>
      <c r="D212" s="36">
        <f t="shared" si="6"/>
        <v>97.788636582000549</v>
      </c>
    </row>
    <row r="213" spans="1:4" ht="19.5">
      <c r="A213" s="35">
        <f t="shared" si="7"/>
        <v>211</v>
      </c>
      <c r="B213" s="35">
        <v>2110</v>
      </c>
      <c r="C213" s="35">
        <v>9710.653327820055</v>
      </c>
      <c r="D213" s="36">
        <f t="shared" si="6"/>
        <v>97.106533278200544</v>
      </c>
    </row>
    <row r="214" spans="1:4" ht="19.5">
      <c r="A214" s="35">
        <f t="shared" si="7"/>
        <v>212</v>
      </c>
      <c r="B214" s="35">
        <v>2120</v>
      </c>
      <c r="C214" s="35">
        <v>9642.4429974400555</v>
      </c>
      <c r="D214" s="36">
        <f t="shared" si="6"/>
        <v>96.424429974400553</v>
      </c>
    </row>
    <row r="215" spans="1:4" ht="19.5">
      <c r="A215" s="35">
        <f t="shared" si="7"/>
        <v>213</v>
      </c>
      <c r="B215" s="35">
        <v>2130</v>
      </c>
      <c r="C215" s="35">
        <v>9574.232667060056</v>
      </c>
      <c r="D215" s="36">
        <f t="shared" si="6"/>
        <v>95.742326670600562</v>
      </c>
    </row>
    <row r="216" spans="1:4" ht="19.5">
      <c r="A216" s="35">
        <f t="shared" si="7"/>
        <v>214</v>
      </c>
      <c r="B216" s="35">
        <v>2140</v>
      </c>
      <c r="C216" s="35">
        <v>9506.0223366800565</v>
      </c>
      <c r="D216" s="36">
        <f t="shared" si="6"/>
        <v>95.060223366800571</v>
      </c>
    </row>
    <row r="217" spans="1:4" ht="19.5">
      <c r="A217" s="35">
        <f t="shared" si="7"/>
        <v>215</v>
      </c>
      <c r="B217" s="35">
        <v>2150</v>
      </c>
      <c r="C217" s="35">
        <v>9437.812006300057</v>
      </c>
      <c r="D217" s="36">
        <f t="shared" si="6"/>
        <v>94.378120063000566</v>
      </c>
    </row>
    <row r="218" spans="1:4" ht="19.5">
      <c r="A218" s="35">
        <f t="shared" si="7"/>
        <v>216</v>
      </c>
      <c r="B218" s="35">
        <v>2160</v>
      </c>
      <c r="C218" s="35">
        <v>9369.6016759200575</v>
      </c>
      <c r="D218" s="36">
        <f t="shared" si="6"/>
        <v>93.696016759200575</v>
      </c>
    </row>
    <row r="219" spans="1:4" ht="19.5">
      <c r="A219" s="35">
        <f t="shared" si="7"/>
        <v>217</v>
      </c>
      <c r="B219" s="35">
        <v>2170</v>
      </c>
      <c r="C219" s="35">
        <v>9301.391345540058</v>
      </c>
      <c r="D219" s="36">
        <f t="shared" si="6"/>
        <v>93.013913455400584</v>
      </c>
    </row>
    <row r="220" spans="1:4" ht="19.5">
      <c r="A220" s="35">
        <f t="shared" si="7"/>
        <v>218</v>
      </c>
      <c r="B220" s="35">
        <v>2180</v>
      </c>
      <c r="C220" s="35">
        <v>9233.1810151600585</v>
      </c>
      <c r="D220" s="36">
        <f t="shared" si="6"/>
        <v>92.331810151600578</v>
      </c>
    </row>
    <row r="221" spans="1:4" ht="19.5">
      <c r="A221" s="35">
        <f t="shared" si="7"/>
        <v>219</v>
      </c>
      <c r="B221" s="35">
        <v>2190</v>
      </c>
      <c r="C221" s="35">
        <v>9164.9706847800589</v>
      </c>
      <c r="D221" s="36">
        <f t="shared" si="6"/>
        <v>91.649706847800587</v>
      </c>
    </row>
    <row r="222" spans="1:4" ht="19.5">
      <c r="A222" s="35">
        <f t="shared" si="7"/>
        <v>220</v>
      </c>
      <c r="B222" s="35">
        <v>2200</v>
      </c>
      <c r="C222" s="35">
        <v>9096.7603544000594</v>
      </c>
      <c r="D222" s="36">
        <f t="shared" si="6"/>
        <v>90.967603544000596</v>
      </c>
    </row>
    <row r="223" spans="1:4" ht="19.5">
      <c r="A223" s="35">
        <f t="shared" si="7"/>
        <v>221</v>
      </c>
      <c r="B223" s="35">
        <v>2210</v>
      </c>
      <c r="C223" s="35">
        <v>9028.5500240200599</v>
      </c>
      <c r="D223" s="36">
        <f t="shared" si="6"/>
        <v>90.285500240200605</v>
      </c>
    </row>
    <row r="224" spans="1:4" ht="19.5">
      <c r="A224" s="35">
        <f t="shared" si="7"/>
        <v>222</v>
      </c>
      <c r="B224" s="35">
        <v>2220</v>
      </c>
      <c r="C224" s="35">
        <v>8960.3396936400604</v>
      </c>
      <c r="D224" s="36">
        <f t="shared" si="6"/>
        <v>89.6033969364006</v>
      </c>
    </row>
    <row r="225" spans="1:4" ht="19.5">
      <c r="A225" s="35">
        <f t="shared" si="7"/>
        <v>223</v>
      </c>
      <c r="B225" s="35">
        <v>2230</v>
      </c>
      <c r="C225" s="35">
        <v>8892.1293632600609</v>
      </c>
      <c r="D225" s="36">
        <f t="shared" si="6"/>
        <v>88.921293632600609</v>
      </c>
    </row>
    <row r="226" spans="1:4" ht="19.5">
      <c r="A226" s="35">
        <f t="shared" si="7"/>
        <v>224</v>
      </c>
      <c r="B226" s="35">
        <v>2240</v>
      </c>
      <c r="C226" s="35">
        <v>8823.9190328800614</v>
      </c>
      <c r="D226" s="36">
        <f t="shared" si="6"/>
        <v>88.239190328800618</v>
      </c>
    </row>
    <row r="227" spans="1:4" ht="19.5">
      <c r="A227" s="35">
        <f t="shared" si="7"/>
        <v>225</v>
      </c>
      <c r="B227" s="35">
        <v>2250</v>
      </c>
      <c r="C227" s="35">
        <v>8755.7087025000619</v>
      </c>
      <c r="D227" s="36">
        <f t="shared" si="6"/>
        <v>87.557087025000612</v>
      </c>
    </row>
    <row r="228" spans="1:4" ht="19.5">
      <c r="A228" s="35">
        <f t="shared" si="7"/>
        <v>226</v>
      </c>
      <c r="B228" s="35">
        <v>2260</v>
      </c>
      <c r="C228" s="35">
        <v>8687.4983721200624</v>
      </c>
      <c r="D228" s="36">
        <f t="shared" si="6"/>
        <v>86.874983721200621</v>
      </c>
    </row>
    <row r="229" spans="1:4" ht="19.5">
      <c r="A229" s="35">
        <f t="shared" si="7"/>
        <v>227</v>
      </c>
      <c r="B229" s="35">
        <v>2270</v>
      </c>
      <c r="C229" s="35">
        <v>8619.2880417400629</v>
      </c>
      <c r="D229" s="36">
        <f t="shared" si="6"/>
        <v>86.19288041740063</v>
      </c>
    </row>
    <row r="230" spans="1:4" ht="19.5">
      <c r="A230" s="35">
        <f t="shared" si="7"/>
        <v>228</v>
      </c>
      <c r="B230" s="35">
        <v>2280</v>
      </c>
      <c r="C230" s="35">
        <v>8551.0777113600634</v>
      </c>
      <c r="D230" s="36">
        <f t="shared" si="6"/>
        <v>85.510777113600639</v>
      </c>
    </row>
    <row r="231" spans="1:4" ht="19.5">
      <c r="A231" s="35">
        <f t="shared" si="7"/>
        <v>229</v>
      </c>
      <c r="B231" s="35">
        <v>2290</v>
      </c>
      <c r="C231" s="35">
        <v>8482.8673809800639</v>
      </c>
      <c r="D231" s="36">
        <f t="shared" si="6"/>
        <v>84.828673809800634</v>
      </c>
    </row>
    <row r="232" spans="1:4" ht="19.5">
      <c r="A232" s="35">
        <f t="shared" si="7"/>
        <v>230</v>
      </c>
      <c r="B232" s="35">
        <v>2300</v>
      </c>
      <c r="C232" s="35">
        <v>8414.6570506000644</v>
      </c>
      <c r="D232" s="36">
        <f t="shared" si="6"/>
        <v>84.146570506000643</v>
      </c>
    </row>
    <row r="233" spans="1:4" ht="19.5">
      <c r="A233" s="35">
        <f t="shared" si="7"/>
        <v>231</v>
      </c>
      <c r="B233" s="35">
        <v>2310</v>
      </c>
      <c r="C233" s="35">
        <v>8346.4467202200649</v>
      </c>
      <c r="D233" s="36">
        <f t="shared" si="6"/>
        <v>83.464467202200652</v>
      </c>
    </row>
    <row r="234" spans="1:4" ht="19.5">
      <c r="A234" s="35">
        <f t="shared" si="7"/>
        <v>232</v>
      </c>
      <c r="B234" s="35">
        <v>2320</v>
      </c>
      <c r="C234" s="35">
        <v>8278.2363898400654</v>
      </c>
      <c r="D234" s="36">
        <f t="shared" si="6"/>
        <v>82.782363898400661</v>
      </c>
    </row>
    <row r="235" spans="1:4" ht="19.5">
      <c r="A235" s="35">
        <f t="shared" si="7"/>
        <v>233</v>
      </c>
      <c r="B235" s="35">
        <v>2330</v>
      </c>
      <c r="C235" s="35">
        <v>8210.0260594600659</v>
      </c>
      <c r="D235" s="36">
        <f t="shared" si="6"/>
        <v>82.100260594600655</v>
      </c>
    </row>
    <row r="236" spans="1:4" ht="19.5">
      <c r="A236" s="35">
        <f t="shared" si="7"/>
        <v>234</v>
      </c>
      <c r="B236" s="35">
        <v>2340</v>
      </c>
      <c r="C236" s="35">
        <v>8141.8157290800655</v>
      </c>
      <c r="D236" s="36">
        <f t="shared" si="6"/>
        <v>81.41815729080065</v>
      </c>
    </row>
    <row r="237" spans="1:4" ht="19.5">
      <c r="A237" s="35">
        <f t="shared" si="7"/>
        <v>235</v>
      </c>
      <c r="B237" s="35">
        <v>2350</v>
      </c>
      <c r="C237" s="35">
        <v>8073.6053987000651</v>
      </c>
      <c r="D237" s="36">
        <f t="shared" si="6"/>
        <v>80.736053987000645</v>
      </c>
    </row>
    <row r="238" spans="1:4" ht="19.5">
      <c r="A238" s="35">
        <f t="shared" si="7"/>
        <v>236</v>
      </c>
      <c r="B238" s="35">
        <v>2360</v>
      </c>
      <c r="C238" s="35">
        <v>8005.3950683200646</v>
      </c>
      <c r="D238" s="36">
        <f t="shared" si="6"/>
        <v>80.05395068320064</v>
      </c>
    </row>
    <row r="239" spans="1:4" ht="19.5">
      <c r="A239" s="35">
        <f t="shared" si="7"/>
        <v>237</v>
      </c>
      <c r="B239" s="35">
        <v>2370</v>
      </c>
      <c r="C239" s="35">
        <v>7937.1847379400642</v>
      </c>
      <c r="D239" s="36">
        <f t="shared" si="6"/>
        <v>79.371847379400648</v>
      </c>
    </row>
    <row r="240" spans="1:4" ht="19.5">
      <c r="A240" s="35">
        <f t="shared" si="7"/>
        <v>238</v>
      </c>
      <c r="B240" s="35">
        <v>2380</v>
      </c>
      <c r="C240" s="35">
        <v>7868.9744075600638</v>
      </c>
      <c r="D240" s="36">
        <f t="shared" si="6"/>
        <v>78.689744075600643</v>
      </c>
    </row>
    <row r="241" spans="1:4" ht="19.5">
      <c r="A241" s="35">
        <f t="shared" si="7"/>
        <v>239</v>
      </c>
      <c r="B241" s="35">
        <v>2390</v>
      </c>
      <c r="C241" s="35">
        <v>7800.7640771800634</v>
      </c>
      <c r="D241" s="36">
        <f t="shared" si="6"/>
        <v>78.007640771800638</v>
      </c>
    </row>
    <row r="242" spans="1:4" ht="19.5">
      <c r="A242" s="35">
        <f t="shared" si="7"/>
        <v>240</v>
      </c>
      <c r="B242" s="35">
        <v>2400</v>
      </c>
      <c r="C242" s="35">
        <v>7732.553746800063</v>
      </c>
      <c r="D242" s="36">
        <f t="shared" si="6"/>
        <v>77.325537468000633</v>
      </c>
    </row>
    <row r="243" spans="1:4" ht="19.5">
      <c r="A243" s="35">
        <f t="shared" si="7"/>
        <v>241</v>
      </c>
      <c r="B243" s="35">
        <v>2410</v>
      </c>
      <c r="C243" s="35">
        <v>7664.3434164200626</v>
      </c>
      <c r="D243" s="36">
        <f t="shared" si="6"/>
        <v>76.643434164200627</v>
      </c>
    </row>
    <row r="244" spans="1:4" ht="19.5">
      <c r="A244" s="35">
        <f t="shared" si="7"/>
        <v>242</v>
      </c>
      <c r="B244" s="35">
        <v>2420</v>
      </c>
      <c r="C244" s="35">
        <v>7596.1330860400622</v>
      </c>
      <c r="D244" s="36">
        <f t="shared" si="6"/>
        <v>75.961330860400622</v>
      </c>
    </row>
    <row r="245" spans="1:4" ht="19.5">
      <c r="A245" s="35">
        <f t="shared" si="7"/>
        <v>243</v>
      </c>
      <c r="B245" s="35">
        <v>2430</v>
      </c>
      <c r="C245" s="35">
        <v>7527.9227556600617</v>
      </c>
      <c r="D245" s="36">
        <f t="shared" si="6"/>
        <v>75.279227556600617</v>
      </c>
    </row>
    <row r="246" spans="1:4" ht="19.5">
      <c r="A246" s="35">
        <f t="shared" si="7"/>
        <v>244</v>
      </c>
      <c r="B246" s="35">
        <v>2440</v>
      </c>
      <c r="C246" s="35">
        <v>7459.7124252800613</v>
      </c>
      <c r="D246" s="36">
        <f t="shared" si="6"/>
        <v>74.597124252800612</v>
      </c>
    </row>
    <row r="247" spans="1:4" ht="19.5">
      <c r="A247" s="35">
        <f t="shared" si="7"/>
        <v>245</v>
      </c>
      <c r="B247" s="35">
        <v>2450</v>
      </c>
      <c r="C247" s="35">
        <v>7391.5020949000609</v>
      </c>
      <c r="D247" s="36">
        <f t="shared" si="6"/>
        <v>73.915020949000606</v>
      </c>
    </row>
    <row r="248" spans="1:4" ht="19.5">
      <c r="A248" s="35">
        <f t="shared" si="7"/>
        <v>246</v>
      </c>
      <c r="B248" s="35">
        <v>2460</v>
      </c>
      <c r="C248" s="35">
        <v>7323.2917645200605</v>
      </c>
      <c r="D248" s="36">
        <f t="shared" si="6"/>
        <v>73.232917645200601</v>
      </c>
    </row>
    <row r="249" spans="1:4" ht="19.5">
      <c r="A249" s="35">
        <f t="shared" si="7"/>
        <v>247</v>
      </c>
      <c r="B249" s="35">
        <v>2470</v>
      </c>
      <c r="C249" s="35">
        <v>7255.0814341400601</v>
      </c>
      <c r="D249" s="36">
        <f t="shared" si="6"/>
        <v>72.550814341400596</v>
      </c>
    </row>
    <row r="250" spans="1:4" ht="19.5">
      <c r="A250" s="35">
        <f t="shared" si="7"/>
        <v>248</v>
      </c>
      <c r="B250" s="35">
        <v>2480</v>
      </c>
      <c r="C250" s="35">
        <v>7186.8711037600597</v>
      </c>
      <c r="D250" s="36">
        <f t="shared" si="6"/>
        <v>71.86871103760059</v>
      </c>
    </row>
    <row r="251" spans="1:4" ht="19.5">
      <c r="A251" s="35">
        <f t="shared" si="7"/>
        <v>249</v>
      </c>
      <c r="B251" s="35">
        <v>2490</v>
      </c>
      <c r="C251" s="35">
        <v>7118.6607733800593</v>
      </c>
      <c r="D251" s="36">
        <f t="shared" si="6"/>
        <v>71.186607733800599</v>
      </c>
    </row>
    <row r="252" spans="1:4" ht="19.5">
      <c r="A252" s="35">
        <f t="shared" si="7"/>
        <v>250</v>
      </c>
      <c r="B252" s="35">
        <v>2500</v>
      </c>
      <c r="C252" s="35">
        <v>7050.4504430000588</v>
      </c>
      <c r="D252" s="36">
        <f t="shared" si="6"/>
        <v>70.504504430000594</v>
      </c>
    </row>
    <row r="253" spans="1:4" ht="19.5">
      <c r="A253" s="35">
        <f t="shared" si="7"/>
        <v>251</v>
      </c>
      <c r="B253" s="35">
        <v>2510</v>
      </c>
      <c r="C253" s="35">
        <v>6982.2401126200584</v>
      </c>
      <c r="D253" s="36">
        <f t="shared" si="6"/>
        <v>69.822401126200589</v>
      </c>
    </row>
    <row r="254" spans="1:4" ht="19.5">
      <c r="A254" s="35">
        <f t="shared" si="7"/>
        <v>252</v>
      </c>
      <c r="B254" s="35">
        <v>2520</v>
      </c>
      <c r="C254" s="35">
        <v>6914.029782240058</v>
      </c>
      <c r="D254" s="36">
        <f t="shared" si="6"/>
        <v>69.140297822400584</v>
      </c>
    </row>
    <row r="255" spans="1:4" ht="19.5">
      <c r="A255" s="35">
        <f t="shared" si="7"/>
        <v>253</v>
      </c>
      <c r="B255" s="35">
        <v>2530</v>
      </c>
      <c r="C255" s="35">
        <v>6845.8194518600576</v>
      </c>
      <c r="D255" s="36">
        <f t="shared" si="6"/>
        <v>68.458194518600578</v>
      </c>
    </row>
    <row r="256" spans="1:4" ht="19.5">
      <c r="A256" s="35">
        <f t="shared" si="7"/>
        <v>254</v>
      </c>
      <c r="B256" s="35">
        <v>2540</v>
      </c>
      <c r="C256" s="35">
        <v>6777.6091214800572</v>
      </c>
      <c r="D256" s="36">
        <f t="shared" si="6"/>
        <v>67.776091214800573</v>
      </c>
    </row>
    <row r="257" spans="1:4" ht="19.5">
      <c r="A257" s="35">
        <f t="shared" si="7"/>
        <v>255</v>
      </c>
      <c r="B257" s="35">
        <v>2550</v>
      </c>
      <c r="C257" s="35">
        <v>6709.3987911000568</v>
      </c>
      <c r="D257" s="36">
        <f t="shared" si="6"/>
        <v>67.093987911000568</v>
      </c>
    </row>
    <row r="258" spans="1:4" ht="19.5">
      <c r="A258" s="35">
        <f t="shared" si="7"/>
        <v>256</v>
      </c>
      <c r="B258" s="35">
        <v>2560</v>
      </c>
      <c r="C258" s="35">
        <v>6641.1884607200564</v>
      </c>
      <c r="D258" s="36">
        <f t="shared" si="6"/>
        <v>66.411884607200562</v>
      </c>
    </row>
    <row r="259" spans="1:4" ht="19.5">
      <c r="A259" s="35">
        <f t="shared" si="7"/>
        <v>257</v>
      </c>
      <c r="B259" s="35">
        <v>2570</v>
      </c>
      <c r="C259" s="35">
        <v>6572.9781303400559</v>
      </c>
      <c r="D259" s="36">
        <f t="shared" ref="D259:D322" si="8">C259/100</f>
        <v>65.729781303400557</v>
      </c>
    </row>
    <row r="260" spans="1:4" ht="19.5">
      <c r="A260" s="35">
        <f t="shared" ref="A260:A323" si="9">B260/10</f>
        <v>258</v>
      </c>
      <c r="B260" s="35">
        <v>2580</v>
      </c>
      <c r="C260" s="35">
        <v>6504.7677999600555</v>
      </c>
      <c r="D260" s="36">
        <f t="shared" si="8"/>
        <v>65.047677999600552</v>
      </c>
    </row>
    <row r="261" spans="1:4" ht="19.5">
      <c r="A261" s="35">
        <f t="shared" si="9"/>
        <v>259</v>
      </c>
      <c r="B261" s="35">
        <v>2590</v>
      </c>
      <c r="C261" s="35">
        <v>6436.5574695800551</v>
      </c>
      <c r="D261" s="36">
        <f t="shared" si="8"/>
        <v>64.365574695800547</v>
      </c>
    </row>
    <row r="262" spans="1:4" ht="19.5">
      <c r="A262" s="35">
        <f t="shared" si="9"/>
        <v>260</v>
      </c>
      <c r="B262" s="35">
        <v>2600</v>
      </c>
      <c r="C262" s="35">
        <v>6368.3471392000547</v>
      </c>
      <c r="D262" s="36">
        <f t="shared" si="8"/>
        <v>63.683471392000548</v>
      </c>
    </row>
    <row r="263" spans="1:4" ht="19.5">
      <c r="A263" s="35">
        <f t="shared" si="9"/>
        <v>261</v>
      </c>
      <c r="B263" s="35">
        <v>2610</v>
      </c>
      <c r="C263" s="35">
        <v>6300.1368088200543</v>
      </c>
      <c r="D263" s="36">
        <f t="shared" si="8"/>
        <v>63.001368088200543</v>
      </c>
    </row>
    <row r="264" spans="1:4" ht="19.5">
      <c r="A264" s="35">
        <f t="shared" si="9"/>
        <v>262</v>
      </c>
      <c r="B264" s="35">
        <v>2620</v>
      </c>
      <c r="C264" s="35">
        <v>6231.9264784400539</v>
      </c>
      <c r="D264" s="36">
        <f t="shared" si="8"/>
        <v>62.319264784400538</v>
      </c>
    </row>
    <row r="265" spans="1:4" ht="19.5">
      <c r="A265" s="35">
        <f t="shared" si="9"/>
        <v>263</v>
      </c>
      <c r="B265" s="35">
        <v>2630</v>
      </c>
      <c r="C265" s="35">
        <v>6163.7161480600535</v>
      </c>
      <c r="D265" s="36">
        <f t="shared" si="8"/>
        <v>61.637161480600533</v>
      </c>
    </row>
    <row r="266" spans="1:4" ht="19.5">
      <c r="A266" s="35">
        <f t="shared" si="9"/>
        <v>264</v>
      </c>
      <c r="B266" s="35">
        <v>2640</v>
      </c>
      <c r="C266" s="35">
        <v>6095.505817680053</v>
      </c>
      <c r="D266" s="36">
        <f t="shared" si="8"/>
        <v>60.955058176800527</v>
      </c>
    </row>
    <row r="267" spans="1:4" ht="19.5">
      <c r="A267" s="35">
        <f t="shared" si="9"/>
        <v>265</v>
      </c>
      <c r="B267" s="35">
        <v>2650</v>
      </c>
      <c r="C267" s="35">
        <v>6027.2954873000526</v>
      </c>
      <c r="D267" s="36">
        <f t="shared" si="8"/>
        <v>60.272954873000529</v>
      </c>
    </row>
    <row r="268" spans="1:4" ht="19.5">
      <c r="A268" s="35">
        <f t="shared" si="9"/>
        <v>266</v>
      </c>
      <c r="B268" s="35">
        <v>2660</v>
      </c>
      <c r="C268" s="35">
        <v>5959.0851569200522</v>
      </c>
      <c r="D268" s="36">
        <f t="shared" si="8"/>
        <v>59.590851569200524</v>
      </c>
    </row>
    <row r="269" spans="1:4" ht="19.5">
      <c r="A269" s="35">
        <f t="shared" si="9"/>
        <v>267</v>
      </c>
      <c r="B269" s="35">
        <v>2670</v>
      </c>
      <c r="C269" s="35">
        <v>5890.8748265400518</v>
      </c>
      <c r="D269" s="36">
        <f t="shared" si="8"/>
        <v>58.908748265400519</v>
      </c>
    </row>
    <row r="270" spans="1:4" ht="19.5">
      <c r="A270" s="35">
        <f t="shared" si="9"/>
        <v>268</v>
      </c>
      <c r="B270" s="35">
        <v>2680</v>
      </c>
      <c r="C270" s="35">
        <v>5822.6644961600514</v>
      </c>
      <c r="D270" s="36">
        <f t="shared" si="8"/>
        <v>58.226644961600513</v>
      </c>
    </row>
    <row r="271" spans="1:4" ht="19.5">
      <c r="A271" s="35">
        <f t="shared" si="9"/>
        <v>269</v>
      </c>
      <c r="B271" s="35">
        <v>2690</v>
      </c>
      <c r="C271" s="35">
        <v>5754.454165780051</v>
      </c>
      <c r="D271" s="36">
        <f t="shared" si="8"/>
        <v>57.544541657800508</v>
      </c>
    </row>
    <row r="272" spans="1:4" ht="19.5">
      <c r="A272" s="35">
        <f t="shared" si="9"/>
        <v>270</v>
      </c>
      <c r="B272" s="35">
        <v>2700</v>
      </c>
      <c r="C272" s="35">
        <v>5686.2438354000506</v>
      </c>
      <c r="D272" s="36">
        <f t="shared" si="8"/>
        <v>56.862438354000503</v>
      </c>
    </row>
    <row r="273" spans="1:4" ht="19.5">
      <c r="A273" s="35">
        <f t="shared" si="9"/>
        <v>271</v>
      </c>
      <c r="B273" s="35">
        <v>2710</v>
      </c>
      <c r="C273" s="35">
        <v>5618.0194518600456</v>
      </c>
      <c r="D273" s="36">
        <f t="shared" si="8"/>
        <v>56.180194518600459</v>
      </c>
    </row>
    <row r="274" spans="1:4" ht="19.5">
      <c r="A274" s="35">
        <f t="shared" si="9"/>
        <v>272</v>
      </c>
      <c r="B274" s="35">
        <v>2720</v>
      </c>
      <c r="C274" s="35">
        <v>5549.7950683200406</v>
      </c>
      <c r="D274" s="36">
        <f t="shared" si="8"/>
        <v>55.497950683200408</v>
      </c>
    </row>
    <row r="275" spans="1:4" ht="19.5">
      <c r="A275" s="35">
        <f t="shared" si="9"/>
        <v>273</v>
      </c>
      <c r="B275" s="35">
        <v>2730</v>
      </c>
      <c r="C275" s="35">
        <v>5481.5706847800357</v>
      </c>
      <c r="D275" s="36">
        <f t="shared" si="8"/>
        <v>54.815706847800357</v>
      </c>
    </row>
    <row r="276" spans="1:4" ht="19.5">
      <c r="A276" s="35">
        <f t="shared" si="9"/>
        <v>274</v>
      </c>
      <c r="B276" s="35">
        <v>2740</v>
      </c>
      <c r="C276" s="35">
        <v>5413.3463012400307</v>
      </c>
      <c r="D276" s="36">
        <f t="shared" si="8"/>
        <v>54.133463012400306</v>
      </c>
    </row>
    <row r="277" spans="1:4" ht="19.5">
      <c r="A277" s="35">
        <f t="shared" si="9"/>
        <v>275</v>
      </c>
      <c r="B277" s="35">
        <v>2750</v>
      </c>
      <c r="C277" s="35">
        <v>5345.1219177000257</v>
      </c>
      <c r="D277" s="36">
        <f t="shared" si="8"/>
        <v>53.451219177000254</v>
      </c>
    </row>
    <row r="278" spans="1:4" ht="19.5">
      <c r="A278" s="35">
        <f t="shared" si="9"/>
        <v>276</v>
      </c>
      <c r="B278" s="35">
        <v>2760</v>
      </c>
      <c r="C278" s="35">
        <v>5276.8975341600208</v>
      </c>
      <c r="D278" s="36">
        <f t="shared" si="8"/>
        <v>52.768975341600211</v>
      </c>
    </row>
    <row r="279" spans="1:4" ht="19.5">
      <c r="A279" s="35">
        <f t="shared" si="9"/>
        <v>277</v>
      </c>
      <c r="B279" s="35">
        <v>2770</v>
      </c>
      <c r="C279" s="35">
        <v>5208.6731506200158</v>
      </c>
      <c r="D279" s="36">
        <f t="shared" si="8"/>
        <v>52.086731506200159</v>
      </c>
    </row>
    <row r="280" spans="1:4" ht="19.5">
      <c r="A280" s="35">
        <f t="shared" si="9"/>
        <v>278</v>
      </c>
      <c r="B280" s="35">
        <v>2780</v>
      </c>
      <c r="C280" s="35">
        <v>5140.4487670800108</v>
      </c>
      <c r="D280" s="36">
        <f t="shared" si="8"/>
        <v>51.404487670800108</v>
      </c>
    </row>
    <row r="281" spans="1:4" ht="19.5">
      <c r="A281" s="35">
        <f t="shared" si="9"/>
        <v>279</v>
      </c>
      <c r="B281" s="35">
        <v>2790</v>
      </c>
      <c r="C281" s="35">
        <v>5072.2243835400059</v>
      </c>
      <c r="D281" s="36">
        <f t="shared" si="8"/>
        <v>50.722243835400057</v>
      </c>
    </row>
    <row r="282" spans="1:4" ht="19.5">
      <c r="A282" s="35">
        <f t="shared" si="9"/>
        <v>280</v>
      </c>
      <c r="B282" s="35">
        <v>2800</v>
      </c>
      <c r="C282" s="35">
        <v>5004</v>
      </c>
      <c r="D282" s="36">
        <f t="shared" si="8"/>
        <v>50.04</v>
      </c>
    </row>
    <row r="283" spans="1:4" ht="19.5">
      <c r="A283" s="35">
        <f t="shared" si="9"/>
        <v>281</v>
      </c>
      <c r="B283" s="35">
        <v>2810</v>
      </c>
      <c r="C283" s="35">
        <v>4936.7</v>
      </c>
      <c r="D283" s="36">
        <f t="shared" si="8"/>
        <v>49.366999999999997</v>
      </c>
    </row>
    <row r="284" spans="1:4" ht="19.5">
      <c r="A284" s="35">
        <f t="shared" si="9"/>
        <v>282</v>
      </c>
      <c r="B284" s="35">
        <v>2820</v>
      </c>
      <c r="C284" s="35">
        <v>4869.3999999999996</v>
      </c>
      <c r="D284" s="36">
        <f t="shared" si="8"/>
        <v>48.693999999999996</v>
      </c>
    </row>
    <row r="285" spans="1:4" ht="19.5">
      <c r="A285" s="35">
        <f t="shared" si="9"/>
        <v>283</v>
      </c>
      <c r="B285" s="35">
        <v>2830</v>
      </c>
      <c r="C285" s="35">
        <v>4802.0999999999995</v>
      </c>
      <c r="D285" s="36">
        <f t="shared" si="8"/>
        <v>48.020999999999994</v>
      </c>
    </row>
    <row r="286" spans="1:4" ht="19.5">
      <c r="A286" s="35">
        <f t="shared" si="9"/>
        <v>284</v>
      </c>
      <c r="B286" s="35">
        <v>2840</v>
      </c>
      <c r="C286" s="35">
        <v>4734.7999999999993</v>
      </c>
      <c r="D286" s="36">
        <f t="shared" si="8"/>
        <v>47.347999999999992</v>
      </c>
    </row>
    <row r="287" spans="1:4" ht="19.5">
      <c r="A287" s="35">
        <f t="shared" si="9"/>
        <v>285</v>
      </c>
      <c r="B287" s="35">
        <v>2850</v>
      </c>
      <c r="C287" s="35">
        <v>4667.4999999999991</v>
      </c>
      <c r="D287" s="36">
        <f t="shared" si="8"/>
        <v>46.67499999999999</v>
      </c>
    </row>
    <row r="288" spans="1:4" ht="19.5">
      <c r="A288" s="35">
        <f t="shared" si="9"/>
        <v>286</v>
      </c>
      <c r="B288" s="35">
        <v>2860</v>
      </c>
      <c r="C288" s="35">
        <v>4600.1999999999989</v>
      </c>
      <c r="D288" s="36">
        <f t="shared" si="8"/>
        <v>46.001999999999988</v>
      </c>
    </row>
    <row r="289" spans="1:4" ht="19.5">
      <c r="A289" s="35">
        <f t="shared" si="9"/>
        <v>287</v>
      </c>
      <c r="B289" s="35">
        <v>2870</v>
      </c>
      <c r="C289" s="35">
        <v>4532.8999999999987</v>
      </c>
      <c r="D289" s="36">
        <f t="shared" si="8"/>
        <v>45.328999999999986</v>
      </c>
    </row>
    <row r="290" spans="1:4" ht="19.5">
      <c r="A290" s="35">
        <f t="shared" si="9"/>
        <v>288</v>
      </c>
      <c r="B290" s="35">
        <v>2880</v>
      </c>
      <c r="C290" s="35">
        <v>4465.5999999999985</v>
      </c>
      <c r="D290" s="36">
        <f t="shared" si="8"/>
        <v>44.655999999999985</v>
      </c>
    </row>
    <row r="291" spans="1:4" ht="19.5">
      <c r="A291" s="35">
        <f t="shared" si="9"/>
        <v>289</v>
      </c>
      <c r="B291" s="35">
        <v>2890</v>
      </c>
      <c r="C291" s="35">
        <v>4398.2999999999984</v>
      </c>
      <c r="D291" s="36">
        <f t="shared" si="8"/>
        <v>43.982999999999983</v>
      </c>
    </row>
    <row r="292" spans="1:4" ht="19.5">
      <c r="A292" s="35">
        <f t="shared" si="9"/>
        <v>290</v>
      </c>
      <c r="B292" s="35">
        <v>2900</v>
      </c>
      <c r="C292" s="35">
        <v>4331</v>
      </c>
      <c r="D292" s="36">
        <f t="shared" si="8"/>
        <v>43.31</v>
      </c>
    </row>
    <row r="293" spans="1:4" ht="19.5">
      <c r="A293" s="35">
        <f t="shared" si="9"/>
        <v>291</v>
      </c>
      <c r="B293" s="35">
        <v>2910</v>
      </c>
      <c r="C293" s="35">
        <v>4266</v>
      </c>
      <c r="D293" s="36">
        <f t="shared" si="8"/>
        <v>42.66</v>
      </c>
    </row>
    <row r="294" spans="1:4" ht="19.5">
      <c r="A294" s="35">
        <f t="shared" si="9"/>
        <v>292</v>
      </c>
      <c r="B294" s="35">
        <v>2920</v>
      </c>
      <c r="C294" s="35">
        <v>4201</v>
      </c>
      <c r="D294" s="36">
        <f t="shared" si="8"/>
        <v>42.01</v>
      </c>
    </row>
    <row r="295" spans="1:4" ht="19.5">
      <c r="A295" s="35">
        <f t="shared" si="9"/>
        <v>293</v>
      </c>
      <c r="B295" s="35">
        <v>2930</v>
      </c>
      <c r="C295" s="35">
        <v>4136</v>
      </c>
      <c r="D295" s="36">
        <f t="shared" si="8"/>
        <v>41.36</v>
      </c>
    </row>
    <row r="296" spans="1:4" ht="19.5">
      <c r="A296" s="35">
        <f t="shared" si="9"/>
        <v>294</v>
      </c>
      <c r="B296" s="35">
        <v>2940</v>
      </c>
      <c r="C296" s="35">
        <v>4071</v>
      </c>
      <c r="D296" s="36">
        <f t="shared" si="8"/>
        <v>40.71</v>
      </c>
    </row>
    <row r="297" spans="1:4" ht="19.5">
      <c r="A297" s="35">
        <f t="shared" si="9"/>
        <v>295</v>
      </c>
      <c r="B297" s="35">
        <v>2950</v>
      </c>
      <c r="C297" s="35">
        <v>4006</v>
      </c>
      <c r="D297" s="36">
        <f t="shared" si="8"/>
        <v>40.06</v>
      </c>
    </row>
    <row r="298" spans="1:4" ht="19.5">
      <c r="A298" s="35">
        <f t="shared" si="9"/>
        <v>296</v>
      </c>
      <c r="B298" s="35">
        <v>2960</v>
      </c>
      <c r="C298" s="35">
        <v>3941</v>
      </c>
      <c r="D298" s="36">
        <f t="shared" si="8"/>
        <v>39.409999999999997</v>
      </c>
    </row>
    <row r="299" spans="1:4" ht="19.5">
      <c r="A299" s="35">
        <f t="shared" si="9"/>
        <v>297</v>
      </c>
      <c r="B299" s="35">
        <v>2970</v>
      </c>
      <c r="C299" s="35">
        <v>3876</v>
      </c>
      <c r="D299" s="36">
        <f t="shared" si="8"/>
        <v>38.76</v>
      </c>
    </row>
    <row r="300" spans="1:4" ht="19.5">
      <c r="A300" s="35">
        <f t="shared" si="9"/>
        <v>298</v>
      </c>
      <c r="B300" s="35">
        <v>2980</v>
      </c>
      <c r="C300" s="35">
        <v>3811</v>
      </c>
      <c r="D300" s="36">
        <f t="shared" si="8"/>
        <v>38.11</v>
      </c>
    </row>
    <row r="301" spans="1:4" ht="19.5">
      <c r="A301" s="35">
        <f t="shared" si="9"/>
        <v>299</v>
      </c>
      <c r="B301" s="35">
        <v>2990</v>
      </c>
      <c r="C301" s="35">
        <v>3746</v>
      </c>
      <c r="D301" s="36">
        <f t="shared" si="8"/>
        <v>37.46</v>
      </c>
    </row>
    <row r="302" spans="1:4" ht="19.5">
      <c r="A302" s="35">
        <f t="shared" si="9"/>
        <v>300</v>
      </c>
      <c r="B302" s="35">
        <v>3000</v>
      </c>
      <c r="C302" s="35">
        <v>3681</v>
      </c>
      <c r="D302" s="36">
        <f t="shared" si="8"/>
        <v>36.81</v>
      </c>
    </row>
    <row r="303" spans="1:4" ht="19.5">
      <c r="A303" s="35">
        <f t="shared" si="9"/>
        <v>301</v>
      </c>
      <c r="B303" s="35">
        <v>3010</v>
      </c>
      <c r="C303" s="35">
        <v>3620.7</v>
      </c>
      <c r="D303" s="36">
        <f t="shared" si="8"/>
        <v>36.207000000000001</v>
      </c>
    </row>
    <row r="304" spans="1:4" ht="19.5">
      <c r="A304" s="35">
        <f t="shared" si="9"/>
        <v>302</v>
      </c>
      <c r="B304" s="35">
        <v>3020</v>
      </c>
      <c r="C304" s="35">
        <v>3560.3999999999996</v>
      </c>
      <c r="D304" s="36">
        <f t="shared" si="8"/>
        <v>35.603999999999999</v>
      </c>
    </row>
    <row r="305" spans="1:4" ht="19.5">
      <c r="A305" s="35">
        <f t="shared" si="9"/>
        <v>303</v>
      </c>
      <c r="B305" s="35">
        <v>3030</v>
      </c>
      <c r="C305" s="35">
        <v>3500.0999999999995</v>
      </c>
      <c r="D305" s="36">
        <f t="shared" si="8"/>
        <v>35.000999999999998</v>
      </c>
    </row>
    <row r="306" spans="1:4" ht="19.5">
      <c r="A306" s="35">
        <f t="shared" si="9"/>
        <v>304</v>
      </c>
      <c r="B306" s="35">
        <v>3040</v>
      </c>
      <c r="C306" s="35">
        <v>3439.7999999999993</v>
      </c>
      <c r="D306" s="36">
        <f t="shared" si="8"/>
        <v>34.397999999999996</v>
      </c>
    </row>
    <row r="307" spans="1:4" ht="19.5">
      <c r="A307" s="35">
        <f t="shared" si="9"/>
        <v>305</v>
      </c>
      <c r="B307" s="35">
        <v>3050</v>
      </c>
      <c r="C307" s="35">
        <v>3379.4999999999991</v>
      </c>
      <c r="D307" s="36">
        <f t="shared" si="8"/>
        <v>33.794999999999987</v>
      </c>
    </row>
    <row r="308" spans="1:4" ht="19.5">
      <c r="A308" s="35">
        <f t="shared" si="9"/>
        <v>306</v>
      </c>
      <c r="B308" s="35">
        <v>3060</v>
      </c>
      <c r="C308" s="35">
        <v>3319.1999999999989</v>
      </c>
      <c r="D308" s="36">
        <f t="shared" si="8"/>
        <v>33.191999999999986</v>
      </c>
    </row>
    <row r="309" spans="1:4" ht="19.5">
      <c r="A309" s="35">
        <f t="shared" si="9"/>
        <v>307</v>
      </c>
      <c r="B309" s="35">
        <v>3070</v>
      </c>
      <c r="C309" s="35">
        <v>3258.8999999999987</v>
      </c>
      <c r="D309" s="36">
        <f t="shared" si="8"/>
        <v>32.588999999999984</v>
      </c>
    </row>
    <row r="310" spans="1:4" ht="19.5">
      <c r="A310" s="35">
        <f t="shared" si="9"/>
        <v>308</v>
      </c>
      <c r="B310" s="35">
        <v>3080</v>
      </c>
      <c r="C310" s="35">
        <v>3198.5999999999985</v>
      </c>
      <c r="D310" s="36">
        <f t="shared" si="8"/>
        <v>31.985999999999986</v>
      </c>
    </row>
    <row r="311" spans="1:4" ht="19.5">
      <c r="A311" s="35">
        <f t="shared" si="9"/>
        <v>309</v>
      </c>
      <c r="B311" s="35">
        <v>3090</v>
      </c>
      <c r="C311" s="35">
        <v>3138.2999999999984</v>
      </c>
      <c r="D311" s="36">
        <f t="shared" si="8"/>
        <v>31.382999999999985</v>
      </c>
    </row>
    <row r="312" spans="1:4" ht="19.5">
      <c r="A312" s="35">
        <f t="shared" si="9"/>
        <v>310</v>
      </c>
      <c r="B312" s="35">
        <v>3100</v>
      </c>
      <c r="C312" s="35">
        <v>3078</v>
      </c>
      <c r="D312" s="36">
        <f t="shared" si="8"/>
        <v>30.78</v>
      </c>
    </row>
    <row r="313" spans="1:4" ht="19.5">
      <c r="A313" s="35">
        <f t="shared" si="9"/>
        <v>311</v>
      </c>
      <c r="B313" s="35">
        <v>3110</v>
      </c>
      <c r="C313" s="35">
        <v>3023.6</v>
      </c>
      <c r="D313" s="36">
        <f t="shared" si="8"/>
        <v>30.236000000000001</v>
      </c>
    </row>
    <row r="314" spans="1:4" ht="19.5">
      <c r="A314" s="35">
        <f t="shared" si="9"/>
        <v>312</v>
      </c>
      <c r="B314" s="35">
        <v>3120</v>
      </c>
      <c r="C314" s="35">
        <v>2969.2</v>
      </c>
      <c r="D314" s="36">
        <f t="shared" si="8"/>
        <v>29.691999999999997</v>
      </c>
    </row>
    <row r="315" spans="1:4" ht="19.5">
      <c r="A315" s="35">
        <f t="shared" si="9"/>
        <v>313</v>
      </c>
      <c r="B315" s="35">
        <v>3130</v>
      </c>
      <c r="C315" s="35">
        <v>2914.7999999999997</v>
      </c>
      <c r="D315" s="36">
        <f t="shared" si="8"/>
        <v>29.147999999999996</v>
      </c>
    </row>
    <row r="316" spans="1:4" ht="19.5">
      <c r="A316" s="35">
        <f t="shared" si="9"/>
        <v>314</v>
      </c>
      <c r="B316" s="35">
        <v>3140</v>
      </c>
      <c r="C316" s="35">
        <v>2860.3999999999996</v>
      </c>
      <c r="D316" s="36">
        <f t="shared" si="8"/>
        <v>28.603999999999996</v>
      </c>
    </row>
    <row r="317" spans="1:4" ht="19.5">
      <c r="A317" s="35">
        <f t="shared" si="9"/>
        <v>315</v>
      </c>
      <c r="B317" s="35">
        <v>3150</v>
      </c>
      <c r="C317" s="35">
        <v>2805.9999999999995</v>
      </c>
      <c r="D317" s="36">
        <f t="shared" si="8"/>
        <v>28.059999999999995</v>
      </c>
    </row>
    <row r="318" spans="1:4" ht="19.5">
      <c r="A318" s="35">
        <f t="shared" si="9"/>
        <v>316</v>
      </c>
      <c r="B318" s="35">
        <v>3160</v>
      </c>
      <c r="C318" s="35">
        <v>2751.5999999999995</v>
      </c>
      <c r="D318" s="36">
        <f t="shared" si="8"/>
        <v>27.515999999999995</v>
      </c>
    </row>
    <row r="319" spans="1:4" ht="19.5">
      <c r="A319" s="35">
        <f t="shared" si="9"/>
        <v>317</v>
      </c>
      <c r="B319" s="35">
        <v>3170</v>
      </c>
      <c r="C319" s="35">
        <v>2697.1999999999994</v>
      </c>
      <c r="D319" s="36">
        <f t="shared" si="8"/>
        <v>26.971999999999994</v>
      </c>
    </row>
    <row r="320" spans="1:4" ht="19.5">
      <c r="A320" s="35">
        <f t="shared" si="9"/>
        <v>318</v>
      </c>
      <c r="B320" s="35">
        <v>3180</v>
      </c>
      <c r="C320" s="35">
        <v>2642.7999999999993</v>
      </c>
      <c r="D320" s="36">
        <f t="shared" si="8"/>
        <v>26.427999999999994</v>
      </c>
    </row>
    <row r="321" spans="1:4" ht="19.5">
      <c r="A321" s="35">
        <f t="shared" si="9"/>
        <v>319</v>
      </c>
      <c r="B321" s="35">
        <v>3190</v>
      </c>
      <c r="C321" s="35">
        <v>2588.3999999999992</v>
      </c>
      <c r="D321" s="36">
        <f t="shared" si="8"/>
        <v>25.883999999999993</v>
      </c>
    </row>
    <row r="322" spans="1:4" ht="19.5">
      <c r="A322" s="35">
        <f t="shared" si="9"/>
        <v>320</v>
      </c>
      <c r="B322" s="35">
        <v>3200</v>
      </c>
      <c r="C322" s="35">
        <v>2534</v>
      </c>
      <c r="D322" s="36">
        <f t="shared" si="8"/>
        <v>25.34</v>
      </c>
    </row>
    <row r="323" spans="1:4" ht="19.5">
      <c r="A323" s="35">
        <f t="shared" si="9"/>
        <v>321</v>
      </c>
      <c r="B323" s="35">
        <v>3210</v>
      </c>
      <c r="C323" s="35">
        <v>2485.6999999999998</v>
      </c>
      <c r="D323" s="36">
        <f t="shared" ref="D323:D386" si="10">C323/100</f>
        <v>24.856999999999999</v>
      </c>
    </row>
    <row r="324" spans="1:4" ht="19.5">
      <c r="A324" s="35">
        <f t="shared" ref="A324:A387" si="11">B324/10</f>
        <v>322</v>
      </c>
      <c r="B324" s="35">
        <v>3220</v>
      </c>
      <c r="C324" s="35">
        <v>2437.3999999999996</v>
      </c>
      <c r="D324" s="36">
        <f t="shared" si="10"/>
        <v>24.373999999999995</v>
      </c>
    </row>
    <row r="325" spans="1:4" ht="19.5">
      <c r="A325" s="35">
        <f t="shared" si="11"/>
        <v>323</v>
      </c>
      <c r="B325" s="35">
        <v>3230</v>
      </c>
      <c r="C325" s="35">
        <v>2389.0999999999995</v>
      </c>
      <c r="D325" s="36">
        <f t="shared" si="10"/>
        <v>23.890999999999995</v>
      </c>
    </row>
    <row r="326" spans="1:4" ht="19.5">
      <c r="A326" s="35">
        <f t="shared" si="11"/>
        <v>324</v>
      </c>
      <c r="B326" s="35">
        <v>3240</v>
      </c>
      <c r="C326" s="35">
        <v>2340.7999999999993</v>
      </c>
      <c r="D326" s="36">
        <f t="shared" si="10"/>
        <v>23.407999999999994</v>
      </c>
    </row>
    <row r="327" spans="1:4" ht="19.5">
      <c r="A327" s="35">
        <f t="shared" si="11"/>
        <v>325</v>
      </c>
      <c r="B327" s="35">
        <v>3250</v>
      </c>
      <c r="C327" s="35">
        <v>2292.4999999999991</v>
      </c>
      <c r="D327" s="36">
        <f t="shared" si="10"/>
        <v>22.92499999999999</v>
      </c>
    </row>
    <row r="328" spans="1:4" ht="19.5">
      <c r="A328" s="35">
        <f t="shared" si="11"/>
        <v>326</v>
      </c>
      <c r="B328" s="35">
        <v>3260</v>
      </c>
      <c r="C328" s="35">
        <v>2244.1999999999989</v>
      </c>
      <c r="D328" s="36">
        <f t="shared" si="10"/>
        <v>22.44199999999999</v>
      </c>
    </row>
    <row r="329" spans="1:4" ht="19.5">
      <c r="A329" s="35">
        <f t="shared" si="11"/>
        <v>327</v>
      </c>
      <c r="B329" s="35">
        <v>3270</v>
      </c>
      <c r="C329" s="35">
        <v>2195.8999999999987</v>
      </c>
      <c r="D329" s="36">
        <f t="shared" si="10"/>
        <v>21.958999999999989</v>
      </c>
    </row>
    <row r="330" spans="1:4" ht="19.5">
      <c r="A330" s="35">
        <f t="shared" si="11"/>
        <v>328</v>
      </c>
      <c r="B330" s="35">
        <v>3280</v>
      </c>
      <c r="C330" s="35">
        <v>2147.5999999999985</v>
      </c>
      <c r="D330" s="36">
        <f t="shared" si="10"/>
        <v>21.475999999999985</v>
      </c>
    </row>
    <row r="331" spans="1:4" ht="19.5">
      <c r="A331" s="35">
        <f t="shared" si="11"/>
        <v>329</v>
      </c>
      <c r="B331" s="35">
        <v>3290</v>
      </c>
      <c r="C331" s="35">
        <v>2099.2999999999984</v>
      </c>
      <c r="D331" s="36">
        <f t="shared" si="10"/>
        <v>20.992999999999984</v>
      </c>
    </row>
    <row r="332" spans="1:4" ht="19.5">
      <c r="A332" s="35">
        <f t="shared" si="11"/>
        <v>330</v>
      </c>
      <c r="B332" s="35">
        <v>3300</v>
      </c>
      <c r="C332" s="35">
        <v>2051</v>
      </c>
      <c r="D332" s="36">
        <f t="shared" si="10"/>
        <v>20.51</v>
      </c>
    </row>
    <row r="333" spans="1:4" ht="19.5">
      <c r="A333" s="35">
        <f t="shared" si="11"/>
        <v>331</v>
      </c>
      <c r="B333" s="35">
        <v>3310</v>
      </c>
      <c r="C333" s="35">
        <v>2008.5</v>
      </c>
      <c r="D333" s="36">
        <f t="shared" si="10"/>
        <v>20.085000000000001</v>
      </c>
    </row>
    <row r="334" spans="1:4" ht="19.5">
      <c r="A334" s="35">
        <f t="shared" si="11"/>
        <v>332</v>
      </c>
      <c r="B334" s="35">
        <v>3320</v>
      </c>
      <c r="C334" s="35">
        <v>1966</v>
      </c>
      <c r="D334" s="36">
        <f t="shared" si="10"/>
        <v>19.66</v>
      </c>
    </row>
    <row r="335" spans="1:4" ht="19.5">
      <c r="A335" s="35">
        <f t="shared" si="11"/>
        <v>333</v>
      </c>
      <c r="B335" s="35">
        <v>3330</v>
      </c>
      <c r="C335" s="35">
        <v>1923.5</v>
      </c>
      <c r="D335" s="36">
        <f t="shared" si="10"/>
        <v>19.234999999999999</v>
      </c>
    </row>
    <row r="336" spans="1:4" ht="19.5">
      <c r="A336" s="35">
        <f t="shared" si="11"/>
        <v>334</v>
      </c>
      <c r="B336" s="35">
        <v>3340</v>
      </c>
      <c r="C336" s="35">
        <v>1881</v>
      </c>
      <c r="D336" s="36">
        <f t="shared" si="10"/>
        <v>18.809999999999999</v>
      </c>
    </row>
    <row r="337" spans="1:4" ht="19.5">
      <c r="A337" s="35">
        <f t="shared" si="11"/>
        <v>335</v>
      </c>
      <c r="B337" s="35">
        <v>3350</v>
      </c>
      <c r="C337" s="35">
        <v>1838.5</v>
      </c>
      <c r="D337" s="36">
        <f t="shared" si="10"/>
        <v>18.385000000000002</v>
      </c>
    </row>
    <row r="338" spans="1:4" ht="19.5">
      <c r="A338" s="35">
        <f t="shared" si="11"/>
        <v>336</v>
      </c>
      <c r="B338" s="35">
        <v>3360</v>
      </c>
      <c r="C338" s="35">
        <v>1796</v>
      </c>
      <c r="D338" s="36">
        <f t="shared" si="10"/>
        <v>17.96</v>
      </c>
    </row>
    <row r="339" spans="1:4" ht="19.5">
      <c r="A339" s="35">
        <f t="shared" si="11"/>
        <v>337</v>
      </c>
      <c r="B339" s="35">
        <v>3370</v>
      </c>
      <c r="C339" s="35">
        <v>1753.5</v>
      </c>
      <c r="D339" s="36">
        <f t="shared" si="10"/>
        <v>17.535</v>
      </c>
    </row>
    <row r="340" spans="1:4" ht="19.5">
      <c r="A340" s="35">
        <f t="shared" si="11"/>
        <v>338</v>
      </c>
      <c r="B340" s="35">
        <v>3380</v>
      </c>
      <c r="C340" s="35">
        <v>1711</v>
      </c>
      <c r="D340" s="36">
        <f t="shared" si="10"/>
        <v>17.11</v>
      </c>
    </row>
    <row r="341" spans="1:4" ht="19.5">
      <c r="A341" s="35">
        <f t="shared" si="11"/>
        <v>339</v>
      </c>
      <c r="B341" s="35">
        <v>3390</v>
      </c>
      <c r="C341" s="35">
        <v>1668.5</v>
      </c>
      <c r="D341" s="36">
        <f t="shared" si="10"/>
        <v>16.684999999999999</v>
      </c>
    </row>
    <row r="342" spans="1:4" ht="19.5">
      <c r="A342" s="35">
        <f t="shared" si="11"/>
        <v>340</v>
      </c>
      <c r="B342" s="35">
        <v>3400</v>
      </c>
      <c r="C342" s="35">
        <v>1626</v>
      </c>
      <c r="D342" s="36">
        <f t="shared" si="10"/>
        <v>16.260000000000002</v>
      </c>
    </row>
    <row r="343" spans="1:4" ht="19.5">
      <c r="A343" s="35">
        <f t="shared" si="11"/>
        <v>341</v>
      </c>
      <c r="B343" s="35">
        <v>3410</v>
      </c>
      <c r="C343" s="35">
        <v>1589.1</v>
      </c>
      <c r="D343" s="36">
        <f t="shared" si="10"/>
        <v>15.890999999999998</v>
      </c>
    </row>
    <row r="344" spans="1:4" ht="19.5">
      <c r="A344" s="35">
        <f t="shared" si="11"/>
        <v>342</v>
      </c>
      <c r="B344" s="35">
        <v>3420</v>
      </c>
      <c r="C344" s="35">
        <v>1552.1999999999998</v>
      </c>
      <c r="D344" s="36">
        <f t="shared" si="10"/>
        <v>15.521999999999998</v>
      </c>
    </row>
    <row r="345" spans="1:4" ht="19.5">
      <c r="A345" s="35">
        <f t="shared" si="11"/>
        <v>343</v>
      </c>
      <c r="B345" s="35">
        <v>3430</v>
      </c>
      <c r="C345" s="35">
        <v>1515.2999999999997</v>
      </c>
      <c r="D345" s="36">
        <f t="shared" si="10"/>
        <v>15.152999999999997</v>
      </c>
    </row>
    <row r="346" spans="1:4" ht="19.5">
      <c r="A346" s="35">
        <f t="shared" si="11"/>
        <v>344</v>
      </c>
      <c r="B346" s="35">
        <v>3440</v>
      </c>
      <c r="C346" s="35">
        <v>1478.3999999999996</v>
      </c>
      <c r="D346" s="36">
        <f t="shared" si="10"/>
        <v>14.783999999999997</v>
      </c>
    </row>
    <row r="347" spans="1:4" ht="19.5">
      <c r="A347" s="35">
        <f t="shared" si="11"/>
        <v>345</v>
      </c>
      <c r="B347" s="35">
        <v>3450</v>
      </c>
      <c r="C347" s="35">
        <v>1441.4999999999995</v>
      </c>
      <c r="D347" s="36">
        <f t="shared" si="10"/>
        <v>14.414999999999996</v>
      </c>
    </row>
    <row r="348" spans="1:4" ht="19.5">
      <c r="A348" s="35">
        <f t="shared" si="11"/>
        <v>346</v>
      </c>
      <c r="B348" s="35">
        <v>3460</v>
      </c>
      <c r="C348" s="35">
        <v>1404.5999999999995</v>
      </c>
      <c r="D348" s="36">
        <f t="shared" si="10"/>
        <v>14.045999999999994</v>
      </c>
    </row>
    <row r="349" spans="1:4" ht="19.5">
      <c r="A349" s="35">
        <f t="shared" si="11"/>
        <v>347</v>
      </c>
      <c r="B349" s="35">
        <v>3470</v>
      </c>
      <c r="C349" s="35">
        <v>1367.6999999999994</v>
      </c>
      <c r="D349" s="36">
        <f t="shared" si="10"/>
        <v>13.676999999999994</v>
      </c>
    </row>
    <row r="350" spans="1:4" ht="19.5">
      <c r="A350" s="35">
        <f t="shared" si="11"/>
        <v>348</v>
      </c>
      <c r="B350" s="35">
        <v>3480</v>
      </c>
      <c r="C350" s="35">
        <v>1330.7999999999993</v>
      </c>
      <c r="D350" s="36">
        <f t="shared" si="10"/>
        <v>13.307999999999993</v>
      </c>
    </row>
    <row r="351" spans="1:4" ht="19.5">
      <c r="A351" s="35">
        <f t="shared" si="11"/>
        <v>349</v>
      </c>
      <c r="B351" s="35">
        <v>3490</v>
      </c>
      <c r="C351" s="35">
        <v>1293.8999999999992</v>
      </c>
      <c r="D351" s="36">
        <f t="shared" si="10"/>
        <v>12.938999999999991</v>
      </c>
    </row>
    <row r="352" spans="1:4" ht="19.5">
      <c r="A352" s="35">
        <f t="shared" si="11"/>
        <v>350</v>
      </c>
      <c r="B352" s="35">
        <v>3500</v>
      </c>
      <c r="C352" s="35">
        <v>1257</v>
      </c>
      <c r="D352" s="36">
        <f t="shared" si="10"/>
        <v>12.57</v>
      </c>
    </row>
    <row r="353" spans="1:4" ht="19.5">
      <c r="A353" s="35">
        <f t="shared" si="11"/>
        <v>351</v>
      </c>
      <c r="B353" s="35">
        <v>3510</v>
      </c>
      <c r="C353" s="35">
        <v>1225.5999999999999</v>
      </c>
      <c r="D353" s="36">
        <f t="shared" si="10"/>
        <v>12.255999999999998</v>
      </c>
    </row>
    <row r="354" spans="1:4" ht="19.5">
      <c r="A354" s="35">
        <f t="shared" si="11"/>
        <v>352</v>
      </c>
      <c r="B354" s="35">
        <v>3520</v>
      </c>
      <c r="C354" s="35">
        <v>1194.1999999999998</v>
      </c>
      <c r="D354" s="36">
        <f t="shared" si="10"/>
        <v>11.941999999999998</v>
      </c>
    </row>
    <row r="355" spans="1:4" ht="19.5">
      <c r="A355" s="35">
        <f t="shared" si="11"/>
        <v>353</v>
      </c>
      <c r="B355" s="35">
        <v>3530</v>
      </c>
      <c r="C355" s="35">
        <v>1162.7999999999997</v>
      </c>
      <c r="D355" s="36">
        <f t="shared" si="10"/>
        <v>11.627999999999997</v>
      </c>
    </row>
    <row r="356" spans="1:4" ht="19.5">
      <c r="A356" s="35">
        <f t="shared" si="11"/>
        <v>354</v>
      </c>
      <c r="B356" s="35">
        <v>3540</v>
      </c>
      <c r="C356" s="35">
        <v>1131.3999999999996</v>
      </c>
      <c r="D356" s="36">
        <f t="shared" si="10"/>
        <v>11.313999999999997</v>
      </c>
    </row>
    <row r="357" spans="1:4" ht="19.5">
      <c r="A357" s="35">
        <f t="shared" si="11"/>
        <v>355</v>
      </c>
      <c r="B357" s="35">
        <v>3550</v>
      </c>
      <c r="C357" s="35">
        <v>1099.9999999999995</v>
      </c>
      <c r="D357" s="36">
        <f t="shared" si="10"/>
        <v>10.999999999999995</v>
      </c>
    </row>
    <row r="358" spans="1:4" ht="19.5">
      <c r="A358" s="35">
        <f t="shared" si="11"/>
        <v>356</v>
      </c>
      <c r="B358" s="35">
        <v>3560</v>
      </c>
      <c r="C358" s="35">
        <v>1068.5999999999995</v>
      </c>
      <c r="D358" s="36">
        <f t="shared" si="10"/>
        <v>10.685999999999995</v>
      </c>
    </row>
    <row r="359" spans="1:4" ht="19.5">
      <c r="A359" s="35">
        <f t="shared" si="11"/>
        <v>357</v>
      </c>
      <c r="B359" s="35">
        <v>3570</v>
      </c>
      <c r="C359" s="35">
        <v>1037.1999999999994</v>
      </c>
      <c r="D359" s="36">
        <f t="shared" si="10"/>
        <v>10.371999999999993</v>
      </c>
    </row>
    <row r="360" spans="1:4" ht="19.5">
      <c r="A360" s="35">
        <f t="shared" si="11"/>
        <v>358</v>
      </c>
      <c r="B360" s="35">
        <v>3580</v>
      </c>
      <c r="C360" s="35">
        <v>1005.7999999999994</v>
      </c>
      <c r="D360" s="36">
        <f t="shared" si="10"/>
        <v>10.057999999999995</v>
      </c>
    </row>
    <row r="361" spans="1:4" ht="19.5">
      <c r="A361" s="35">
        <f t="shared" si="11"/>
        <v>359</v>
      </c>
      <c r="B361" s="35">
        <v>3590</v>
      </c>
      <c r="C361" s="35">
        <v>974.39999999999941</v>
      </c>
      <c r="D361" s="36">
        <f t="shared" si="10"/>
        <v>9.7439999999999944</v>
      </c>
    </row>
    <row r="362" spans="1:4" ht="19.5">
      <c r="A362" s="35">
        <f t="shared" si="11"/>
        <v>360</v>
      </c>
      <c r="B362" s="35">
        <v>3600</v>
      </c>
      <c r="C362" s="35">
        <v>943</v>
      </c>
      <c r="D362" s="36">
        <f t="shared" si="10"/>
        <v>9.43</v>
      </c>
    </row>
    <row r="363" spans="1:4" ht="19.5">
      <c r="A363" s="35">
        <f t="shared" si="11"/>
        <v>361</v>
      </c>
      <c r="B363" s="35">
        <v>3610</v>
      </c>
      <c r="C363" s="35">
        <v>855.5</v>
      </c>
      <c r="D363" s="36">
        <f t="shared" si="10"/>
        <v>8.5549999999999997</v>
      </c>
    </row>
    <row r="364" spans="1:4" ht="19.5">
      <c r="A364" s="35">
        <f t="shared" si="11"/>
        <v>362</v>
      </c>
      <c r="B364" s="35">
        <v>3620</v>
      </c>
      <c r="C364" s="35">
        <v>768</v>
      </c>
      <c r="D364" s="36">
        <f t="shared" si="10"/>
        <v>7.68</v>
      </c>
    </row>
    <row r="365" spans="1:4" ht="19.5">
      <c r="A365" s="35">
        <f t="shared" si="11"/>
        <v>363</v>
      </c>
      <c r="B365" s="35">
        <v>3630</v>
      </c>
      <c r="C365" s="35">
        <v>680.5</v>
      </c>
      <c r="D365" s="36">
        <f t="shared" si="10"/>
        <v>6.8049999999999997</v>
      </c>
    </row>
    <row r="366" spans="1:4" ht="19.5">
      <c r="A366" s="35">
        <f t="shared" si="11"/>
        <v>364</v>
      </c>
      <c r="B366" s="35">
        <v>3640</v>
      </c>
      <c r="C366" s="35">
        <v>593</v>
      </c>
      <c r="D366" s="36">
        <f t="shared" si="10"/>
        <v>5.93</v>
      </c>
    </row>
    <row r="367" spans="1:4" ht="19.5">
      <c r="A367" s="35">
        <f t="shared" si="11"/>
        <v>365</v>
      </c>
      <c r="B367" s="35">
        <v>3650</v>
      </c>
      <c r="C367" s="35">
        <v>505.5</v>
      </c>
      <c r="D367" s="36">
        <f t="shared" si="10"/>
        <v>5.0549999999999997</v>
      </c>
    </row>
    <row r="368" spans="1:4" ht="19.5">
      <c r="A368" s="35">
        <f t="shared" si="11"/>
        <v>366</v>
      </c>
      <c r="B368" s="35">
        <v>3660</v>
      </c>
      <c r="C368" s="35">
        <v>418</v>
      </c>
      <c r="D368" s="36">
        <f t="shared" si="10"/>
        <v>4.18</v>
      </c>
    </row>
    <row r="369" spans="1:4" ht="19.5">
      <c r="A369" s="35">
        <f t="shared" si="11"/>
        <v>367</v>
      </c>
      <c r="B369" s="35">
        <v>3670</v>
      </c>
      <c r="C369" s="35">
        <v>330.5</v>
      </c>
      <c r="D369" s="36">
        <f t="shared" si="10"/>
        <v>3.3050000000000002</v>
      </c>
    </row>
    <row r="370" spans="1:4" ht="19.5">
      <c r="A370" s="35">
        <f t="shared" si="11"/>
        <v>368</v>
      </c>
      <c r="B370" s="35">
        <v>3680</v>
      </c>
      <c r="C370" s="35">
        <v>243</v>
      </c>
      <c r="D370" s="36">
        <f t="shared" si="10"/>
        <v>2.4300000000000002</v>
      </c>
    </row>
    <row r="371" spans="1:4" ht="19.5">
      <c r="A371" s="35">
        <f t="shared" si="11"/>
        <v>369</v>
      </c>
      <c r="B371" s="35">
        <v>3690</v>
      </c>
      <c r="C371" s="35">
        <v>155.5</v>
      </c>
      <c r="D371" s="36">
        <f t="shared" si="10"/>
        <v>1.5549999999999999</v>
      </c>
    </row>
    <row r="372" spans="1:4" ht="19.5">
      <c r="A372" s="35">
        <f t="shared" si="11"/>
        <v>370</v>
      </c>
      <c r="B372" s="35">
        <v>3700</v>
      </c>
      <c r="C372" s="35">
        <v>68</v>
      </c>
      <c r="D372" s="36">
        <f t="shared" si="10"/>
        <v>0.68</v>
      </c>
    </row>
    <row r="373" spans="1:4" ht="19.5">
      <c r="A373" s="35">
        <f t="shared" si="11"/>
        <v>371</v>
      </c>
      <c r="B373" s="35">
        <v>3710</v>
      </c>
      <c r="C373" s="35">
        <v>107.8</v>
      </c>
      <c r="D373" s="36">
        <f t="shared" si="10"/>
        <v>1.0780000000000001</v>
      </c>
    </row>
    <row r="374" spans="1:4" ht="19.5">
      <c r="A374" s="35">
        <f t="shared" si="11"/>
        <v>372</v>
      </c>
      <c r="B374" s="35">
        <v>3720</v>
      </c>
      <c r="C374" s="35">
        <v>147.6</v>
      </c>
      <c r="D374" s="36">
        <f t="shared" si="10"/>
        <v>1.476</v>
      </c>
    </row>
    <row r="375" spans="1:4" ht="19.5">
      <c r="A375" s="35">
        <f t="shared" si="11"/>
        <v>373</v>
      </c>
      <c r="B375" s="35">
        <v>3730</v>
      </c>
      <c r="C375" s="35">
        <v>187.39999999999998</v>
      </c>
      <c r="D375" s="36">
        <f t="shared" si="10"/>
        <v>1.8739999999999997</v>
      </c>
    </row>
    <row r="376" spans="1:4" ht="19.5">
      <c r="A376" s="35">
        <f t="shared" si="11"/>
        <v>374</v>
      </c>
      <c r="B376" s="35">
        <v>3740</v>
      </c>
      <c r="C376" s="35">
        <v>227.2</v>
      </c>
      <c r="D376" s="36">
        <f t="shared" si="10"/>
        <v>2.2719999999999998</v>
      </c>
    </row>
    <row r="377" spans="1:4" ht="19.5">
      <c r="A377" s="35">
        <f t="shared" si="11"/>
        <v>375</v>
      </c>
      <c r="B377" s="35">
        <v>3750</v>
      </c>
      <c r="C377" s="35">
        <v>267</v>
      </c>
      <c r="D377" s="36">
        <f t="shared" si="10"/>
        <v>2.67</v>
      </c>
    </row>
    <row r="378" spans="1:4" ht="19.5">
      <c r="A378" s="35">
        <f t="shared" si="11"/>
        <v>376</v>
      </c>
      <c r="B378" s="35">
        <v>3760</v>
      </c>
      <c r="C378" s="35">
        <v>306.8</v>
      </c>
      <c r="D378" s="36">
        <f t="shared" si="10"/>
        <v>3.0680000000000001</v>
      </c>
    </row>
    <row r="379" spans="1:4" ht="19.5">
      <c r="A379" s="35">
        <f t="shared" si="11"/>
        <v>377</v>
      </c>
      <c r="B379" s="35">
        <v>3770</v>
      </c>
      <c r="C379" s="35">
        <v>346.6</v>
      </c>
      <c r="D379" s="36">
        <f t="shared" si="10"/>
        <v>3.4660000000000002</v>
      </c>
    </row>
    <row r="380" spans="1:4" ht="19.5">
      <c r="A380" s="35">
        <f t="shared" si="11"/>
        <v>378</v>
      </c>
      <c r="B380" s="35">
        <v>3780</v>
      </c>
      <c r="C380" s="35">
        <v>386.40000000000003</v>
      </c>
      <c r="D380" s="36">
        <f t="shared" si="10"/>
        <v>3.8640000000000003</v>
      </c>
    </row>
    <row r="381" spans="1:4" ht="19.5">
      <c r="A381" s="35">
        <f t="shared" si="11"/>
        <v>379</v>
      </c>
      <c r="B381" s="35">
        <v>3790</v>
      </c>
      <c r="C381" s="35">
        <v>426.20000000000005</v>
      </c>
      <c r="D381" s="36">
        <f t="shared" si="10"/>
        <v>4.2620000000000005</v>
      </c>
    </row>
    <row r="382" spans="1:4" ht="19.5">
      <c r="A382" s="35">
        <f t="shared" si="11"/>
        <v>380</v>
      </c>
      <c r="B382" s="35">
        <v>3800</v>
      </c>
      <c r="C382" s="35">
        <v>466</v>
      </c>
      <c r="D382" s="36">
        <f t="shared" si="10"/>
        <v>4.66</v>
      </c>
    </row>
    <row r="383" spans="1:4" ht="19.5">
      <c r="A383" s="35">
        <f t="shared" si="11"/>
        <v>381</v>
      </c>
      <c r="B383" s="35">
        <v>3810</v>
      </c>
      <c r="C383" s="35">
        <v>449.2</v>
      </c>
      <c r="D383" s="36">
        <f t="shared" si="10"/>
        <v>4.492</v>
      </c>
    </row>
    <row r="384" spans="1:4" ht="19.5">
      <c r="A384" s="35">
        <f t="shared" si="11"/>
        <v>382</v>
      </c>
      <c r="B384" s="35">
        <v>3820</v>
      </c>
      <c r="C384" s="35">
        <v>432.4</v>
      </c>
      <c r="D384" s="36">
        <f t="shared" si="10"/>
        <v>4.3239999999999998</v>
      </c>
    </row>
    <row r="385" spans="1:4" ht="19.5">
      <c r="A385" s="35">
        <f t="shared" si="11"/>
        <v>383</v>
      </c>
      <c r="B385" s="35">
        <v>3830</v>
      </c>
      <c r="C385" s="35">
        <v>415.59999999999997</v>
      </c>
      <c r="D385" s="36">
        <f t="shared" si="10"/>
        <v>4.1559999999999997</v>
      </c>
    </row>
    <row r="386" spans="1:4" ht="19.5">
      <c r="A386" s="35">
        <f t="shared" si="11"/>
        <v>384</v>
      </c>
      <c r="B386" s="35">
        <v>3840</v>
      </c>
      <c r="C386" s="35">
        <v>398.79999999999995</v>
      </c>
      <c r="D386" s="36">
        <f t="shared" si="10"/>
        <v>3.9879999999999995</v>
      </c>
    </row>
    <row r="387" spans="1:4" ht="19.5">
      <c r="A387" s="35">
        <f t="shared" si="11"/>
        <v>385</v>
      </c>
      <c r="B387" s="35">
        <v>3850</v>
      </c>
      <c r="C387" s="35">
        <v>381.99999999999994</v>
      </c>
      <c r="D387" s="36">
        <f t="shared" ref="D387:D441" si="12">C387/100</f>
        <v>3.8199999999999994</v>
      </c>
    </row>
    <row r="388" spans="1:4" ht="19.5">
      <c r="A388" s="35">
        <f t="shared" ref="A388:A441" si="13">B388/10</f>
        <v>386</v>
      </c>
      <c r="B388" s="35">
        <v>3860</v>
      </c>
      <c r="C388" s="35">
        <v>365.19999999999993</v>
      </c>
      <c r="D388" s="36">
        <f t="shared" si="12"/>
        <v>3.6519999999999992</v>
      </c>
    </row>
    <row r="389" spans="1:4" ht="19.5">
      <c r="A389" s="35">
        <f t="shared" si="13"/>
        <v>387</v>
      </c>
      <c r="B389" s="35">
        <v>3870</v>
      </c>
      <c r="C389" s="35">
        <v>348.39999999999992</v>
      </c>
      <c r="D389" s="36">
        <f t="shared" si="12"/>
        <v>3.4839999999999991</v>
      </c>
    </row>
    <row r="390" spans="1:4" ht="19.5">
      <c r="A390" s="35">
        <f t="shared" si="13"/>
        <v>388</v>
      </c>
      <c r="B390" s="35">
        <v>3880</v>
      </c>
      <c r="C390" s="35">
        <v>331.59999999999991</v>
      </c>
      <c r="D390" s="36">
        <f t="shared" si="12"/>
        <v>3.3159999999999989</v>
      </c>
    </row>
    <row r="391" spans="1:4" ht="19.5">
      <c r="A391" s="35">
        <f t="shared" si="13"/>
        <v>389</v>
      </c>
      <c r="B391" s="35">
        <v>3890</v>
      </c>
      <c r="C391" s="35">
        <v>314.7999999999999</v>
      </c>
      <c r="D391" s="36">
        <f t="shared" si="12"/>
        <v>3.1479999999999988</v>
      </c>
    </row>
    <row r="392" spans="1:4" ht="19.5">
      <c r="A392" s="35">
        <f t="shared" si="13"/>
        <v>390</v>
      </c>
      <c r="B392" s="35">
        <v>3900</v>
      </c>
      <c r="C392" s="35">
        <v>298</v>
      </c>
      <c r="D392" s="36">
        <f t="shared" si="12"/>
        <v>2.98</v>
      </c>
    </row>
    <row r="393" spans="1:4" ht="19.5">
      <c r="A393" s="35">
        <f t="shared" si="13"/>
        <v>391</v>
      </c>
      <c r="B393" s="35">
        <v>3910</v>
      </c>
      <c r="C393" s="35">
        <v>285.39999999999998</v>
      </c>
      <c r="D393" s="36">
        <f t="shared" si="12"/>
        <v>2.8539999999999996</v>
      </c>
    </row>
    <row r="394" spans="1:4" ht="19.5">
      <c r="A394" s="35">
        <f t="shared" si="13"/>
        <v>392</v>
      </c>
      <c r="B394" s="35">
        <v>3920</v>
      </c>
      <c r="C394" s="35">
        <v>272.79999999999995</v>
      </c>
      <c r="D394" s="36">
        <f t="shared" si="12"/>
        <v>2.7279999999999998</v>
      </c>
    </row>
    <row r="395" spans="1:4" ht="19.5">
      <c r="A395" s="35">
        <f t="shared" si="13"/>
        <v>393</v>
      </c>
      <c r="B395" s="35">
        <v>3930</v>
      </c>
      <c r="C395" s="35">
        <v>260.19999999999993</v>
      </c>
      <c r="D395" s="36">
        <f t="shared" si="12"/>
        <v>2.6019999999999994</v>
      </c>
    </row>
    <row r="396" spans="1:4" ht="19.5">
      <c r="A396" s="35">
        <f t="shared" si="13"/>
        <v>394</v>
      </c>
      <c r="B396" s="35">
        <v>3940</v>
      </c>
      <c r="C396" s="35">
        <v>247.59999999999994</v>
      </c>
      <c r="D396" s="36">
        <f t="shared" si="12"/>
        <v>2.4759999999999995</v>
      </c>
    </row>
    <row r="397" spans="1:4" ht="19.5">
      <c r="A397" s="35">
        <f t="shared" si="13"/>
        <v>395</v>
      </c>
      <c r="B397" s="35">
        <v>3950</v>
      </c>
      <c r="C397" s="35">
        <v>234.99999999999994</v>
      </c>
      <c r="D397" s="36">
        <f t="shared" si="12"/>
        <v>2.3499999999999996</v>
      </c>
    </row>
    <row r="398" spans="1:4" ht="19.5">
      <c r="A398" s="35">
        <f t="shared" si="13"/>
        <v>396</v>
      </c>
      <c r="B398" s="35">
        <v>3960</v>
      </c>
      <c r="C398" s="35">
        <v>222.39999999999995</v>
      </c>
      <c r="D398" s="36">
        <f t="shared" si="12"/>
        <v>2.2239999999999993</v>
      </c>
    </row>
    <row r="399" spans="1:4" ht="19.5">
      <c r="A399" s="35">
        <f t="shared" si="13"/>
        <v>397</v>
      </c>
      <c r="B399" s="35">
        <v>3970</v>
      </c>
      <c r="C399" s="35">
        <v>209.79999999999995</v>
      </c>
      <c r="D399" s="36">
        <f t="shared" si="12"/>
        <v>2.0979999999999994</v>
      </c>
    </row>
    <row r="400" spans="1:4" ht="19.5">
      <c r="A400" s="35">
        <f t="shared" si="13"/>
        <v>398</v>
      </c>
      <c r="B400" s="35">
        <v>3980</v>
      </c>
      <c r="C400" s="35">
        <v>197.19999999999996</v>
      </c>
      <c r="D400" s="36">
        <f t="shared" si="12"/>
        <v>1.9719999999999995</v>
      </c>
    </row>
    <row r="401" spans="1:4" ht="19.5">
      <c r="A401" s="35">
        <f t="shared" si="13"/>
        <v>399</v>
      </c>
      <c r="B401" s="35">
        <v>3990</v>
      </c>
      <c r="C401" s="35">
        <v>184.59999999999997</v>
      </c>
      <c r="D401" s="36">
        <f t="shared" si="12"/>
        <v>1.8459999999999996</v>
      </c>
    </row>
    <row r="402" spans="1:4" ht="19.5">
      <c r="A402" s="35">
        <f t="shared" si="13"/>
        <v>400</v>
      </c>
      <c r="B402" s="35">
        <v>4000</v>
      </c>
      <c r="C402" s="35">
        <v>172</v>
      </c>
      <c r="D402" s="36">
        <f t="shared" si="12"/>
        <v>1.72</v>
      </c>
    </row>
    <row r="403" spans="1:4" ht="19.5">
      <c r="A403" s="35">
        <f t="shared" si="13"/>
        <v>401</v>
      </c>
      <c r="B403" s="35">
        <v>4010</v>
      </c>
      <c r="C403" s="35">
        <v>163.30000000000001</v>
      </c>
      <c r="D403" s="36">
        <f t="shared" si="12"/>
        <v>1.633</v>
      </c>
    </row>
    <row r="404" spans="1:4" ht="19.5">
      <c r="A404" s="35">
        <f t="shared" si="13"/>
        <v>402</v>
      </c>
      <c r="B404" s="35">
        <v>4020</v>
      </c>
      <c r="C404" s="35">
        <v>154.60000000000002</v>
      </c>
      <c r="D404" s="36">
        <f t="shared" si="12"/>
        <v>1.5460000000000003</v>
      </c>
    </row>
    <row r="405" spans="1:4" ht="19.5">
      <c r="A405" s="35">
        <f t="shared" si="13"/>
        <v>403</v>
      </c>
      <c r="B405" s="35">
        <v>4030</v>
      </c>
      <c r="C405" s="35">
        <v>145.90000000000003</v>
      </c>
      <c r="D405" s="36">
        <f t="shared" si="12"/>
        <v>1.4590000000000003</v>
      </c>
    </row>
    <row r="406" spans="1:4" ht="19.5">
      <c r="A406" s="35">
        <f t="shared" si="13"/>
        <v>404</v>
      </c>
      <c r="B406" s="35">
        <v>4040</v>
      </c>
      <c r="C406" s="35">
        <v>137.20000000000005</v>
      </c>
      <c r="D406" s="36">
        <f t="shared" si="12"/>
        <v>1.3720000000000006</v>
      </c>
    </row>
    <row r="407" spans="1:4" ht="19.5">
      <c r="A407" s="35">
        <f t="shared" si="13"/>
        <v>405</v>
      </c>
      <c r="B407" s="35">
        <v>4050</v>
      </c>
      <c r="C407" s="35">
        <v>128.50000000000006</v>
      </c>
      <c r="D407" s="36">
        <f t="shared" si="12"/>
        <v>1.2850000000000006</v>
      </c>
    </row>
    <row r="408" spans="1:4" ht="19.5">
      <c r="A408" s="35">
        <f t="shared" si="13"/>
        <v>406</v>
      </c>
      <c r="B408" s="35">
        <v>4060</v>
      </c>
      <c r="C408" s="35">
        <v>119.80000000000005</v>
      </c>
      <c r="D408" s="36">
        <f t="shared" si="12"/>
        <v>1.1980000000000006</v>
      </c>
    </row>
    <row r="409" spans="1:4" ht="19.5">
      <c r="A409" s="35">
        <f t="shared" si="13"/>
        <v>407</v>
      </c>
      <c r="B409" s="35">
        <v>4070</v>
      </c>
      <c r="C409" s="35">
        <v>111.10000000000005</v>
      </c>
      <c r="D409" s="36">
        <f t="shared" si="12"/>
        <v>1.1110000000000004</v>
      </c>
    </row>
    <row r="410" spans="1:4" ht="19.5">
      <c r="A410" s="35">
        <f t="shared" si="13"/>
        <v>408</v>
      </c>
      <c r="B410" s="35">
        <v>4080</v>
      </c>
      <c r="C410" s="35">
        <v>102.40000000000005</v>
      </c>
      <c r="D410" s="36">
        <f t="shared" si="12"/>
        <v>1.0240000000000005</v>
      </c>
    </row>
    <row r="411" spans="1:4" ht="19.5">
      <c r="A411" s="35">
        <f t="shared" si="13"/>
        <v>409</v>
      </c>
      <c r="B411" s="35">
        <v>4090</v>
      </c>
      <c r="C411" s="35">
        <v>93.700000000000045</v>
      </c>
      <c r="D411" s="36">
        <f t="shared" si="12"/>
        <v>0.9370000000000005</v>
      </c>
    </row>
    <row r="412" spans="1:4" ht="19.5">
      <c r="A412" s="35">
        <f t="shared" si="13"/>
        <v>410</v>
      </c>
      <c r="B412" s="35">
        <v>4100</v>
      </c>
      <c r="C412" s="35">
        <v>85</v>
      </c>
      <c r="D412" s="36">
        <f t="shared" si="12"/>
        <v>0.85</v>
      </c>
    </row>
    <row r="413" spans="1:4" ht="19.5">
      <c r="A413" s="35">
        <f t="shared" si="13"/>
        <v>411</v>
      </c>
      <c r="B413" s="35">
        <v>4110</v>
      </c>
      <c r="C413" s="35">
        <v>79.7</v>
      </c>
      <c r="D413" s="36">
        <f t="shared" si="12"/>
        <v>0.79700000000000004</v>
      </c>
    </row>
    <row r="414" spans="1:4" ht="19.5">
      <c r="A414" s="35">
        <f t="shared" si="13"/>
        <v>412</v>
      </c>
      <c r="B414" s="35">
        <v>4120</v>
      </c>
      <c r="C414" s="35">
        <v>74.400000000000006</v>
      </c>
      <c r="D414" s="36">
        <f t="shared" si="12"/>
        <v>0.74400000000000011</v>
      </c>
    </row>
    <row r="415" spans="1:4" ht="19.5">
      <c r="A415" s="35">
        <f t="shared" si="13"/>
        <v>413</v>
      </c>
      <c r="B415" s="35">
        <v>4130</v>
      </c>
      <c r="C415" s="35">
        <v>69.100000000000009</v>
      </c>
      <c r="D415" s="36">
        <f t="shared" si="12"/>
        <v>0.69100000000000006</v>
      </c>
    </row>
    <row r="416" spans="1:4" ht="19.5">
      <c r="A416" s="35">
        <f t="shared" si="13"/>
        <v>414</v>
      </c>
      <c r="B416" s="35">
        <v>4140</v>
      </c>
      <c r="C416" s="35">
        <v>63.800000000000011</v>
      </c>
      <c r="D416" s="36">
        <f t="shared" si="12"/>
        <v>0.63800000000000012</v>
      </c>
    </row>
    <row r="417" spans="1:4" ht="19.5">
      <c r="A417" s="35">
        <f t="shared" si="13"/>
        <v>415</v>
      </c>
      <c r="B417" s="35">
        <v>4150</v>
      </c>
      <c r="C417" s="35">
        <v>58.500000000000014</v>
      </c>
      <c r="D417" s="36">
        <f t="shared" si="12"/>
        <v>0.58500000000000019</v>
      </c>
    </row>
    <row r="418" spans="1:4" ht="19.5">
      <c r="A418" s="35">
        <f t="shared" si="13"/>
        <v>416</v>
      </c>
      <c r="B418" s="35">
        <v>4160</v>
      </c>
      <c r="C418" s="35">
        <v>53.200000000000017</v>
      </c>
      <c r="D418" s="36">
        <f t="shared" si="12"/>
        <v>0.53200000000000014</v>
      </c>
    </row>
    <row r="419" spans="1:4" ht="19.5">
      <c r="A419" s="35">
        <f t="shared" si="13"/>
        <v>417</v>
      </c>
      <c r="B419" s="35">
        <v>4170</v>
      </c>
      <c r="C419" s="35">
        <v>47.90000000000002</v>
      </c>
      <c r="D419" s="36">
        <f t="shared" si="12"/>
        <v>0.4790000000000002</v>
      </c>
    </row>
    <row r="420" spans="1:4" ht="19.5">
      <c r="A420" s="35">
        <f t="shared" si="13"/>
        <v>418</v>
      </c>
      <c r="B420" s="35">
        <v>4180</v>
      </c>
      <c r="C420" s="35">
        <v>42.600000000000023</v>
      </c>
      <c r="D420" s="36">
        <f t="shared" si="12"/>
        <v>0.42600000000000021</v>
      </c>
    </row>
    <row r="421" spans="1:4" ht="19.5">
      <c r="A421" s="35">
        <f t="shared" si="13"/>
        <v>419</v>
      </c>
      <c r="B421" s="35">
        <v>4190</v>
      </c>
      <c r="C421" s="35">
        <v>37.300000000000026</v>
      </c>
      <c r="D421" s="36">
        <f t="shared" si="12"/>
        <v>0.37300000000000028</v>
      </c>
    </row>
    <row r="422" spans="1:4" ht="19.5">
      <c r="A422" s="35">
        <f t="shared" si="13"/>
        <v>420</v>
      </c>
      <c r="B422" s="35">
        <v>4200</v>
      </c>
      <c r="C422" s="35">
        <v>32</v>
      </c>
      <c r="D422" s="36">
        <f t="shared" si="12"/>
        <v>0.32</v>
      </c>
    </row>
    <row r="423" spans="1:4" ht="19.5">
      <c r="A423" s="35">
        <f t="shared" si="13"/>
        <v>421</v>
      </c>
      <c r="B423" s="35">
        <v>4210</v>
      </c>
      <c r="C423" s="35">
        <v>29.4</v>
      </c>
      <c r="D423" s="36">
        <f t="shared" si="12"/>
        <v>0.29399999999999998</v>
      </c>
    </row>
    <row r="424" spans="1:4" ht="19.5">
      <c r="A424" s="35">
        <f t="shared" si="13"/>
        <v>422</v>
      </c>
      <c r="B424" s="35">
        <v>4220</v>
      </c>
      <c r="C424" s="35">
        <v>26.799999999999997</v>
      </c>
      <c r="D424" s="36">
        <f t="shared" si="12"/>
        <v>0.26799999999999996</v>
      </c>
    </row>
    <row r="425" spans="1:4" ht="19.5">
      <c r="A425" s="35">
        <f t="shared" si="13"/>
        <v>424</v>
      </c>
      <c r="B425" s="35">
        <v>4240</v>
      </c>
      <c r="C425" s="35">
        <v>21.599999999999994</v>
      </c>
      <c r="D425" s="36">
        <f t="shared" si="12"/>
        <v>0.21599999999999994</v>
      </c>
    </row>
    <row r="426" spans="1:4" ht="19.5">
      <c r="A426" s="35">
        <f t="shared" si="13"/>
        <v>425</v>
      </c>
      <c r="B426" s="35">
        <v>4250</v>
      </c>
      <c r="C426" s="35">
        <v>18.999999999999993</v>
      </c>
      <c r="D426" s="36">
        <f t="shared" si="12"/>
        <v>0.18999999999999992</v>
      </c>
    </row>
    <row r="427" spans="1:4" ht="19.5">
      <c r="A427" s="35">
        <f t="shared" si="13"/>
        <v>426</v>
      </c>
      <c r="B427" s="35">
        <v>4260</v>
      </c>
      <c r="C427" s="35">
        <v>16.399999999999991</v>
      </c>
      <c r="D427" s="36">
        <f t="shared" si="12"/>
        <v>0.16399999999999992</v>
      </c>
    </row>
    <row r="428" spans="1:4" ht="19.5">
      <c r="A428" s="35">
        <f t="shared" si="13"/>
        <v>427</v>
      </c>
      <c r="B428" s="35">
        <v>4270</v>
      </c>
      <c r="C428" s="35">
        <v>13.799999999999992</v>
      </c>
      <c r="D428" s="36">
        <f t="shared" si="12"/>
        <v>0.13799999999999993</v>
      </c>
    </row>
    <row r="429" spans="1:4" ht="19.5">
      <c r="A429" s="35">
        <f t="shared" si="13"/>
        <v>428</v>
      </c>
      <c r="B429" s="35">
        <v>4280</v>
      </c>
      <c r="C429" s="35">
        <v>11.199999999999992</v>
      </c>
      <c r="D429" s="36">
        <f t="shared" si="12"/>
        <v>0.11199999999999992</v>
      </c>
    </row>
    <row r="430" spans="1:4" ht="19.5">
      <c r="A430" s="35">
        <f t="shared" si="13"/>
        <v>429</v>
      </c>
      <c r="B430" s="35">
        <v>4290</v>
      </c>
      <c r="C430" s="35">
        <v>8.5999999999999925</v>
      </c>
      <c r="D430" s="36">
        <f t="shared" si="12"/>
        <v>8.5999999999999924E-2</v>
      </c>
    </row>
    <row r="431" spans="1:4" ht="19.5">
      <c r="A431" s="35">
        <f t="shared" si="13"/>
        <v>430</v>
      </c>
      <c r="B431" s="35">
        <v>4300</v>
      </c>
      <c r="C431" s="35">
        <v>6</v>
      </c>
      <c r="D431" s="36">
        <f t="shared" si="12"/>
        <v>0.06</v>
      </c>
    </row>
    <row r="432" spans="1:4" ht="19.5">
      <c r="A432" s="35">
        <f t="shared" si="13"/>
        <v>431</v>
      </c>
      <c r="B432" s="35">
        <v>4310</v>
      </c>
      <c r="C432" s="35">
        <v>5.4</v>
      </c>
      <c r="D432" s="36">
        <f t="shared" si="12"/>
        <v>5.4000000000000006E-2</v>
      </c>
    </row>
    <row r="433" spans="1:4" ht="19.5">
      <c r="A433" s="35">
        <f t="shared" si="13"/>
        <v>432</v>
      </c>
      <c r="B433" s="35">
        <v>4320</v>
      </c>
      <c r="C433" s="35">
        <v>4.8000000000000007</v>
      </c>
      <c r="D433" s="36">
        <f t="shared" si="12"/>
        <v>4.8000000000000008E-2</v>
      </c>
    </row>
    <row r="434" spans="1:4" ht="19.5">
      <c r="A434" s="35">
        <f t="shared" si="13"/>
        <v>433</v>
      </c>
      <c r="B434" s="35">
        <v>4330</v>
      </c>
      <c r="C434" s="35">
        <v>4.2000000000000011</v>
      </c>
      <c r="D434" s="36">
        <f t="shared" si="12"/>
        <v>4.200000000000001E-2</v>
      </c>
    </row>
    <row r="435" spans="1:4" ht="19.5">
      <c r="A435" s="35">
        <f t="shared" si="13"/>
        <v>434</v>
      </c>
      <c r="B435" s="35">
        <v>4340</v>
      </c>
      <c r="C435" s="35">
        <v>3.600000000000001</v>
      </c>
      <c r="D435" s="36">
        <f t="shared" si="12"/>
        <v>3.6000000000000011E-2</v>
      </c>
    </row>
    <row r="436" spans="1:4" ht="19.5">
      <c r="A436" s="35">
        <f t="shared" si="13"/>
        <v>435</v>
      </c>
      <c r="B436" s="35">
        <v>4350</v>
      </c>
      <c r="C436" s="35">
        <v>3.0000000000000009</v>
      </c>
      <c r="D436" s="36">
        <f t="shared" si="12"/>
        <v>3.0000000000000009E-2</v>
      </c>
    </row>
    <row r="437" spans="1:4" ht="19.5">
      <c r="A437" s="35">
        <f t="shared" si="13"/>
        <v>436</v>
      </c>
      <c r="B437" s="35">
        <v>4360</v>
      </c>
      <c r="C437" s="35">
        <v>2.4000000000000008</v>
      </c>
      <c r="D437" s="36">
        <f t="shared" si="12"/>
        <v>2.4000000000000007E-2</v>
      </c>
    </row>
    <row r="438" spans="1:4" ht="19.5">
      <c r="A438" s="35">
        <f t="shared" si="13"/>
        <v>437</v>
      </c>
      <c r="B438" s="35">
        <v>4370</v>
      </c>
      <c r="C438" s="35">
        <v>1.8000000000000007</v>
      </c>
      <c r="D438" s="36">
        <f t="shared" si="12"/>
        <v>1.8000000000000006E-2</v>
      </c>
    </row>
    <row r="439" spans="1:4" ht="19.5">
      <c r="A439" s="35">
        <f t="shared" si="13"/>
        <v>438</v>
      </c>
      <c r="B439" s="35">
        <v>4380</v>
      </c>
      <c r="C439" s="35">
        <v>1.2000000000000006</v>
      </c>
      <c r="D439" s="36">
        <f t="shared" si="12"/>
        <v>1.2000000000000005E-2</v>
      </c>
    </row>
    <row r="440" spans="1:4" ht="19.5">
      <c r="A440" s="35">
        <f t="shared" si="13"/>
        <v>439</v>
      </c>
      <c r="B440" s="35">
        <v>4390</v>
      </c>
      <c r="C440" s="35">
        <v>0.60000000000000064</v>
      </c>
      <c r="D440" s="36">
        <f t="shared" si="12"/>
        <v>6.0000000000000062E-3</v>
      </c>
    </row>
    <row r="441" spans="1:4" ht="19.5">
      <c r="A441" s="35">
        <f t="shared" si="13"/>
        <v>440</v>
      </c>
      <c r="B441" s="35">
        <v>4400</v>
      </c>
      <c r="C441" s="35">
        <v>0</v>
      </c>
      <c r="D441" s="36">
        <f t="shared" si="12"/>
        <v>0</v>
      </c>
    </row>
  </sheetData>
  <printOptions horizontalCentered="1" verticalCentered="1"/>
  <pageMargins left="0.59055118110236227" right="0.59055118110236227" top="0.59055118110236227" bottom="0.59055118110236227" header="0" footer="0.19685039370078741"/>
  <pageSetup paperSize="9" orientation="portrait" r:id="rId1"/>
  <headerFooter>
    <oddFooter>&amp;L&amp;"-,Italique"&amp;10Ce barème est communiqué à titre indicatif, fait à partir des dimensions théoriques, il n'a pas de valeur officielle.&amp;R&amp;P/&amp;N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7">
    <tabColor rgb="FFFF0000"/>
  </sheetPr>
  <dimension ref="A1:D585"/>
  <sheetViews>
    <sheetView topLeftCell="A112" workbookViewId="0">
      <selection activeCell="C137" sqref="C137"/>
    </sheetView>
  </sheetViews>
  <sheetFormatPr baseColWidth="10" defaultColWidth="10.3984375" defaultRowHeight="14.25"/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 s="22">
        <f t="shared" ref="A2:A33" si="0">$B2/10</f>
        <v>0</v>
      </c>
      <c r="B2" s="23">
        <v>0</v>
      </c>
      <c r="C2">
        <v>62620.93</v>
      </c>
      <c r="D2">
        <f t="shared" ref="D2:D33" si="1">$C2/100</f>
        <v>626.20929999999998</v>
      </c>
    </row>
    <row r="3" spans="1:4">
      <c r="A3" s="22">
        <f t="shared" si="0"/>
        <v>1</v>
      </c>
      <c r="B3" s="23">
        <v>10</v>
      </c>
      <c r="C3">
        <v>62618.966</v>
      </c>
      <c r="D3">
        <f t="shared" si="1"/>
        <v>626.18966</v>
      </c>
    </row>
    <row r="4" spans="1:4">
      <c r="A4" s="22">
        <f t="shared" si="0"/>
        <v>2</v>
      </c>
      <c r="B4" s="23">
        <v>20</v>
      </c>
      <c r="C4">
        <v>62617.002</v>
      </c>
      <c r="D4">
        <f t="shared" si="1"/>
        <v>626.17002000000002</v>
      </c>
    </row>
    <row r="5" spans="1:4">
      <c r="A5" s="22">
        <f t="shared" si="0"/>
        <v>3</v>
      </c>
      <c r="B5" s="23">
        <v>30</v>
      </c>
      <c r="C5">
        <v>62615.038</v>
      </c>
      <c r="D5">
        <f t="shared" si="1"/>
        <v>626.15038000000004</v>
      </c>
    </row>
    <row r="6" spans="1:4">
      <c r="A6" s="22">
        <f t="shared" si="0"/>
        <v>4</v>
      </c>
      <c r="B6" s="23">
        <v>40</v>
      </c>
      <c r="C6">
        <v>62613.074000000001</v>
      </c>
      <c r="D6">
        <f t="shared" si="1"/>
        <v>626.13074000000006</v>
      </c>
    </row>
    <row r="7" spans="1:4">
      <c r="A7" s="22">
        <f t="shared" si="0"/>
        <v>5</v>
      </c>
      <c r="B7" s="23">
        <v>50</v>
      </c>
      <c r="C7">
        <v>62611.11</v>
      </c>
      <c r="D7">
        <f t="shared" si="1"/>
        <v>626.11109999999996</v>
      </c>
    </row>
    <row r="8" spans="1:4">
      <c r="A8" s="22">
        <f t="shared" si="0"/>
        <v>6</v>
      </c>
      <c r="B8" s="23">
        <v>60</v>
      </c>
      <c r="C8">
        <v>62609.144</v>
      </c>
      <c r="D8">
        <f t="shared" si="1"/>
        <v>626.09144000000003</v>
      </c>
    </row>
    <row r="9" spans="1:4">
      <c r="A9" s="22">
        <f t="shared" si="0"/>
        <v>7</v>
      </c>
      <c r="B9" s="23">
        <v>70</v>
      </c>
      <c r="C9">
        <v>62607.178</v>
      </c>
      <c r="D9">
        <f t="shared" si="1"/>
        <v>626.07177999999999</v>
      </c>
    </row>
    <row r="10" spans="1:4">
      <c r="A10" s="22">
        <f t="shared" si="0"/>
        <v>8</v>
      </c>
      <c r="B10" s="23">
        <v>80</v>
      </c>
      <c r="C10">
        <v>62605.212</v>
      </c>
      <c r="D10">
        <f t="shared" si="1"/>
        <v>626.05211999999995</v>
      </c>
    </row>
    <row r="11" spans="1:4">
      <c r="A11" s="22">
        <f t="shared" si="0"/>
        <v>9</v>
      </c>
      <c r="B11" s="23">
        <v>90</v>
      </c>
      <c r="C11">
        <v>62603.245999999999</v>
      </c>
      <c r="D11">
        <f t="shared" si="1"/>
        <v>626.03246000000001</v>
      </c>
    </row>
    <row r="12" spans="1:4">
      <c r="A12" s="22">
        <f t="shared" si="0"/>
        <v>10</v>
      </c>
      <c r="B12" s="23">
        <v>100</v>
      </c>
      <c r="C12">
        <v>62601.279999999999</v>
      </c>
      <c r="D12">
        <f t="shared" si="1"/>
        <v>626.01279999999997</v>
      </c>
    </row>
    <row r="13" spans="1:4">
      <c r="A13" s="22">
        <f t="shared" si="0"/>
        <v>11</v>
      </c>
      <c r="B13" s="23">
        <v>110</v>
      </c>
      <c r="C13">
        <v>62599.313999999998</v>
      </c>
      <c r="D13">
        <f t="shared" si="1"/>
        <v>625.99314000000004</v>
      </c>
    </row>
    <row r="14" spans="1:4">
      <c r="A14" s="22">
        <f t="shared" si="0"/>
        <v>12</v>
      </c>
      <c r="B14" s="23">
        <v>120</v>
      </c>
      <c r="C14">
        <v>62597.347999999998</v>
      </c>
      <c r="D14">
        <f t="shared" si="1"/>
        <v>625.97348</v>
      </c>
    </row>
    <row r="15" spans="1:4">
      <c r="A15" s="22">
        <f t="shared" si="0"/>
        <v>13</v>
      </c>
      <c r="B15" s="23">
        <v>130</v>
      </c>
      <c r="C15">
        <v>62595.381999999998</v>
      </c>
      <c r="D15">
        <f t="shared" si="1"/>
        <v>625.95381999999995</v>
      </c>
    </row>
    <row r="16" spans="1:4">
      <c r="A16" s="22">
        <f t="shared" si="0"/>
        <v>14</v>
      </c>
      <c r="B16" s="23">
        <v>140</v>
      </c>
      <c r="C16">
        <v>62593.415999999997</v>
      </c>
      <c r="D16">
        <f t="shared" si="1"/>
        <v>625.93416000000002</v>
      </c>
    </row>
    <row r="17" spans="1:4">
      <c r="A17" s="22">
        <f t="shared" si="0"/>
        <v>15</v>
      </c>
      <c r="B17" s="23">
        <v>150</v>
      </c>
      <c r="C17">
        <v>62591.45</v>
      </c>
      <c r="D17">
        <f t="shared" si="1"/>
        <v>625.91449999999998</v>
      </c>
    </row>
    <row r="18" spans="1:4">
      <c r="A18" s="22">
        <f t="shared" si="0"/>
        <v>16</v>
      </c>
      <c r="B18" s="23">
        <v>160</v>
      </c>
      <c r="C18">
        <v>62589.485999999997</v>
      </c>
      <c r="D18">
        <f t="shared" si="1"/>
        <v>625.89485999999999</v>
      </c>
    </row>
    <row r="19" spans="1:4">
      <c r="A19" s="22">
        <f t="shared" si="0"/>
        <v>17</v>
      </c>
      <c r="B19" s="23">
        <v>170</v>
      </c>
      <c r="C19">
        <v>62587.521999999997</v>
      </c>
      <c r="D19">
        <f t="shared" si="1"/>
        <v>625.87522000000001</v>
      </c>
    </row>
    <row r="20" spans="1:4">
      <c r="A20" s="22">
        <f t="shared" si="0"/>
        <v>18</v>
      </c>
      <c r="B20" s="23">
        <v>180</v>
      </c>
      <c r="C20">
        <v>62585.557999999997</v>
      </c>
      <c r="D20">
        <f t="shared" si="1"/>
        <v>625.85557999999992</v>
      </c>
    </row>
    <row r="21" spans="1:4">
      <c r="A21" s="22">
        <f t="shared" si="0"/>
        <v>19</v>
      </c>
      <c r="B21" s="23">
        <v>190</v>
      </c>
      <c r="C21">
        <v>62583.593999999997</v>
      </c>
      <c r="D21">
        <f t="shared" si="1"/>
        <v>625.83593999999994</v>
      </c>
    </row>
    <row r="22" spans="1:4">
      <c r="A22" s="22">
        <f t="shared" si="0"/>
        <v>20</v>
      </c>
      <c r="B22" s="23">
        <v>200</v>
      </c>
      <c r="C22">
        <v>62581.63</v>
      </c>
      <c r="D22">
        <f t="shared" si="1"/>
        <v>625.81629999999996</v>
      </c>
    </row>
    <row r="23" spans="1:4">
      <c r="A23" s="22">
        <f t="shared" si="0"/>
        <v>21</v>
      </c>
      <c r="B23" s="23">
        <v>210</v>
      </c>
      <c r="C23">
        <v>62579.663999999997</v>
      </c>
      <c r="D23">
        <f t="shared" si="1"/>
        <v>625.79664000000002</v>
      </c>
    </row>
    <row r="24" spans="1:4">
      <c r="A24" s="22">
        <f t="shared" si="0"/>
        <v>22</v>
      </c>
      <c r="B24" s="23">
        <v>220</v>
      </c>
      <c r="C24">
        <v>62577.697999999997</v>
      </c>
      <c r="D24">
        <f t="shared" si="1"/>
        <v>625.77697999999998</v>
      </c>
    </row>
    <row r="25" spans="1:4">
      <c r="A25" s="22">
        <f t="shared" si="0"/>
        <v>23</v>
      </c>
      <c r="B25" s="23">
        <v>230</v>
      </c>
      <c r="C25">
        <v>62575.731999999996</v>
      </c>
      <c r="D25">
        <f t="shared" si="1"/>
        <v>625.75731999999994</v>
      </c>
    </row>
    <row r="26" spans="1:4">
      <c r="A26" s="22">
        <f t="shared" si="0"/>
        <v>24</v>
      </c>
      <c r="B26" s="23">
        <v>240</v>
      </c>
      <c r="C26">
        <v>62573.765999999996</v>
      </c>
      <c r="D26">
        <f t="shared" si="1"/>
        <v>625.73766000000001</v>
      </c>
    </row>
    <row r="27" spans="1:4">
      <c r="A27" s="22">
        <f t="shared" si="0"/>
        <v>25</v>
      </c>
      <c r="B27" s="23">
        <v>250</v>
      </c>
      <c r="C27">
        <v>62571.8</v>
      </c>
      <c r="D27">
        <f t="shared" si="1"/>
        <v>625.71800000000007</v>
      </c>
    </row>
    <row r="28" spans="1:4">
      <c r="A28" s="22">
        <f t="shared" si="0"/>
        <v>26</v>
      </c>
      <c r="B28" s="23">
        <v>260</v>
      </c>
      <c r="C28">
        <v>62569.836000000003</v>
      </c>
      <c r="D28">
        <f t="shared" si="1"/>
        <v>625.69835999999998</v>
      </c>
    </row>
    <row r="29" spans="1:4">
      <c r="A29" s="22">
        <f t="shared" si="0"/>
        <v>27</v>
      </c>
      <c r="B29" s="23">
        <v>270</v>
      </c>
      <c r="C29">
        <v>62567.872000000003</v>
      </c>
      <c r="D29">
        <f t="shared" si="1"/>
        <v>625.67872</v>
      </c>
    </row>
    <row r="30" spans="1:4">
      <c r="A30" s="22">
        <f t="shared" si="0"/>
        <v>28</v>
      </c>
      <c r="B30" s="23">
        <v>280</v>
      </c>
      <c r="C30">
        <v>62565.908000000003</v>
      </c>
      <c r="D30">
        <f t="shared" si="1"/>
        <v>625.65908000000002</v>
      </c>
    </row>
    <row r="31" spans="1:4">
      <c r="A31" s="22">
        <f t="shared" si="0"/>
        <v>29</v>
      </c>
      <c r="B31" s="23">
        <v>290</v>
      </c>
      <c r="C31">
        <v>62563.944000000003</v>
      </c>
      <c r="D31">
        <f t="shared" si="1"/>
        <v>625.63944000000004</v>
      </c>
    </row>
    <row r="32" spans="1:4">
      <c r="A32" s="22">
        <f t="shared" si="0"/>
        <v>30</v>
      </c>
      <c r="B32" s="23">
        <v>300</v>
      </c>
      <c r="C32">
        <v>62561.98</v>
      </c>
      <c r="D32">
        <f t="shared" si="1"/>
        <v>625.61980000000005</v>
      </c>
    </row>
    <row r="33" spans="1:4">
      <c r="A33" s="22">
        <f t="shared" si="0"/>
        <v>31</v>
      </c>
      <c r="B33" s="23">
        <v>310</v>
      </c>
      <c r="C33">
        <v>62560.014000000003</v>
      </c>
      <c r="D33">
        <f t="shared" si="1"/>
        <v>625.60014000000001</v>
      </c>
    </row>
    <row r="34" spans="1:4">
      <c r="A34" s="22">
        <f t="shared" ref="A34:A65" si="2">$B34/10</f>
        <v>32</v>
      </c>
      <c r="B34" s="23">
        <v>320</v>
      </c>
      <c r="C34">
        <v>62558.048000000003</v>
      </c>
      <c r="D34">
        <f t="shared" ref="D34:D65" si="3">$C34/100</f>
        <v>625.58048000000008</v>
      </c>
    </row>
    <row r="35" spans="1:4">
      <c r="A35" s="22">
        <f t="shared" si="2"/>
        <v>33</v>
      </c>
      <c r="B35" s="23">
        <v>330</v>
      </c>
      <c r="C35">
        <v>62556.082000000002</v>
      </c>
      <c r="D35">
        <f t="shared" si="3"/>
        <v>625.56082000000004</v>
      </c>
    </row>
    <row r="36" spans="1:4">
      <c r="A36" s="22">
        <f t="shared" si="2"/>
        <v>34</v>
      </c>
      <c r="B36" s="23">
        <v>340</v>
      </c>
      <c r="C36">
        <v>62554.116000000002</v>
      </c>
      <c r="D36">
        <f t="shared" si="3"/>
        <v>625.54115999999999</v>
      </c>
    </row>
    <row r="37" spans="1:4">
      <c r="A37" s="22">
        <f t="shared" si="2"/>
        <v>35</v>
      </c>
      <c r="B37" s="23">
        <v>350</v>
      </c>
      <c r="C37">
        <v>62552.15</v>
      </c>
      <c r="D37">
        <f t="shared" si="3"/>
        <v>625.52150000000006</v>
      </c>
    </row>
    <row r="38" spans="1:4">
      <c r="A38" s="22">
        <f t="shared" si="2"/>
        <v>36</v>
      </c>
      <c r="B38" s="23">
        <v>360</v>
      </c>
      <c r="C38">
        <v>62550.186000000002</v>
      </c>
      <c r="D38">
        <f t="shared" si="3"/>
        <v>625.50185999999997</v>
      </c>
    </row>
    <row r="39" spans="1:4">
      <c r="A39" s="22">
        <f t="shared" si="2"/>
        <v>37</v>
      </c>
      <c r="B39" s="23">
        <v>370</v>
      </c>
      <c r="C39">
        <v>62548.222000000002</v>
      </c>
      <c r="D39">
        <f t="shared" si="3"/>
        <v>625.48221999999998</v>
      </c>
    </row>
    <row r="40" spans="1:4">
      <c r="A40" s="22">
        <f t="shared" si="2"/>
        <v>38</v>
      </c>
      <c r="B40" s="23">
        <v>380</v>
      </c>
      <c r="C40">
        <v>62546.258000000002</v>
      </c>
      <c r="D40">
        <f t="shared" si="3"/>
        <v>625.46258</v>
      </c>
    </row>
    <row r="41" spans="1:4">
      <c r="A41" s="22">
        <f t="shared" si="2"/>
        <v>39</v>
      </c>
      <c r="B41" s="23">
        <v>390</v>
      </c>
      <c r="C41">
        <v>62544.294000000002</v>
      </c>
      <c r="D41">
        <f t="shared" si="3"/>
        <v>625.44294000000002</v>
      </c>
    </row>
    <row r="42" spans="1:4">
      <c r="A42" s="22">
        <f t="shared" si="2"/>
        <v>40</v>
      </c>
      <c r="B42" s="23">
        <v>400</v>
      </c>
      <c r="C42">
        <v>62542.33</v>
      </c>
      <c r="D42">
        <f t="shared" si="3"/>
        <v>625.42330000000004</v>
      </c>
    </row>
    <row r="43" spans="1:4">
      <c r="A43" s="22">
        <f t="shared" si="2"/>
        <v>41</v>
      </c>
      <c r="B43" s="23">
        <v>410</v>
      </c>
      <c r="C43">
        <v>62540.364000000001</v>
      </c>
      <c r="D43">
        <f t="shared" si="3"/>
        <v>625.40364</v>
      </c>
    </row>
    <row r="44" spans="1:4">
      <c r="A44" s="22">
        <f t="shared" si="2"/>
        <v>42</v>
      </c>
      <c r="B44" s="23">
        <v>420</v>
      </c>
      <c r="C44">
        <v>62538.398000000001</v>
      </c>
      <c r="D44">
        <f t="shared" si="3"/>
        <v>625.38398000000007</v>
      </c>
    </row>
    <row r="45" spans="1:4">
      <c r="A45" s="22">
        <f t="shared" si="2"/>
        <v>43</v>
      </c>
      <c r="B45" s="23">
        <v>430</v>
      </c>
      <c r="C45">
        <v>62536.432000000001</v>
      </c>
      <c r="D45">
        <f t="shared" si="3"/>
        <v>625.36432000000002</v>
      </c>
    </row>
    <row r="46" spans="1:4">
      <c r="A46" s="22">
        <f t="shared" si="2"/>
        <v>44</v>
      </c>
      <c r="B46" s="23">
        <v>440</v>
      </c>
      <c r="C46">
        <v>62534.466</v>
      </c>
      <c r="D46">
        <f t="shared" si="3"/>
        <v>625.34465999999998</v>
      </c>
    </row>
    <row r="47" spans="1:4">
      <c r="A47" s="22">
        <f t="shared" si="2"/>
        <v>45</v>
      </c>
      <c r="B47" s="23">
        <v>450</v>
      </c>
      <c r="C47">
        <v>62532.5</v>
      </c>
      <c r="D47">
        <f t="shared" si="3"/>
        <v>625.32500000000005</v>
      </c>
    </row>
    <row r="48" spans="1:4">
      <c r="A48" s="22">
        <f t="shared" si="2"/>
        <v>46</v>
      </c>
      <c r="B48" s="23">
        <v>460</v>
      </c>
      <c r="C48">
        <v>62530.534</v>
      </c>
      <c r="D48">
        <f t="shared" si="3"/>
        <v>625.30534</v>
      </c>
    </row>
    <row r="49" spans="1:4">
      <c r="A49" s="22">
        <f t="shared" si="2"/>
        <v>47</v>
      </c>
      <c r="B49" s="23">
        <v>470</v>
      </c>
      <c r="C49">
        <v>62528.567999999999</v>
      </c>
      <c r="D49">
        <f t="shared" si="3"/>
        <v>625.28567999999996</v>
      </c>
    </row>
    <row r="50" spans="1:4">
      <c r="A50" s="22">
        <f t="shared" si="2"/>
        <v>48</v>
      </c>
      <c r="B50" s="23">
        <v>480</v>
      </c>
      <c r="C50">
        <v>62526.601999999999</v>
      </c>
      <c r="D50">
        <f t="shared" si="3"/>
        <v>625.26602000000003</v>
      </c>
    </row>
    <row r="51" spans="1:4">
      <c r="A51" s="22">
        <f t="shared" si="2"/>
        <v>49</v>
      </c>
      <c r="B51" s="23">
        <v>490</v>
      </c>
      <c r="C51">
        <v>62524.635999999999</v>
      </c>
      <c r="D51">
        <f t="shared" si="3"/>
        <v>625.24635999999998</v>
      </c>
    </row>
    <row r="52" spans="1:4">
      <c r="A52" s="22">
        <f t="shared" si="2"/>
        <v>50</v>
      </c>
      <c r="B52" s="23">
        <v>500</v>
      </c>
      <c r="C52">
        <v>62522.67</v>
      </c>
      <c r="D52">
        <f t="shared" si="3"/>
        <v>625.22669999999994</v>
      </c>
    </row>
    <row r="53" spans="1:4">
      <c r="A53" s="22">
        <f t="shared" si="2"/>
        <v>51</v>
      </c>
      <c r="B53" s="23">
        <v>510</v>
      </c>
      <c r="C53">
        <v>62520.697999999997</v>
      </c>
      <c r="D53">
        <f t="shared" si="3"/>
        <v>625.20697999999993</v>
      </c>
    </row>
    <row r="54" spans="1:4">
      <c r="A54" s="22">
        <f t="shared" si="2"/>
        <v>52</v>
      </c>
      <c r="B54" s="23">
        <v>520</v>
      </c>
      <c r="C54">
        <v>62518.725999999995</v>
      </c>
      <c r="D54">
        <f t="shared" si="3"/>
        <v>625.18725999999992</v>
      </c>
    </row>
    <row r="55" spans="1:4">
      <c r="A55" s="22">
        <f t="shared" si="2"/>
        <v>53</v>
      </c>
      <c r="B55" s="23">
        <v>530</v>
      </c>
      <c r="C55">
        <v>62516.753999999994</v>
      </c>
      <c r="D55">
        <f t="shared" si="3"/>
        <v>625.16753999999992</v>
      </c>
    </row>
    <row r="56" spans="1:4">
      <c r="A56" s="22">
        <f t="shared" si="2"/>
        <v>54</v>
      </c>
      <c r="B56" s="23">
        <v>540</v>
      </c>
      <c r="C56">
        <v>62514.781999999992</v>
      </c>
      <c r="D56">
        <f t="shared" si="3"/>
        <v>625.14781999999991</v>
      </c>
    </row>
    <row r="57" spans="1:4">
      <c r="A57" s="22">
        <f t="shared" si="2"/>
        <v>55</v>
      </c>
      <c r="B57" s="23">
        <v>550</v>
      </c>
      <c r="C57">
        <v>62512.81</v>
      </c>
      <c r="D57">
        <f t="shared" si="3"/>
        <v>625.12810000000002</v>
      </c>
    </row>
    <row r="58" spans="1:4">
      <c r="A58" s="22">
        <f t="shared" si="2"/>
        <v>56</v>
      </c>
      <c r="B58" s="23">
        <v>560</v>
      </c>
      <c r="C58">
        <v>62510.703999999998</v>
      </c>
      <c r="D58">
        <f t="shared" si="3"/>
        <v>625.10703999999998</v>
      </c>
    </row>
    <row r="59" spans="1:4">
      <c r="A59" s="22">
        <f t="shared" si="2"/>
        <v>57</v>
      </c>
      <c r="B59" s="23">
        <v>570</v>
      </c>
      <c r="C59">
        <v>62508.597999999998</v>
      </c>
      <c r="D59">
        <f t="shared" si="3"/>
        <v>625.08597999999995</v>
      </c>
    </row>
    <row r="60" spans="1:4">
      <c r="A60" s="22">
        <f t="shared" si="2"/>
        <v>58</v>
      </c>
      <c r="B60" s="23">
        <v>580</v>
      </c>
      <c r="C60">
        <v>62506.491999999998</v>
      </c>
      <c r="D60">
        <f t="shared" si="3"/>
        <v>625.06492000000003</v>
      </c>
    </row>
    <row r="61" spans="1:4">
      <c r="A61" s="22">
        <f t="shared" si="2"/>
        <v>59</v>
      </c>
      <c r="B61" s="23">
        <v>590</v>
      </c>
      <c r="C61">
        <v>62504.385999999999</v>
      </c>
      <c r="D61">
        <f t="shared" si="3"/>
        <v>625.04386</v>
      </c>
    </row>
    <row r="62" spans="1:4">
      <c r="A62" s="22">
        <f t="shared" si="2"/>
        <v>60</v>
      </c>
      <c r="B62" s="23">
        <v>600</v>
      </c>
      <c r="C62">
        <v>62502.28</v>
      </c>
      <c r="D62">
        <f t="shared" si="3"/>
        <v>625.02279999999996</v>
      </c>
    </row>
    <row r="63" spans="1:4">
      <c r="A63" s="22">
        <f t="shared" si="2"/>
        <v>61</v>
      </c>
      <c r="B63" s="23">
        <v>610</v>
      </c>
      <c r="C63">
        <v>62499.941999999995</v>
      </c>
      <c r="D63">
        <f t="shared" si="3"/>
        <v>624.99941999999999</v>
      </c>
    </row>
    <row r="64" spans="1:4">
      <c r="A64" s="22">
        <f t="shared" si="2"/>
        <v>62</v>
      </c>
      <c r="B64" s="23">
        <v>620</v>
      </c>
      <c r="C64">
        <v>62497.603999999992</v>
      </c>
      <c r="D64">
        <f t="shared" si="3"/>
        <v>624.9760399999999</v>
      </c>
    </row>
    <row r="65" spans="1:4">
      <c r="A65" s="22">
        <f t="shared" si="2"/>
        <v>63</v>
      </c>
      <c r="B65" s="23">
        <v>630</v>
      </c>
      <c r="C65">
        <v>62495.265999999989</v>
      </c>
      <c r="D65">
        <f t="shared" si="3"/>
        <v>624.95265999999992</v>
      </c>
    </row>
    <row r="66" spans="1:4">
      <c r="A66" s="22">
        <f t="shared" ref="A66:A91" si="4">$B66/10</f>
        <v>64</v>
      </c>
      <c r="B66" s="23">
        <v>640</v>
      </c>
      <c r="C66">
        <v>62492.927999999985</v>
      </c>
      <c r="D66">
        <f t="shared" ref="D66:D91" si="5">$C66/100</f>
        <v>624.92927999999984</v>
      </c>
    </row>
    <row r="67" spans="1:4">
      <c r="A67" s="22">
        <f t="shared" si="4"/>
        <v>65</v>
      </c>
      <c r="B67" s="23">
        <v>650</v>
      </c>
      <c r="C67">
        <v>62490.59</v>
      </c>
      <c r="D67">
        <f t="shared" si="5"/>
        <v>624.90589999999997</v>
      </c>
    </row>
    <row r="68" spans="1:4">
      <c r="A68" s="22">
        <f t="shared" si="4"/>
        <v>66</v>
      </c>
      <c r="B68" s="23">
        <v>660</v>
      </c>
      <c r="C68">
        <v>62488.013999999996</v>
      </c>
      <c r="D68">
        <f t="shared" si="5"/>
        <v>624.88013999999998</v>
      </c>
    </row>
    <row r="69" spans="1:4">
      <c r="A69" s="22">
        <f t="shared" si="4"/>
        <v>67</v>
      </c>
      <c r="B69" s="23">
        <v>670</v>
      </c>
      <c r="C69">
        <v>62485.437999999995</v>
      </c>
      <c r="D69">
        <f t="shared" si="5"/>
        <v>624.85437999999999</v>
      </c>
    </row>
    <row r="70" spans="1:4">
      <c r="A70" s="22">
        <f t="shared" si="4"/>
        <v>68</v>
      </c>
      <c r="B70" s="23">
        <v>680</v>
      </c>
      <c r="C70">
        <v>62482.861999999994</v>
      </c>
      <c r="D70">
        <f t="shared" si="5"/>
        <v>624.82861999999989</v>
      </c>
    </row>
    <row r="71" spans="1:4">
      <c r="A71" s="22">
        <f t="shared" si="4"/>
        <v>69</v>
      </c>
      <c r="B71" s="23">
        <v>690</v>
      </c>
      <c r="C71">
        <v>62480.285999999993</v>
      </c>
      <c r="D71">
        <f t="shared" si="5"/>
        <v>624.8028599999999</v>
      </c>
    </row>
    <row r="72" spans="1:4">
      <c r="A72" s="22">
        <f t="shared" si="4"/>
        <v>70</v>
      </c>
      <c r="B72" s="23">
        <v>700</v>
      </c>
      <c r="C72">
        <v>62477.71</v>
      </c>
      <c r="D72">
        <f t="shared" si="5"/>
        <v>624.77710000000002</v>
      </c>
    </row>
    <row r="73" spans="1:4">
      <c r="A73" s="22">
        <f t="shared" si="4"/>
        <v>71</v>
      </c>
      <c r="B73" s="23">
        <v>710</v>
      </c>
      <c r="C73">
        <v>62472.43</v>
      </c>
      <c r="D73">
        <f t="shared" si="5"/>
        <v>624.72429999999997</v>
      </c>
    </row>
    <row r="74" spans="1:4">
      <c r="A74" s="22">
        <f t="shared" si="4"/>
        <v>72</v>
      </c>
      <c r="B74" s="23">
        <v>720</v>
      </c>
      <c r="C74">
        <v>62467.15</v>
      </c>
      <c r="D74">
        <f t="shared" si="5"/>
        <v>624.67150000000004</v>
      </c>
    </row>
    <row r="75" spans="1:4">
      <c r="A75" s="22">
        <f t="shared" si="4"/>
        <v>73</v>
      </c>
      <c r="B75" s="23">
        <v>730</v>
      </c>
      <c r="C75">
        <v>62461.87</v>
      </c>
      <c r="D75">
        <f t="shared" si="5"/>
        <v>624.61869999999999</v>
      </c>
    </row>
    <row r="76" spans="1:4">
      <c r="A76" s="22">
        <f t="shared" si="4"/>
        <v>74</v>
      </c>
      <c r="B76" s="23">
        <v>740</v>
      </c>
      <c r="C76">
        <v>62456.590000000004</v>
      </c>
      <c r="D76">
        <f t="shared" si="5"/>
        <v>624.56590000000006</v>
      </c>
    </row>
    <row r="77" spans="1:4">
      <c r="A77" s="22">
        <f t="shared" si="4"/>
        <v>75</v>
      </c>
      <c r="B77" s="23">
        <v>750</v>
      </c>
      <c r="C77">
        <v>62451.31</v>
      </c>
      <c r="D77">
        <f t="shared" si="5"/>
        <v>624.51310000000001</v>
      </c>
    </row>
    <row r="78" spans="1:4">
      <c r="A78" s="22">
        <f t="shared" si="4"/>
        <v>76</v>
      </c>
      <c r="B78" s="23">
        <v>760</v>
      </c>
      <c r="C78">
        <v>62416.27</v>
      </c>
      <c r="D78">
        <f t="shared" si="5"/>
        <v>624.16269999999997</v>
      </c>
    </row>
    <row r="79" spans="1:4">
      <c r="A79" s="22">
        <f t="shared" si="4"/>
        <v>77</v>
      </c>
      <c r="B79" s="23">
        <v>770</v>
      </c>
      <c r="C79">
        <v>62381.229999999996</v>
      </c>
      <c r="D79">
        <f t="shared" si="5"/>
        <v>623.81229999999994</v>
      </c>
    </row>
    <row r="80" spans="1:4">
      <c r="A80" s="22">
        <f t="shared" si="4"/>
        <v>78</v>
      </c>
      <c r="B80" s="23">
        <v>780</v>
      </c>
      <c r="C80">
        <v>62346.189999999995</v>
      </c>
      <c r="D80">
        <f t="shared" si="5"/>
        <v>623.4618999999999</v>
      </c>
    </row>
    <row r="81" spans="1:4">
      <c r="A81" s="22">
        <f t="shared" si="4"/>
        <v>79</v>
      </c>
      <c r="B81" s="23">
        <v>790</v>
      </c>
      <c r="C81">
        <v>62311.149999999994</v>
      </c>
      <c r="D81">
        <f t="shared" si="5"/>
        <v>623.11149999999998</v>
      </c>
    </row>
    <row r="82" spans="1:4">
      <c r="A82" s="22">
        <f t="shared" si="4"/>
        <v>80</v>
      </c>
      <c r="B82" s="23">
        <v>800</v>
      </c>
      <c r="C82">
        <v>62276.11</v>
      </c>
      <c r="D82">
        <f t="shared" si="5"/>
        <v>622.76110000000006</v>
      </c>
    </row>
    <row r="83" spans="1:4">
      <c r="A83" s="22">
        <f t="shared" si="4"/>
        <v>81</v>
      </c>
      <c r="B83" s="23">
        <v>810</v>
      </c>
      <c r="C83">
        <v>62216.453999999998</v>
      </c>
      <c r="D83">
        <f t="shared" si="5"/>
        <v>622.16453999999999</v>
      </c>
    </row>
    <row r="84" spans="1:4">
      <c r="A84" s="22">
        <f t="shared" si="4"/>
        <v>82</v>
      </c>
      <c r="B84" s="23">
        <v>820</v>
      </c>
      <c r="C84">
        <v>62156.797999999995</v>
      </c>
      <c r="D84">
        <f t="shared" si="5"/>
        <v>621.56797999999992</v>
      </c>
    </row>
    <row r="85" spans="1:4">
      <c r="A85" s="22">
        <f t="shared" si="4"/>
        <v>83</v>
      </c>
      <c r="B85" s="23">
        <v>830</v>
      </c>
      <c r="C85">
        <v>62097.141999999993</v>
      </c>
      <c r="D85">
        <f t="shared" si="5"/>
        <v>620.97141999999997</v>
      </c>
    </row>
    <row r="86" spans="1:4">
      <c r="A86" s="22">
        <f t="shared" si="4"/>
        <v>84</v>
      </c>
      <c r="B86" s="23">
        <v>840</v>
      </c>
      <c r="C86">
        <v>62037.48599999999</v>
      </c>
      <c r="D86">
        <f t="shared" si="5"/>
        <v>620.3748599999999</v>
      </c>
    </row>
    <row r="87" spans="1:4">
      <c r="A87" s="22">
        <f t="shared" si="4"/>
        <v>85</v>
      </c>
      <c r="B87" s="23">
        <v>850</v>
      </c>
      <c r="C87">
        <v>61977.83</v>
      </c>
      <c r="D87">
        <f t="shared" si="5"/>
        <v>619.77830000000006</v>
      </c>
    </row>
    <row r="88" spans="1:4">
      <c r="A88" s="22">
        <f t="shared" si="4"/>
        <v>86</v>
      </c>
      <c r="B88" s="23">
        <v>860</v>
      </c>
      <c r="C88">
        <v>61899.144</v>
      </c>
      <c r="D88">
        <f t="shared" si="5"/>
        <v>618.99144000000001</v>
      </c>
    </row>
    <row r="89" spans="1:4">
      <c r="A89" s="22">
        <f t="shared" si="4"/>
        <v>87</v>
      </c>
      <c r="B89" s="23">
        <v>870</v>
      </c>
      <c r="C89">
        <v>61820.457999999999</v>
      </c>
      <c r="D89">
        <f t="shared" si="5"/>
        <v>618.20457999999996</v>
      </c>
    </row>
    <row r="90" spans="1:4">
      <c r="A90" s="22">
        <f t="shared" si="4"/>
        <v>88</v>
      </c>
      <c r="B90" s="23">
        <v>880</v>
      </c>
      <c r="C90">
        <v>61741.771999999997</v>
      </c>
      <c r="D90">
        <f t="shared" si="5"/>
        <v>617.41771999999992</v>
      </c>
    </row>
    <row r="91" spans="1:4">
      <c r="A91" s="22">
        <f t="shared" si="4"/>
        <v>89</v>
      </c>
      <c r="B91" s="23">
        <v>890</v>
      </c>
      <c r="C91">
        <v>61663.085999999996</v>
      </c>
      <c r="D91">
        <f t="shared" si="5"/>
        <v>616.63085999999998</v>
      </c>
    </row>
    <row r="92" spans="1:4">
      <c r="A92" s="22">
        <f t="shared" ref="A92:A130" si="6">$B92/10</f>
        <v>90</v>
      </c>
      <c r="B92" s="23">
        <v>900</v>
      </c>
      <c r="C92">
        <v>61584.4</v>
      </c>
      <c r="D92">
        <f t="shared" ref="D92:D130" si="7">$C92/100</f>
        <v>615.84400000000005</v>
      </c>
    </row>
    <row r="93" spans="1:4">
      <c r="A93" s="22">
        <f t="shared" si="6"/>
        <v>91</v>
      </c>
      <c r="B93" s="23">
        <v>910</v>
      </c>
      <c r="C93">
        <v>61489.21</v>
      </c>
      <c r="D93">
        <f t="shared" si="7"/>
        <v>614.89210000000003</v>
      </c>
    </row>
    <row r="94" spans="1:4">
      <c r="A94" s="22">
        <f t="shared" si="6"/>
        <v>92</v>
      </c>
      <c r="B94" s="23">
        <v>920</v>
      </c>
      <c r="C94">
        <v>61394.02</v>
      </c>
      <c r="D94">
        <f t="shared" si="7"/>
        <v>613.9402</v>
      </c>
    </row>
    <row r="95" spans="1:4">
      <c r="A95" s="22">
        <f t="shared" si="6"/>
        <v>93</v>
      </c>
      <c r="B95" s="23">
        <v>930</v>
      </c>
      <c r="C95">
        <v>61298.829999999994</v>
      </c>
      <c r="D95">
        <f t="shared" si="7"/>
        <v>612.98829999999998</v>
      </c>
    </row>
    <row r="96" spans="1:4">
      <c r="A96" s="22">
        <f t="shared" si="6"/>
        <v>94</v>
      </c>
      <c r="B96" s="23">
        <v>940</v>
      </c>
      <c r="C96">
        <v>61203.639999999992</v>
      </c>
      <c r="D96">
        <f t="shared" si="7"/>
        <v>612.03639999999996</v>
      </c>
    </row>
    <row r="97" spans="1:4">
      <c r="A97" s="22">
        <f t="shared" si="6"/>
        <v>95</v>
      </c>
      <c r="B97" s="23">
        <v>950</v>
      </c>
      <c r="C97">
        <v>61108.45</v>
      </c>
      <c r="D97">
        <f t="shared" si="7"/>
        <v>611.08449999999993</v>
      </c>
    </row>
    <row r="98" spans="1:4">
      <c r="A98" s="22">
        <f t="shared" si="6"/>
        <v>96</v>
      </c>
      <c r="B98" s="23">
        <v>960</v>
      </c>
      <c r="C98">
        <v>60999.377999999997</v>
      </c>
      <c r="D98">
        <f t="shared" si="7"/>
        <v>609.99378000000002</v>
      </c>
    </row>
    <row r="99" spans="1:4">
      <c r="A99" s="22">
        <f t="shared" si="6"/>
        <v>97</v>
      </c>
      <c r="B99" s="23">
        <v>970</v>
      </c>
      <c r="C99">
        <v>60890.305999999997</v>
      </c>
      <c r="D99">
        <f t="shared" si="7"/>
        <v>608.90305999999998</v>
      </c>
    </row>
    <row r="100" spans="1:4">
      <c r="A100" s="22">
        <f t="shared" si="6"/>
        <v>98</v>
      </c>
      <c r="B100" s="23">
        <v>980</v>
      </c>
      <c r="C100">
        <v>60781.233999999997</v>
      </c>
      <c r="D100">
        <f t="shared" si="7"/>
        <v>607.81233999999995</v>
      </c>
    </row>
    <row r="101" spans="1:4">
      <c r="A101" s="22">
        <f t="shared" si="6"/>
        <v>99</v>
      </c>
      <c r="B101" s="23">
        <v>990</v>
      </c>
      <c r="C101">
        <v>60672.161999999997</v>
      </c>
      <c r="D101">
        <f t="shared" si="7"/>
        <v>606.72161999999992</v>
      </c>
    </row>
    <row r="102" spans="1:4">
      <c r="A102" s="22">
        <f t="shared" si="6"/>
        <v>100</v>
      </c>
      <c r="B102" s="23">
        <v>1000</v>
      </c>
      <c r="C102">
        <v>60563.09</v>
      </c>
      <c r="D102">
        <f t="shared" si="7"/>
        <v>605.6309</v>
      </c>
    </row>
    <row r="103" spans="1:4">
      <c r="A103" s="22">
        <f t="shared" si="6"/>
        <v>101</v>
      </c>
      <c r="B103" s="23">
        <v>1010</v>
      </c>
      <c r="C103">
        <v>60443.031999999999</v>
      </c>
      <c r="D103">
        <f t="shared" si="7"/>
        <v>604.43031999999994</v>
      </c>
    </row>
    <row r="104" spans="1:4">
      <c r="A104" s="22">
        <f t="shared" si="6"/>
        <v>102</v>
      </c>
      <c r="B104" s="23">
        <v>1020</v>
      </c>
      <c r="C104">
        <v>60322.974000000002</v>
      </c>
      <c r="D104">
        <f t="shared" si="7"/>
        <v>603.22973999999999</v>
      </c>
    </row>
    <row r="105" spans="1:4">
      <c r="A105" s="22">
        <f t="shared" si="6"/>
        <v>103</v>
      </c>
      <c r="B105" s="23">
        <v>1030</v>
      </c>
      <c r="C105">
        <v>60202.916000000005</v>
      </c>
      <c r="D105">
        <f t="shared" si="7"/>
        <v>602.02916000000005</v>
      </c>
    </row>
    <row r="106" spans="1:4">
      <c r="A106" s="22">
        <f t="shared" si="6"/>
        <v>104</v>
      </c>
      <c r="B106" s="23">
        <v>1040</v>
      </c>
      <c r="C106">
        <v>60082.858000000007</v>
      </c>
      <c r="D106">
        <f t="shared" si="7"/>
        <v>600.8285800000001</v>
      </c>
    </row>
    <row r="107" spans="1:4">
      <c r="A107" s="22">
        <f t="shared" si="6"/>
        <v>105</v>
      </c>
      <c r="B107" s="23">
        <v>1050</v>
      </c>
      <c r="C107">
        <v>59962.8</v>
      </c>
      <c r="D107">
        <f t="shared" si="7"/>
        <v>599.62800000000004</v>
      </c>
    </row>
    <row r="108" spans="1:4">
      <c r="A108" s="22">
        <f t="shared" si="6"/>
        <v>106</v>
      </c>
      <c r="B108" s="23">
        <v>1060</v>
      </c>
      <c r="C108">
        <v>59836.518000000004</v>
      </c>
      <c r="D108">
        <f t="shared" si="7"/>
        <v>598.36518000000001</v>
      </c>
    </row>
    <row r="109" spans="1:4">
      <c r="A109" s="22">
        <f t="shared" si="6"/>
        <v>107</v>
      </c>
      <c r="B109" s="23">
        <v>1070</v>
      </c>
      <c r="C109">
        <v>59710.236000000004</v>
      </c>
      <c r="D109">
        <f t="shared" si="7"/>
        <v>597.10236000000009</v>
      </c>
    </row>
    <row r="110" spans="1:4">
      <c r="A110" s="22">
        <f t="shared" si="6"/>
        <v>108</v>
      </c>
      <c r="B110" s="23">
        <v>1080</v>
      </c>
      <c r="C110">
        <v>59583.954000000005</v>
      </c>
      <c r="D110">
        <f t="shared" si="7"/>
        <v>595.83954000000006</v>
      </c>
    </row>
    <row r="111" spans="1:4">
      <c r="A111" s="22">
        <f t="shared" si="6"/>
        <v>109</v>
      </c>
      <c r="B111" s="23">
        <v>1090</v>
      </c>
      <c r="C111">
        <v>59457.672000000006</v>
      </c>
      <c r="D111">
        <f t="shared" si="7"/>
        <v>594.57672000000002</v>
      </c>
    </row>
    <row r="112" spans="1:4">
      <c r="A112" s="22">
        <f t="shared" si="6"/>
        <v>110</v>
      </c>
      <c r="B112" s="23">
        <v>1100</v>
      </c>
      <c r="C112">
        <v>59331.39</v>
      </c>
      <c r="D112">
        <f t="shared" si="7"/>
        <v>593.31389999999999</v>
      </c>
    </row>
    <row r="113" spans="1:4">
      <c r="A113" s="22">
        <f t="shared" si="6"/>
        <v>111</v>
      </c>
      <c r="B113" s="23">
        <v>1110</v>
      </c>
      <c r="C113">
        <v>59204.686000000002</v>
      </c>
      <c r="D113">
        <f t="shared" si="7"/>
        <v>592.04686000000004</v>
      </c>
    </row>
    <row r="114" spans="1:4">
      <c r="A114" s="22">
        <f t="shared" si="6"/>
        <v>112</v>
      </c>
      <c r="B114" s="23">
        <v>1120</v>
      </c>
      <c r="C114">
        <v>59077.982000000004</v>
      </c>
      <c r="D114">
        <f t="shared" si="7"/>
        <v>590.77982000000009</v>
      </c>
    </row>
    <row r="115" spans="1:4">
      <c r="A115" s="22">
        <f t="shared" si="6"/>
        <v>113</v>
      </c>
      <c r="B115" s="23">
        <v>1130</v>
      </c>
      <c r="C115">
        <v>58951.278000000006</v>
      </c>
      <c r="D115">
        <f t="shared" si="7"/>
        <v>589.51278000000002</v>
      </c>
    </row>
    <row r="116" spans="1:4">
      <c r="A116" s="22">
        <f t="shared" si="6"/>
        <v>114</v>
      </c>
      <c r="B116" s="23">
        <v>1140</v>
      </c>
      <c r="C116">
        <v>58824.574000000008</v>
      </c>
      <c r="D116">
        <f t="shared" si="7"/>
        <v>588.24574000000007</v>
      </c>
    </row>
    <row r="117" spans="1:4">
      <c r="A117" s="22">
        <f t="shared" si="6"/>
        <v>115</v>
      </c>
      <c r="B117" s="23">
        <v>1150</v>
      </c>
      <c r="C117">
        <v>58697.87</v>
      </c>
      <c r="D117">
        <f t="shared" si="7"/>
        <v>586.9787</v>
      </c>
    </row>
    <row r="118" spans="1:4">
      <c r="A118" s="22">
        <f t="shared" si="6"/>
        <v>116</v>
      </c>
      <c r="B118" s="23">
        <v>1160</v>
      </c>
      <c r="C118">
        <v>58571.41</v>
      </c>
      <c r="D118">
        <f t="shared" si="7"/>
        <v>585.71410000000003</v>
      </c>
    </row>
    <row r="119" spans="1:4">
      <c r="A119" s="22">
        <f t="shared" si="6"/>
        <v>117</v>
      </c>
      <c r="B119" s="23">
        <v>1170</v>
      </c>
      <c r="C119">
        <v>58444.950000000004</v>
      </c>
      <c r="D119">
        <f t="shared" si="7"/>
        <v>584.44950000000006</v>
      </c>
    </row>
    <row r="120" spans="1:4">
      <c r="A120" s="22">
        <f t="shared" si="6"/>
        <v>118</v>
      </c>
      <c r="B120" s="23">
        <v>1180</v>
      </c>
      <c r="C120">
        <v>58318.490000000005</v>
      </c>
      <c r="D120">
        <f t="shared" si="7"/>
        <v>583.18490000000008</v>
      </c>
    </row>
    <row r="121" spans="1:4">
      <c r="A121" s="22">
        <f t="shared" si="6"/>
        <v>119</v>
      </c>
      <c r="B121" s="23">
        <v>1190</v>
      </c>
      <c r="C121">
        <v>58192.030000000006</v>
      </c>
      <c r="D121">
        <f t="shared" si="7"/>
        <v>581.92030000000011</v>
      </c>
    </row>
    <row r="122" spans="1:4">
      <c r="A122" s="22">
        <f t="shared" si="6"/>
        <v>120</v>
      </c>
      <c r="B122" s="23">
        <v>1200</v>
      </c>
      <c r="C122">
        <v>58065.57</v>
      </c>
      <c r="D122">
        <f t="shared" si="7"/>
        <v>580.65570000000002</v>
      </c>
    </row>
    <row r="123" spans="1:4">
      <c r="A123" s="22">
        <f t="shared" si="6"/>
        <v>121</v>
      </c>
      <c r="B123" s="23">
        <v>1210</v>
      </c>
      <c r="C123">
        <v>57939.347999999998</v>
      </c>
      <c r="D123">
        <f t="shared" si="7"/>
        <v>579.39347999999995</v>
      </c>
    </row>
    <row r="124" spans="1:4">
      <c r="A124" s="22">
        <f t="shared" si="6"/>
        <v>122</v>
      </c>
      <c r="B124" s="23">
        <v>1220</v>
      </c>
      <c r="C124">
        <v>57813.125999999997</v>
      </c>
      <c r="D124">
        <f t="shared" si="7"/>
        <v>578.13126</v>
      </c>
    </row>
    <row r="125" spans="1:4">
      <c r="A125" s="22">
        <f t="shared" si="6"/>
        <v>123</v>
      </c>
      <c r="B125" s="23">
        <v>1230</v>
      </c>
      <c r="C125">
        <v>57686.903999999995</v>
      </c>
      <c r="D125">
        <f t="shared" si="7"/>
        <v>576.86903999999993</v>
      </c>
    </row>
    <row r="126" spans="1:4">
      <c r="A126" s="22">
        <f t="shared" si="6"/>
        <v>124</v>
      </c>
      <c r="B126" s="23">
        <v>1240</v>
      </c>
      <c r="C126">
        <v>57560.681999999993</v>
      </c>
      <c r="D126">
        <f t="shared" si="7"/>
        <v>575.60681999999997</v>
      </c>
    </row>
    <row r="127" spans="1:4">
      <c r="A127" s="22">
        <f t="shared" si="6"/>
        <v>125</v>
      </c>
      <c r="B127" s="23">
        <v>1250</v>
      </c>
      <c r="C127">
        <v>57434.46</v>
      </c>
      <c r="D127">
        <f t="shared" si="7"/>
        <v>574.34460000000001</v>
      </c>
    </row>
    <row r="128" spans="1:4">
      <c r="A128" s="22">
        <f t="shared" si="6"/>
        <v>126</v>
      </c>
      <c r="B128" s="23">
        <v>1260</v>
      </c>
      <c r="C128">
        <v>57308.464</v>
      </c>
      <c r="D128">
        <f t="shared" si="7"/>
        <v>573.08464000000004</v>
      </c>
    </row>
    <row r="129" spans="1:4">
      <c r="A129" s="22">
        <f t="shared" si="6"/>
        <v>127</v>
      </c>
      <c r="B129" s="23">
        <v>1270</v>
      </c>
      <c r="C129">
        <v>57182.468000000001</v>
      </c>
      <c r="D129">
        <f t="shared" si="7"/>
        <v>571.82468000000006</v>
      </c>
    </row>
    <row r="130" spans="1:4">
      <c r="A130" s="22">
        <f t="shared" si="6"/>
        <v>128</v>
      </c>
      <c r="B130" s="23">
        <v>1280</v>
      </c>
      <c r="C130">
        <v>57056.472000000002</v>
      </c>
      <c r="D130">
        <f t="shared" si="7"/>
        <v>570.56471999999997</v>
      </c>
    </row>
    <row r="131" spans="1:4">
      <c r="A131" s="22">
        <f t="shared" ref="A131:A194" si="8">$B131/10</f>
        <v>129</v>
      </c>
      <c r="B131" s="23">
        <v>1290</v>
      </c>
      <c r="C131">
        <v>56930.972000000002</v>
      </c>
      <c r="D131">
        <f t="shared" ref="D131:D194" si="9">$C131/100</f>
        <v>569.30971999999997</v>
      </c>
    </row>
    <row r="132" spans="1:4">
      <c r="A132" s="22">
        <f t="shared" si="8"/>
        <v>130</v>
      </c>
      <c r="B132" s="23">
        <v>1300</v>
      </c>
      <c r="C132">
        <v>56804.480000000003</v>
      </c>
      <c r="D132">
        <f t="shared" si="9"/>
        <v>568.04480000000001</v>
      </c>
    </row>
    <row r="133" spans="1:4">
      <c r="A133" s="22">
        <f t="shared" si="8"/>
        <v>131</v>
      </c>
      <c r="B133" s="23">
        <v>1310</v>
      </c>
      <c r="C133" s="37">
        <v>56678.684000000001</v>
      </c>
      <c r="D133">
        <f>$C133/100</f>
        <v>566.78683999999998</v>
      </c>
    </row>
    <row r="134" spans="1:4">
      <c r="A134" s="22">
        <f t="shared" si="8"/>
        <v>132</v>
      </c>
      <c r="B134" s="23">
        <v>1320</v>
      </c>
      <c r="C134" s="37">
        <v>56552.887999999999</v>
      </c>
      <c r="D134">
        <f t="shared" si="9"/>
        <v>565.52887999999996</v>
      </c>
    </row>
    <row r="135" spans="1:4">
      <c r="A135" s="22">
        <f t="shared" si="8"/>
        <v>133</v>
      </c>
      <c r="B135" s="23">
        <v>1330</v>
      </c>
      <c r="C135" s="37">
        <v>56427.091999999997</v>
      </c>
      <c r="D135">
        <f t="shared" si="9"/>
        <v>564.27091999999993</v>
      </c>
    </row>
    <row r="136" spans="1:4">
      <c r="A136" s="22">
        <f t="shared" si="8"/>
        <v>134</v>
      </c>
      <c r="B136" s="23">
        <v>1340</v>
      </c>
      <c r="C136" s="37">
        <v>56301.295999999995</v>
      </c>
      <c r="D136">
        <f t="shared" si="9"/>
        <v>563.01295999999991</v>
      </c>
    </row>
    <row r="137" spans="1:4">
      <c r="A137" s="22">
        <f t="shared" si="8"/>
        <v>135</v>
      </c>
      <c r="B137" s="23">
        <v>1350</v>
      </c>
      <c r="C137">
        <v>56175.5</v>
      </c>
      <c r="D137">
        <f t="shared" si="9"/>
        <v>561.755</v>
      </c>
    </row>
    <row r="138" spans="1:4">
      <c r="A138" s="22">
        <f t="shared" si="8"/>
        <v>136</v>
      </c>
      <c r="B138" s="23">
        <v>1360</v>
      </c>
      <c r="C138">
        <v>56049.872000000003</v>
      </c>
      <c r="D138">
        <f t="shared" si="9"/>
        <v>560.49872000000005</v>
      </c>
    </row>
    <row r="139" spans="1:4">
      <c r="A139" s="22">
        <f t="shared" si="8"/>
        <v>137</v>
      </c>
      <c r="B139" s="23">
        <v>1370</v>
      </c>
      <c r="C139">
        <v>55924.244000000006</v>
      </c>
      <c r="D139">
        <f t="shared" si="9"/>
        <v>559.2424400000001</v>
      </c>
    </row>
    <row r="140" spans="1:4">
      <c r="A140" s="22">
        <f t="shared" si="8"/>
        <v>138</v>
      </c>
      <c r="B140" s="23">
        <v>1380</v>
      </c>
      <c r="C140">
        <v>55798.616000000009</v>
      </c>
      <c r="D140">
        <f t="shared" si="9"/>
        <v>557.98616000000004</v>
      </c>
    </row>
    <row r="141" spans="1:4">
      <c r="A141" s="22">
        <f t="shared" si="8"/>
        <v>139</v>
      </c>
      <c r="B141" s="23">
        <v>1390</v>
      </c>
      <c r="C141">
        <v>55672.988000000012</v>
      </c>
      <c r="D141">
        <f t="shared" si="9"/>
        <v>556.72988000000009</v>
      </c>
    </row>
    <row r="142" spans="1:4">
      <c r="A142" s="22">
        <f t="shared" si="8"/>
        <v>140</v>
      </c>
      <c r="B142" s="23">
        <v>1400</v>
      </c>
      <c r="C142">
        <v>55547.360000000001</v>
      </c>
      <c r="D142">
        <f t="shared" si="9"/>
        <v>555.47360000000003</v>
      </c>
    </row>
    <row r="143" spans="1:4">
      <c r="A143" s="22">
        <f t="shared" si="8"/>
        <v>141</v>
      </c>
      <c r="B143" s="23">
        <v>1410</v>
      </c>
      <c r="C143">
        <v>55421.838000000003</v>
      </c>
      <c r="D143">
        <f t="shared" si="9"/>
        <v>554.21838000000002</v>
      </c>
    </row>
    <row r="144" spans="1:4">
      <c r="A144" s="22">
        <f t="shared" si="8"/>
        <v>142</v>
      </c>
      <c r="B144" s="23">
        <v>1420</v>
      </c>
      <c r="C144">
        <v>55296.316000000006</v>
      </c>
      <c r="D144">
        <f t="shared" si="9"/>
        <v>552.96316000000002</v>
      </c>
    </row>
    <row r="145" spans="1:4">
      <c r="A145" s="22">
        <f t="shared" si="8"/>
        <v>143</v>
      </c>
      <c r="B145" s="23">
        <v>1430</v>
      </c>
      <c r="C145">
        <v>55170.794000000009</v>
      </c>
      <c r="D145">
        <f t="shared" si="9"/>
        <v>551.70794000000012</v>
      </c>
    </row>
    <row r="146" spans="1:4">
      <c r="A146" s="22">
        <f t="shared" si="8"/>
        <v>144</v>
      </c>
      <c r="B146" s="23">
        <v>1440</v>
      </c>
      <c r="C146">
        <v>55045.272000000012</v>
      </c>
      <c r="D146">
        <f t="shared" si="9"/>
        <v>550.45272000000011</v>
      </c>
    </row>
    <row r="147" spans="1:4">
      <c r="A147" s="22">
        <f t="shared" si="8"/>
        <v>145</v>
      </c>
      <c r="B147" s="23">
        <v>1450</v>
      </c>
      <c r="C147">
        <v>54919.75</v>
      </c>
      <c r="D147">
        <f t="shared" si="9"/>
        <v>549.19749999999999</v>
      </c>
    </row>
    <row r="148" spans="1:4">
      <c r="A148" s="22">
        <f t="shared" si="8"/>
        <v>146</v>
      </c>
      <c r="B148" s="23">
        <v>1460</v>
      </c>
      <c r="C148">
        <v>54794.25</v>
      </c>
      <c r="D148">
        <f t="shared" si="9"/>
        <v>547.9425</v>
      </c>
    </row>
    <row r="149" spans="1:4">
      <c r="A149" s="22">
        <f t="shared" si="8"/>
        <v>147</v>
      </c>
      <c r="B149" s="23">
        <v>1470</v>
      </c>
      <c r="C149">
        <v>54668.75</v>
      </c>
      <c r="D149">
        <f t="shared" si="9"/>
        <v>546.6875</v>
      </c>
    </row>
    <row r="150" spans="1:4">
      <c r="A150" s="22">
        <f t="shared" si="8"/>
        <v>148</v>
      </c>
      <c r="B150" s="23">
        <v>1480</v>
      </c>
      <c r="C150">
        <v>54543.25</v>
      </c>
      <c r="D150">
        <f t="shared" si="9"/>
        <v>545.4325</v>
      </c>
    </row>
    <row r="151" spans="1:4">
      <c r="A151" s="22">
        <f t="shared" si="8"/>
        <v>149</v>
      </c>
      <c r="B151" s="23">
        <v>1490</v>
      </c>
      <c r="C151">
        <v>54417.75</v>
      </c>
      <c r="D151">
        <f t="shared" si="9"/>
        <v>544.17750000000001</v>
      </c>
    </row>
    <row r="152" spans="1:4">
      <c r="A152" s="22">
        <f t="shared" si="8"/>
        <v>150</v>
      </c>
      <c r="B152" s="23">
        <v>1500</v>
      </c>
      <c r="C152">
        <v>54292.25</v>
      </c>
      <c r="D152">
        <f t="shared" si="9"/>
        <v>542.92250000000001</v>
      </c>
    </row>
    <row r="153" spans="1:4">
      <c r="A153" s="22">
        <f t="shared" si="8"/>
        <v>151</v>
      </c>
      <c r="B153" s="23">
        <v>1510</v>
      </c>
      <c r="C153">
        <v>54166.75</v>
      </c>
      <c r="D153">
        <f t="shared" si="9"/>
        <v>541.66750000000002</v>
      </c>
    </row>
    <row r="154" spans="1:4">
      <c r="A154" s="22">
        <f t="shared" si="8"/>
        <v>152</v>
      </c>
      <c r="B154" s="23">
        <v>1520</v>
      </c>
      <c r="C154">
        <v>54041.25</v>
      </c>
      <c r="D154">
        <f t="shared" si="9"/>
        <v>540.41250000000002</v>
      </c>
    </row>
    <row r="155" spans="1:4">
      <c r="A155" s="22">
        <f t="shared" si="8"/>
        <v>153</v>
      </c>
      <c r="B155" s="23">
        <v>1530</v>
      </c>
      <c r="C155">
        <v>53915.75</v>
      </c>
      <c r="D155">
        <f t="shared" si="9"/>
        <v>539.15750000000003</v>
      </c>
    </row>
    <row r="156" spans="1:4">
      <c r="A156" s="22">
        <f t="shared" si="8"/>
        <v>154</v>
      </c>
      <c r="B156" s="23">
        <v>1540</v>
      </c>
      <c r="C156">
        <v>53790.25</v>
      </c>
      <c r="D156">
        <f t="shared" si="9"/>
        <v>537.90250000000003</v>
      </c>
    </row>
    <row r="157" spans="1:4">
      <c r="A157" s="22">
        <f t="shared" si="8"/>
        <v>155</v>
      </c>
      <c r="B157" s="23">
        <v>1550</v>
      </c>
      <c r="C157">
        <v>53664.75</v>
      </c>
      <c r="D157">
        <f t="shared" si="9"/>
        <v>536.64750000000004</v>
      </c>
    </row>
    <row r="158" spans="1:4">
      <c r="A158" s="22">
        <f t="shared" si="8"/>
        <v>156</v>
      </c>
      <c r="B158" s="23">
        <v>1560</v>
      </c>
      <c r="C158">
        <v>53539.25</v>
      </c>
      <c r="D158">
        <f t="shared" si="9"/>
        <v>535.39250000000004</v>
      </c>
    </row>
    <row r="159" spans="1:4">
      <c r="A159" s="22">
        <f t="shared" si="8"/>
        <v>157</v>
      </c>
      <c r="B159" s="23">
        <v>1570</v>
      </c>
      <c r="C159">
        <v>53413.75</v>
      </c>
      <c r="D159">
        <f t="shared" si="9"/>
        <v>534.13750000000005</v>
      </c>
    </row>
    <row r="160" spans="1:4">
      <c r="A160" s="22">
        <f t="shared" si="8"/>
        <v>158</v>
      </c>
      <c r="B160" s="23">
        <v>1580</v>
      </c>
      <c r="C160">
        <v>53288.25</v>
      </c>
      <c r="D160">
        <f t="shared" si="9"/>
        <v>532.88250000000005</v>
      </c>
    </row>
    <row r="161" spans="1:4">
      <c r="A161" s="22">
        <f t="shared" si="8"/>
        <v>159</v>
      </c>
      <c r="B161" s="23">
        <v>1590</v>
      </c>
      <c r="C161">
        <v>53162.75</v>
      </c>
      <c r="D161">
        <f t="shared" si="9"/>
        <v>531.62750000000005</v>
      </c>
    </row>
    <row r="162" spans="1:4">
      <c r="A162" s="22">
        <f t="shared" si="8"/>
        <v>160</v>
      </c>
      <c r="B162" s="23">
        <v>1600</v>
      </c>
      <c r="C162">
        <v>53037.25</v>
      </c>
      <c r="D162">
        <f t="shared" si="9"/>
        <v>530.37249999999995</v>
      </c>
    </row>
    <row r="163" spans="1:4">
      <c r="A163" s="22">
        <f t="shared" si="8"/>
        <v>161</v>
      </c>
      <c r="B163" s="23">
        <v>1610</v>
      </c>
      <c r="C163">
        <v>52911.75</v>
      </c>
      <c r="D163">
        <f t="shared" si="9"/>
        <v>529.11749999999995</v>
      </c>
    </row>
    <row r="164" spans="1:4">
      <c r="A164" s="22">
        <f t="shared" si="8"/>
        <v>162</v>
      </c>
      <c r="B164" s="23">
        <v>1620</v>
      </c>
      <c r="C164">
        <v>52786.25</v>
      </c>
      <c r="D164">
        <f t="shared" si="9"/>
        <v>527.86249999999995</v>
      </c>
    </row>
    <row r="165" spans="1:4">
      <c r="A165" s="22">
        <f t="shared" si="8"/>
        <v>163</v>
      </c>
      <c r="B165" s="23">
        <v>1630</v>
      </c>
      <c r="C165">
        <v>52660.75</v>
      </c>
      <c r="D165">
        <f t="shared" si="9"/>
        <v>526.60749999999996</v>
      </c>
    </row>
    <row r="166" spans="1:4">
      <c r="A166" s="22">
        <f t="shared" si="8"/>
        <v>164</v>
      </c>
      <c r="B166" s="23">
        <v>1640</v>
      </c>
      <c r="C166">
        <v>52535.25</v>
      </c>
      <c r="D166">
        <f t="shared" si="9"/>
        <v>525.35249999999996</v>
      </c>
    </row>
    <row r="167" spans="1:4">
      <c r="A167" s="22">
        <f t="shared" si="8"/>
        <v>165</v>
      </c>
      <c r="B167" s="23">
        <v>1650</v>
      </c>
      <c r="C167">
        <v>52409.75</v>
      </c>
      <c r="D167">
        <f t="shared" si="9"/>
        <v>524.09749999999997</v>
      </c>
    </row>
    <row r="168" spans="1:4">
      <c r="A168" s="22">
        <f t="shared" si="8"/>
        <v>166</v>
      </c>
      <c r="B168" s="23">
        <v>1660</v>
      </c>
      <c r="C168">
        <v>52284.25</v>
      </c>
      <c r="D168">
        <f t="shared" si="9"/>
        <v>522.84249999999997</v>
      </c>
    </row>
    <row r="169" spans="1:4">
      <c r="A169" s="22">
        <f t="shared" si="8"/>
        <v>167</v>
      </c>
      <c r="B169" s="23">
        <v>1670</v>
      </c>
      <c r="C169">
        <v>52158.75</v>
      </c>
      <c r="D169">
        <f t="shared" si="9"/>
        <v>521.58749999999998</v>
      </c>
    </row>
    <row r="170" spans="1:4">
      <c r="A170" s="22">
        <f t="shared" si="8"/>
        <v>168</v>
      </c>
      <c r="B170" s="23">
        <v>1680</v>
      </c>
      <c r="C170">
        <v>52033.25</v>
      </c>
      <c r="D170">
        <f t="shared" si="9"/>
        <v>520.33249999999998</v>
      </c>
    </row>
    <row r="171" spans="1:4">
      <c r="A171" s="22">
        <f t="shared" si="8"/>
        <v>169</v>
      </c>
      <c r="B171" s="23">
        <v>1690</v>
      </c>
      <c r="C171">
        <v>51907.75</v>
      </c>
      <c r="D171">
        <f t="shared" si="9"/>
        <v>519.07749999999999</v>
      </c>
    </row>
    <row r="172" spans="1:4">
      <c r="A172" s="22">
        <f t="shared" si="8"/>
        <v>170</v>
      </c>
      <c r="B172" s="23">
        <v>1700</v>
      </c>
      <c r="C172">
        <v>51782.25</v>
      </c>
      <c r="D172">
        <f t="shared" si="9"/>
        <v>517.82249999999999</v>
      </c>
    </row>
    <row r="173" spans="1:4">
      <c r="A173" s="22">
        <f t="shared" si="8"/>
        <v>171</v>
      </c>
      <c r="B173" s="23">
        <v>1710</v>
      </c>
      <c r="C173">
        <v>51656.75</v>
      </c>
      <c r="D173">
        <f t="shared" si="9"/>
        <v>516.5675</v>
      </c>
    </row>
    <row r="174" spans="1:4">
      <c r="A174" s="22">
        <f t="shared" si="8"/>
        <v>172</v>
      </c>
      <c r="B174" s="23">
        <v>1720</v>
      </c>
      <c r="C174">
        <v>51531.25</v>
      </c>
      <c r="D174">
        <f t="shared" si="9"/>
        <v>515.3125</v>
      </c>
    </row>
    <row r="175" spans="1:4">
      <c r="A175" s="22">
        <f t="shared" si="8"/>
        <v>173</v>
      </c>
      <c r="B175" s="23">
        <v>1730</v>
      </c>
      <c r="C175">
        <v>51405.75</v>
      </c>
      <c r="D175">
        <f t="shared" si="9"/>
        <v>514.0575</v>
      </c>
    </row>
    <row r="176" spans="1:4">
      <c r="A176" s="22">
        <f t="shared" si="8"/>
        <v>174</v>
      </c>
      <c r="B176" s="23">
        <v>1740</v>
      </c>
      <c r="C176">
        <v>51280.25</v>
      </c>
      <c r="D176">
        <f t="shared" si="9"/>
        <v>512.80250000000001</v>
      </c>
    </row>
    <row r="177" spans="1:4">
      <c r="A177" s="22">
        <f t="shared" si="8"/>
        <v>175</v>
      </c>
      <c r="B177" s="23">
        <v>1750</v>
      </c>
      <c r="C177">
        <v>51154.75</v>
      </c>
      <c r="D177">
        <f t="shared" si="9"/>
        <v>511.54750000000001</v>
      </c>
    </row>
    <row r="178" spans="1:4">
      <c r="A178" s="22">
        <f t="shared" si="8"/>
        <v>176</v>
      </c>
      <c r="B178" s="23">
        <v>1760</v>
      </c>
      <c r="C178">
        <v>51029.25</v>
      </c>
      <c r="D178">
        <f t="shared" si="9"/>
        <v>510.29250000000002</v>
      </c>
    </row>
    <row r="179" spans="1:4">
      <c r="A179" s="22">
        <f t="shared" si="8"/>
        <v>177</v>
      </c>
      <c r="B179" s="23">
        <v>1770</v>
      </c>
      <c r="C179">
        <v>50903.75</v>
      </c>
      <c r="D179">
        <f t="shared" si="9"/>
        <v>509.03750000000002</v>
      </c>
    </row>
    <row r="180" spans="1:4">
      <c r="A180" s="22">
        <f t="shared" si="8"/>
        <v>178</v>
      </c>
      <c r="B180" s="23">
        <v>1780</v>
      </c>
      <c r="C180">
        <v>50778.25</v>
      </c>
      <c r="D180">
        <f t="shared" si="9"/>
        <v>507.78250000000003</v>
      </c>
    </row>
    <row r="181" spans="1:4">
      <c r="A181" s="22">
        <f t="shared" si="8"/>
        <v>179</v>
      </c>
      <c r="B181" s="23">
        <v>1790</v>
      </c>
      <c r="C181">
        <v>50652.75</v>
      </c>
      <c r="D181">
        <f t="shared" si="9"/>
        <v>506.52749999999997</v>
      </c>
    </row>
    <row r="182" spans="1:4">
      <c r="A182" s="22">
        <f t="shared" si="8"/>
        <v>180</v>
      </c>
      <c r="B182" s="23">
        <v>1800</v>
      </c>
      <c r="C182">
        <v>50527.25</v>
      </c>
      <c r="D182">
        <f t="shared" si="9"/>
        <v>505.27249999999998</v>
      </c>
    </row>
    <row r="183" spans="1:4">
      <c r="A183" s="22">
        <f t="shared" si="8"/>
        <v>181</v>
      </c>
      <c r="B183" s="23">
        <v>1810</v>
      </c>
      <c r="C183">
        <v>50401.75</v>
      </c>
      <c r="D183">
        <f t="shared" si="9"/>
        <v>504.01749999999998</v>
      </c>
    </row>
    <row r="184" spans="1:4">
      <c r="A184" s="22">
        <f t="shared" si="8"/>
        <v>182</v>
      </c>
      <c r="B184" s="23">
        <v>1820</v>
      </c>
      <c r="C184">
        <v>50276.25</v>
      </c>
      <c r="D184">
        <f t="shared" si="9"/>
        <v>502.76249999999999</v>
      </c>
    </row>
    <row r="185" spans="1:4">
      <c r="A185" s="22">
        <f t="shared" si="8"/>
        <v>183</v>
      </c>
      <c r="B185" s="23">
        <v>1830</v>
      </c>
      <c r="C185">
        <v>50150.75</v>
      </c>
      <c r="D185">
        <f t="shared" si="9"/>
        <v>501.50749999999999</v>
      </c>
    </row>
    <row r="186" spans="1:4">
      <c r="A186" s="22">
        <f t="shared" si="8"/>
        <v>184</v>
      </c>
      <c r="B186" s="23">
        <v>1840</v>
      </c>
      <c r="C186">
        <v>50025.25</v>
      </c>
      <c r="D186">
        <f t="shared" si="9"/>
        <v>500.2525</v>
      </c>
    </row>
    <row r="187" spans="1:4">
      <c r="A187" s="22">
        <f t="shared" si="8"/>
        <v>185</v>
      </c>
      <c r="B187" s="23">
        <v>1850</v>
      </c>
      <c r="C187">
        <v>49899.75</v>
      </c>
      <c r="D187">
        <f t="shared" si="9"/>
        <v>498.9975</v>
      </c>
    </row>
    <row r="188" spans="1:4">
      <c r="A188" s="22">
        <f t="shared" si="8"/>
        <v>186</v>
      </c>
      <c r="B188" s="23">
        <v>1860</v>
      </c>
      <c r="C188">
        <v>49774.25</v>
      </c>
      <c r="D188">
        <f t="shared" si="9"/>
        <v>497.74250000000001</v>
      </c>
    </row>
    <row r="189" spans="1:4">
      <c r="A189" s="22">
        <f t="shared" si="8"/>
        <v>187</v>
      </c>
      <c r="B189" s="23">
        <v>1870</v>
      </c>
      <c r="C189">
        <v>49648.75</v>
      </c>
      <c r="D189">
        <f t="shared" si="9"/>
        <v>496.48750000000001</v>
      </c>
    </row>
    <row r="190" spans="1:4">
      <c r="A190" s="22">
        <f t="shared" si="8"/>
        <v>188</v>
      </c>
      <c r="B190" s="23">
        <v>1880</v>
      </c>
      <c r="C190">
        <v>49523.25</v>
      </c>
      <c r="D190">
        <f t="shared" si="9"/>
        <v>495.23250000000002</v>
      </c>
    </row>
    <row r="191" spans="1:4">
      <c r="A191" s="22">
        <f t="shared" si="8"/>
        <v>189</v>
      </c>
      <c r="B191" s="23">
        <v>1890</v>
      </c>
      <c r="C191">
        <v>49397.75</v>
      </c>
      <c r="D191">
        <f t="shared" si="9"/>
        <v>493.97750000000002</v>
      </c>
    </row>
    <row r="192" spans="1:4">
      <c r="A192" s="22">
        <f t="shared" si="8"/>
        <v>190</v>
      </c>
      <c r="B192" s="23">
        <v>1900</v>
      </c>
      <c r="C192">
        <v>49272.25</v>
      </c>
      <c r="D192">
        <f t="shared" si="9"/>
        <v>492.72250000000003</v>
      </c>
    </row>
    <row r="193" spans="1:4">
      <c r="A193" s="22">
        <f t="shared" si="8"/>
        <v>191</v>
      </c>
      <c r="B193" s="23">
        <v>1910</v>
      </c>
      <c r="C193">
        <v>49146.75</v>
      </c>
      <c r="D193">
        <f t="shared" si="9"/>
        <v>491.46749999999997</v>
      </c>
    </row>
    <row r="194" spans="1:4">
      <c r="A194" s="22">
        <f t="shared" si="8"/>
        <v>192</v>
      </c>
      <c r="B194" s="23">
        <v>1920</v>
      </c>
      <c r="C194">
        <v>49021.25</v>
      </c>
      <c r="D194">
        <f t="shared" si="9"/>
        <v>490.21249999999998</v>
      </c>
    </row>
    <row r="195" spans="1:4">
      <c r="A195" s="22">
        <f t="shared" ref="A195:A258" si="10">$B195/10</f>
        <v>193</v>
      </c>
      <c r="B195" s="23">
        <v>1930</v>
      </c>
      <c r="C195">
        <v>48895.75</v>
      </c>
      <c r="D195">
        <f t="shared" ref="D195:D258" si="11">$C195/100</f>
        <v>488.95749999999998</v>
      </c>
    </row>
    <row r="196" spans="1:4">
      <c r="A196" s="22">
        <f t="shared" si="10"/>
        <v>194</v>
      </c>
      <c r="B196" s="23">
        <v>1940</v>
      </c>
      <c r="C196">
        <v>48770.25</v>
      </c>
      <c r="D196">
        <f t="shared" si="11"/>
        <v>487.70249999999999</v>
      </c>
    </row>
    <row r="197" spans="1:4">
      <c r="A197" s="22">
        <f t="shared" si="10"/>
        <v>195</v>
      </c>
      <c r="B197" s="23">
        <v>1950</v>
      </c>
      <c r="C197">
        <v>48644.75</v>
      </c>
      <c r="D197">
        <f t="shared" si="11"/>
        <v>486.44749999999999</v>
      </c>
    </row>
    <row r="198" spans="1:4">
      <c r="A198" s="22">
        <f t="shared" si="10"/>
        <v>196</v>
      </c>
      <c r="B198" s="23">
        <v>1960</v>
      </c>
      <c r="C198">
        <v>48519.25</v>
      </c>
      <c r="D198">
        <f t="shared" si="11"/>
        <v>485.1925</v>
      </c>
    </row>
    <row r="199" spans="1:4">
      <c r="A199" s="22">
        <f t="shared" si="10"/>
        <v>197</v>
      </c>
      <c r="B199" s="23">
        <v>1970</v>
      </c>
      <c r="C199">
        <v>48393.75</v>
      </c>
      <c r="D199">
        <f t="shared" si="11"/>
        <v>483.9375</v>
      </c>
    </row>
    <row r="200" spans="1:4">
      <c r="A200" s="22">
        <f t="shared" si="10"/>
        <v>198</v>
      </c>
      <c r="B200" s="23">
        <v>1980</v>
      </c>
      <c r="C200">
        <v>48268.25</v>
      </c>
      <c r="D200">
        <f t="shared" si="11"/>
        <v>482.6825</v>
      </c>
    </row>
    <row r="201" spans="1:4">
      <c r="A201" s="22">
        <f t="shared" si="10"/>
        <v>199</v>
      </c>
      <c r="B201" s="23">
        <v>1990</v>
      </c>
      <c r="C201">
        <v>48142.75</v>
      </c>
      <c r="D201">
        <f t="shared" si="11"/>
        <v>481.42750000000001</v>
      </c>
    </row>
    <row r="202" spans="1:4">
      <c r="A202" s="22">
        <f t="shared" si="10"/>
        <v>200</v>
      </c>
      <c r="B202" s="23">
        <v>2000</v>
      </c>
      <c r="C202">
        <v>48017.25</v>
      </c>
      <c r="D202">
        <f t="shared" si="11"/>
        <v>480.17250000000001</v>
      </c>
    </row>
    <row r="203" spans="1:4">
      <c r="A203" s="22">
        <f t="shared" si="10"/>
        <v>201</v>
      </c>
      <c r="B203" s="23">
        <v>2010</v>
      </c>
      <c r="C203">
        <v>47891.75</v>
      </c>
      <c r="D203">
        <f t="shared" si="11"/>
        <v>478.91750000000002</v>
      </c>
    </row>
    <row r="204" spans="1:4">
      <c r="A204" s="22">
        <f t="shared" si="10"/>
        <v>202</v>
      </c>
      <c r="B204" s="23">
        <v>2020</v>
      </c>
      <c r="C204">
        <v>47766.25</v>
      </c>
      <c r="D204">
        <f t="shared" si="11"/>
        <v>477.66250000000002</v>
      </c>
    </row>
    <row r="205" spans="1:4">
      <c r="A205" s="22">
        <f t="shared" si="10"/>
        <v>203</v>
      </c>
      <c r="B205" s="23">
        <v>2030</v>
      </c>
      <c r="C205">
        <v>47640.75</v>
      </c>
      <c r="D205">
        <f t="shared" si="11"/>
        <v>476.40750000000003</v>
      </c>
    </row>
    <row r="206" spans="1:4">
      <c r="A206" s="22">
        <f t="shared" si="10"/>
        <v>204</v>
      </c>
      <c r="B206" s="23">
        <v>2040</v>
      </c>
      <c r="C206">
        <v>47515.25</v>
      </c>
      <c r="D206">
        <f t="shared" si="11"/>
        <v>475.15249999999997</v>
      </c>
    </row>
    <row r="207" spans="1:4">
      <c r="A207" s="22">
        <f t="shared" si="10"/>
        <v>205</v>
      </c>
      <c r="B207" s="23">
        <v>2050</v>
      </c>
      <c r="C207">
        <v>47389.75</v>
      </c>
      <c r="D207">
        <f t="shared" si="11"/>
        <v>473.89749999999998</v>
      </c>
    </row>
    <row r="208" spans="1:4">
      <c r="A208" s="22">
        <f t="shared" si="10"/>
        <v>206</v>
      </c>
      <c r="B208" s="23">
        <v>2060</v>
      </c>
      <c r="C208">
        <v>47264.25</v>
      </c>
      <c r="D208">
        <f t="shared" si="11"/>
        <v>472.64249999999998</v>
      </c>
    </row>
    <row r="209" spans="1:4">
      <c r="A209" s="22">
        <f t="shared" si="10"/>
        <v>207</v>
      </c>
      <c r="B209" s="23">
        <v>2070</v>
      </c>
      <c r="C209">
        <v>47138.75</v>
      </c>
      <c r="D209">
        <f t="shared" si="11"/>
        <v>471.38749999999999</v>
      </c>
    </row>
    <row r="210" spans="1:4">
      <c r="A210" s="22">
        <f t="shared" si="10"/>
        <v>208</v>
      </c>
      <c r="B210" s="23">
        <v>2080</v>
      </c>
      <c r="C210">
        <v>47013.25</v>
      </c>
      <c r="D210">
        <f t="shared" si="11"/>
        <v>470.13249999999999</v>
      </c>
    </row>
    <row r="211" spans="1:4">
      <c r="A211" s="22">
        <f t="shared" si="10"/>
        <v>209</v>
      </c>
      <c r="B211" s="23">
        <v>2090</v>
      </c>
      <c r="C211">
        <v>46887.75</v>
      </c>
      <c r="D211">
        <f t="shared" si="11"/>
        <v>468.8775</v>
      </c>
    </row>
    <row r="212" spans="1:4">
      <c r="A212" s="22">
        <f t="shared" si="10"/>
        <v>210</v>
      </c>
      <c r="B212" s="23">
        <v>2100</v>
      </c>
      <c r="C212">
        <v>46762.25</v>
      </c>
      <c r="D212">
        <f t="shared" si="11"/>
        <v>467.6225</v>
      </c>
    </row>
    <row r="213" spans="1:4">
      <c r="A213" s="22">
        <f t="shared" si="10"/>
        <v>211</v>
      </c>
      <c r="B213" s="23">
        <v>2110</v>
      </c>
      <c r="C213">
        <v>46636.75</v>
      </c>
      <c r="D213">
        <f t="shared" si="11"/>
        <v>466.36750000000001</v>
      </c>
    </row>
    <row r="214" spans="1:4">
      <c r="A214" s="22">
        <f t="shared" si="10"/>
        <v>212</v>
      </c>
      <c r="B214" s="23">
        <v>2120</v>
      </c>
      <c r="C214">
        <v>46511.25</v>
      </c>
      <c r="D214">
        <f t="shared" si="11"/>
        <v>465.11250000000001</v>
      </c>
    </row>
    <row r="215" spans="1:4">
      <c r="A215" s="22">
        <f t="shared" si="10"/>
        <v>213</v>
      </c>
      <c r="B215" s="23">
        <v>2130</v>
      </c>
      <c r="C215">
        <v>46385.75</v>
      </c>
      <c r="D215">
        <f t="shared" si="11"/>
        <v>463.85750000000002</v>
      </c>
    </row>
    <row r="216" spans="1:4">
      <c r="A216" s="22">
        <f t="shared" si="10"/>
        <v>214</v>
      </c>
      <c r="B216" s="23">
        <v>2140</v>
      </c>
      <c r="C216">
        <v>46260.25</v>
      </c>
      <c r="D216">
        <f t="shared" si="11"/>
        <v>462.60250000000002</v>
      </c>
    </row>
    <row r="217" spans="1:4">
      <c r="A217" s="22">
        <f t="shared" si="10"/>
        <v>215</v>
      </c>
      <c r="B217" s="23">
        <v>2150</v>
      </c>
      <c r="C217">
        <v>46134.75</v>
      </c>
      <c r="D217">
        <f t="shared" si="11"/>
        <v>461.34750000000003</v>
      </c>
    </row>
    <row r="218" spans="1:4">
      <c r="A218" s="22">
        <f t="shared" si="10"/>
        <v>216</v>
      </c>
      <c r="B218" s="23">
        <v>2160</v>
      </c>
      <c r="C218">
        <v>46009.25</v>
      </c>
      <c r="D218">
        <f t="shared" si="11"/>
        <v>460.09249999999997</v>
      </c>
    </row>
    <row r="219" spans="1:4">
      <c r="A219" s="22">
        <f t="shared" si="10"/>
        <v>217</v>
      </c>
      <c r="B219" s="23">
        <v>2170</v>
      </c>
      <c r="C219">
        <v>45883.75</v>
      </c>
      <c r="D219">
        <f t="shared" si="11"/>
        <v>458.83749999999998</v>
      </c>
    </row>
    <row r="220" spans="1:4">
      <c r="A220" s="22">
        <f t="shared" si="10"/>
        <v>218</v>
      </c>
      <c r="B220" s="23">
        <v>2180</v>
      </c>
      <c r="C220">
        <v>45758.25</v>
      </c>
      <c r="D220">
        <f t="shared" si="11"/>
        <v>457.58249999999998</v>
      </c>
    </row>
    <row r="221" spans="1:4">
      <c r="A221" s="22">
        <f t="shared" si="10"/>
        <v>219</v>
      </c>
      <c r="B221" s="23">
        <v>2190</v>
      </c>
      <c r="C221">
        <v>45632.75</v>
      </c>
      <c r="D221">
        <f t="shared" si="11"/>
        <v>456.32749999999999</v>
      </c>
    </row>
    <row r="222" spans="1:4">
      <c r="A222" s="22">
        <f t="shared" si="10"/>
        <v>220</v>
      </c>
      <c r="B222" s="23">
        <v>2200</v>
      </c>
      <c r="C222">
        <v>45507.25</v>
      </c>
      <c r="D222">
        <f t="shared" si="11"/>
        <v>455.07249999999999</v>
      </c>
    </row>
    <row r="223" spans="1:4">
      <c r="A223" s="22">
        <f t="shared" si="10"/>
        <v>221</v>
      </c>
      <c r="B223" s="23">
        <v>2210</v>
      </c>
      <c r="C223">
        <v>45381.75</v>
      </c>
      <c r="D223">
        <f t="shared" si="11"/>
        <v>453.8175</v>
      </c>
    </row>
    <row r="224" spans="1:4">
      <c r="A224" s="22">
        <f t="shared" si="10"/>
        <v>222</v>
      </c>
      <c r="B224" s="23">
        <v>2220</v>
      </c>
      <c r="C224">
        <v>45256.25</v>
      </c>
      <c r="D224">
        <f t="shared" si="11"/>
        <v>452.5625</v>
      </c>
    </row>
    <row r="225" spans="1:4">
      <c r="A225" s="22">
        <f t="shared" si="10"/>
        <v>223</v>
      </c>
      <c r="B225" s="23">
        <v>2230</v>
      </c>
      <c r="C225">
        <v>45130.75</v>
      </c>
      <c r="D225">
        <f t="shared" si="11"/>
        <v>451.3075</v>
      </c>
    </row>
    <row r="226" spans="1:4">
      <c r="A226" s="22">
        <f t="shared" si="10"/>
        <v>224</v>
      </c>
      <c r="B226" s="23">
        <v>2240</v>
      </c>
      <c r="C226">
        <v>45005.25</v>
      </c>
      <c r="D226">
        <f t="shared" si="11"/>
        <v>450.05250000000001</v>
      </c>
    </row>
    <row r="227" spans="1:4">
      <c r="A227" s="22">
        <f t="shared" si="10"/>
        <v>225</v>
      </c>
      <c r="B227" s="23">
        <v>2250</v>
      </c>
      <c r="C227">
        <v>44879.75</v>
      </c>
      <c r="D227">
        <f t="shared" si="11"/>
        <v>448.79750000000001</v>
      </c>
    </row>
    <row r="228" spans="1:4">
      <c r="A228" s="22">
        <f t="shared" si="10"/>
        <v>226</v>
      </c>
      <c r="B228" s="23">
        <v>2260</v>
      </c>
      <c r="C228">
        <v>44754.25</v>
      </c>
      <c r="D228">
        <f t="shared" si="11"/>
        <v>447.54250000000002</v>
      </c>
    </row>
    <row r="229" spans="1:4">
      <c r="A229" s="22">
        <f t="shared" si="10"/>
        <v>227</v>
      </c>
      <c r="B229" s="23">
        <v>2270</v>
      </c>
      <c r="C229">
        <v>44628.75</v>
      </c>
      <c r="D229">
        <f t="shared" si="11"/>
        <v>446.28750000000002</v>
      </c>
    </row>
    <row r="230" spans="1:4">
      <c r="A230" s="22">
        <f t="shared" si="10"/>
        <v>228</v>
      </c>
      <c r="B230" s="23">
        <v>2280</v>
      </c>
      <c r="C230">
        <v>44503.25</v>
      </c>
      <c r="D230">
        <f t="shared" si="11"/>
        <v>445.03250000000003</v>
      </c>
    </row>
    <row r="231" spans="1:4">
      <c r="A231" s="22">
        <f t="shared" si="10"/>
        <v>229</v>
      </c>
      <c r="B231" s="23">
        <v>2290</v>
      </c>
      <c r="C231">
        <v>44377.75</v>
      </c>
      <c r="D231">
        <f t="shared" si="11"/>
        <v>443.77749999999997</v>
      </c>
    </row>
    <row r="232" spans="1:4">
      <c r="A232" s="22">
        <f t="shared" si="10"/>
        <v>230</v>
      </c>
      <c r="B232" s="23">
        <v>2300</v>
      </c>
      <c r="C232">
        <v>44252.25</v>
      </c>
      <c r="D232">
        <f t="shared" si="11"/>
        <v>442.52249999999998</v>
      </c>
    </row>
    <row r="233" spans="1:4">
      <c r="A233" s="22">
        <f t="shared" si="10"/>
        <v>231</v>
      </c>
      <c r="B233" s="23">
        <v>2310</v>
      </c>
      <c r="C233">
        <v>44126.75</v>
      </c>
      <c r="D233">
        <f t="shared" si="11"/>
        <v>441.26749999999998</v>
      </c>
    </row>
    <row r="234" spans="1:4">
      <c r="A234" s="22">
        <f t="shared" si="10"/>
        <v>232</v>
      </c>
      <c r="B234" s="23">
        <v>2320</v>
      </c>
      <c r="C234">
        <v>44001.25</v>
      </c>
      <c r="D234">
        <f t="shared" si="11"/>
        <v>440.01249999999999</v>
      </c>
    </row>
    <row r="235" spans="1:4">
      <c r="A235" s="22">
        <f t="shared" si="10"/>
        <v>233</v>
      </c>
      <c r="B235" s="23">
        <v>2330</v>
      </c>
      <c r="C235">
        <v>43875.75</v>
      </c>
      <c r="D235">
        <f t="shared" si="11"/>
        <v>438.75749999999999</v>
      </c>
    </row>
    <row r="236" spans="1:4">
      <c r="A236" s="22">
        <f t="shared" si="10"/>
        <v>234</v>
      </c>
      <c r="B236" s="23">
        <v>2340</v>
      </c>
      <c r="C236">
        <v>43750.25</v>
      </c>
      <c r="D236">
        <f t="shared" si="11"/>
        <v>437.5025</v>
      </c>
    </row>
    <row r="237" spans="1:4">
      <c r="A237" s="22">
        <f t="shared" si="10"/>
        <v>235</v>
      </c>
      <c r="B237" s="23">
        <v>2350</v>
      </c>
      <c r="C237">
        <v>43624.75</v>
      </c>
      <c r="D237">
        <f t="shared" si="11"/>
        <v>436.2475</v>
      </c>
    </row>
    <row r="238" spans="1:4">
      <c r="A238" s="22">
        <f t="shared" si="10"/>
        <v>236</v>
      </c>
      <c r="B238" s="23">
        <v>2360</v>
      </c>
      <c r="C238">
        <v>43499.25</v>
      </c>
      <c r="D238">
        <f t="shared" si="11"/>
        <v>434.99250000000001</v>
      </c>
    </row>
    <row r="239" spans="1:4">
      <c r="A239" s="22">
        <f t="shared" si="10"/>
        <v>237</v>
      </c>
      <c r="B239" s="23">
        <v>2370</v>
      </c>
      <c r="C239">
        <v>43373.75</v>
      </c>
      <c r="D239">
        <f t="shared" si="11"/>
        <v>433.73750000000001</v>
      </c>
    </row>
    <row r="240" spans="1:4">
      <c r="A240" s="22">
        <f t="shared" si="10"/>
        <v>238</v>
      </c>
      <c r="B240" s="23">
        <v>2380</v>
      </c>
      <c r="C240">
        <v>43248.25</v>
      </c>
      <c r="D240">
        <f t="shared" si="11"/>
        <v>432.48250000000002</v>
      </c>
    </row>
    <row r="241" spans="1:4">
      <c r="A241" s="22">
        <f t="shared" si="10"/>
        <v>239</v>
      </c>
      <c r="B241" s="23">
        <v>2390</v>
      </c>
      <c r="C241">
        <v>43122.75</v>
      </c>
      <c r="D241">
        <f t="shared" si="11"/>
        <v>431.22750000000002</v>
      </c>
    </row>
    <row r="242" spans="1:4">
      <c r="A242" s="22">
        <f t="shared" si="10"/>
        <v>240</v>
      </c>
      <c r="B242" s="23">
        <v>2400</v>
      </c>
      <c r="C242">
        <v>42997.25</v>
      </c>
      <c r="D242">
        <f t="shared" si="11"/>
        <v>429.97250000000003</v>
      </c>
    </row>
    <row r="243" spans="1:4">
      <c r="A243" s="22">
        <f t="shared" si="10"/>
        <v>241</v>
      </c>
      <c r="B243" s="23">
        <v>2410</v>
      </c>
      <c r="C243">
        <v>42871.75</v>
      </c>
      <c r="D243">
        <f t="shared" si="11"/>
        <v>428.71749999999997</v>
      </c>
    </row>
    <row r="244" spans="1:4">
      <c r="A244" s="22">
        <f t="shared" si="10"/>
        <v>242</v>
      </c>
      <c r="B244" s="23">
        <v>2420</v>
      </c>
      <c r="C244">
        <v>42746.25</v>
      </c>
      <c r="D244">
        <f t="shared" si="11"/>
        <v>427.46249999999998</v>
      </c>
    </row>
    <row r="245" spans="1:4">
      <c r="A245" s="22">
        <f t="shared" si="10"/>
        <v>243</v>
      </c>
      <c r="B245" s="23">
        <v>2430</v>
      </c>
      <c r="C245">
        <v>42620.75</v>
      </c>
      <c r="D245">
        <f t="shared" si="11"/>
        <v>426.20749999999998</v>
      </c>
    </row>
    <row r="246" spans="1:4">
      <c r="A246" s="22">
        <f t="shared" si="10"/>
        <v>244</v>
      </c>
      <c r="B246" s="23">
        <v>2440</v>
      </c>
      <c r="C246">
        <v>42495.25</v>
      </c>
      <c r="D246">
        <f t="shared" si="11"/>
        <v>424.95249999999999</v>
      </c>
    </row>
    <row r="247" spans="1:4">
      <c r="A247" s="22">
        <f t="shared" si="10"/>
        <v>245</v>
      </c>
      <c r="B247" s="23">
        <v>2450</v>
      </c>
      <c r="C247">
        <v>42369.75</v>
      </c>
      <c r="D247">
        <f t="shared" si="11"/>
        <v>423.69749999999999</v>
      </c>
    </row>
    <row r="248" spans="1:4">
      <c r="A248" s="22">
        <f t="shared" si="10"/>
        <v>246</v>
      </c>
      <c r="B248" s="23">
        <v>2460</v>
      </c>
      <c r="C248">
        <v>42244.25</v>
      </c>
      <c r="D248">
        <f t="shared" si="11"/>
        <v>422.4425</v>
      </c>
    </row>
    <row r="249" spans="1:4">
      <c r="A249" s="22">
        <f t="shared" si="10"/>
        <v>247</v>
      </c>
      <c r="B249" s="23">
        <v>2470</v>
      </c>
      <c r="C249">
        <v>42118.75</v>
      </c>
      <c r="D249">
        <f t="shared" si="11"/>
        <v>421.1875</v>
      </c>
    </row>
    <row r="250" spans="1:4">
      <c r="A250" s="22">
        <f t="shared" si="10"/>
        <v>248</v>
      </c>
      <c r="B250" s="23">
        <v>2480</v>
      </c>
      <c r="C250">
        <v>41993.25</v>
      </c>
      <c r="D250">
        <f t="shared" si="11"/>
        <v>419.9325</v>
      </c>
    </row>
    <row r="251" spans="1:4">
      <c r="A251" s="22">
        <f t="shared" si="10"/>
        <v>249</v>
      </c>
      <c r="B251" s="23">
        <v>2490</v>
      </c>
      <c r="C251">
        <v>41867.75</v>
      </c>
      <c r="D251">
        <f t="shared" si="11"/>
        <v>418.67750000000001</v>
      </c>
    </row>
    <row r="252" spans="1:4">
      <c r="A252" s="22">
        <f t="shared" si="10"/>
        <v>250</v>
      </c>
      <c r="B252" s="23">
        <v>2500</v>
      </c>
      <c r="C252">
        <v>41742.25</v>
      </c>
      <c r="D252">
        <f t="shared" si="11"/>
        <v>417.42250000000001</v>
      </c>
    </row>
    <row r="253" spans="1:4">
      <c r="A253" s="22">
        <f t="shared" si="10"/>
        <v>251</v>
      </c>
      <c r="B253" s="23">
        <v>2510</v>
      </c>
      <c r="C253">
        <v>41616.75</v>
      </c>
      <c r="D253">
        <f t="shared" si="11"/>
        <v>416.16750000000002</v>
      </c>
    </row>
    <row r="254" spans="1:4">
      <c r="A254" s="22">
        <f t="shared" si="10"/>
        <v>252</v>
      </c>
      <c r="B254" s="23">
        <v>2520</v>
      </c>
      <c r="C254">
        <v>41491.25</v>
      </c>
      <c r="D254">
        <f t="shared" si="11"/>
        <v>414.91250000000002</v>
      </c>
    </row>
    <row r="255" spans="1:4">
      <c r="A255" s="22">
        <f t="shared" si="10"/>
        <v>253</v>
      </c>
      <c r="B255" s="23">
        <v>2530</v>
      </c>
      <c r="C255">
        <v>41365.75</v>
      </c>
      <c r="D255">
        <f t="shared" si="11"/>
        <v>413.65750000000003</v>
      </c>
    </row>
    <row r="256" spans="1:4">
      <c r="A256" s="22">
        <f t="shared" si="10"/>
        <v>254</v>
      </c>
      <c r="B256" s="23">
        <v>2540</v>
      </c>
      <c r="C256">
        <v>41240.25</v>
      </c>
      <c r="D256">
        <f t="shared" si="11"/>
        <v>412.40249999999997</v>
      </c>
    </row>
    <row r="257" spans="1:4">
      <c r="A257" s="22">
        <f t="shared" si="10"/>
        <v>255</v>
      </c>
      <c r="B257" s="23">
        <v>2550</v>
      </c>
      <c r="C257">
        <v>41114.75</v>
      </c>
      <c r="D257">
        <f t="shared" si="11"/>
        <v>411.14749999999998</v>
      </c>
    </row>
    <row r="258" spans="1:4">
      <c r="A258" s="22">
        <f t="shared" si="10"/>
        <v>256</v>
      </c>
      <c r="B258" s="23">
        <v>2560</v>
      </c>
      <c r="C258">
        <v>40989.25</v>
      </c>
      <c r="D258">
        <f t="shared" si="11"/>
        <v>409.89249999999998</v>
      </c>
    </row>
    <row r="259" spans="1:4">
      <c r="A259" s="22">
        <f t="shared" ref="A259:A322" si="12">$B259/10</f>
        <v>257</v>
      </c>
      <c r="B259" s="23">
        <v>2570</v>
      </c>
      <c r="C259">
        <v>40863.75</v>
      </c>
      <c r="D259">
        <f t="shared" ref="D259:D322" si="13">$C259/100</f>
        <v>408.63749999999999</v>
      </c>
    </row>
    <row r="260" spans="1:4">
      <c r="A260" s="22">
        <f t="shared" si="12"/>
        <v>258</v>
      </c>
      <c r="B260" s="23">
        <v>2580</v>
      </c>
      <c r="C260">
        <v>40738.25</v>
      </c>
      <c r="D260">
        <f t="shared" si="13"/>
        <v>407.38249999999999</v>
      </c>
    </row>
    <row r="261" spans="1:4">
      <c r="A261" s="22">
        <f t="shared" si="12"/>
        <v>259</v>
      </c>
      <c r="B261" s="23">
        <v>2590</v>
      </c>
      <c r="C261">
        <v>40612.75</v>
      </c>
      <c r="D261">
        <f t="shared" si="13"/>
        <v>406.1275</v>
      </c>
    </row>
    <row r="262" spans="1:4">
      <c r="A262" s="22">
        <f t="shared" si="12"/>
        <v>260</v>
      </c>
      <c r="B262" s="23">
        <v>2600</v>
      </c>
      <c r="C262">
        <v>40487.25</v>
      </c>
      <c r="D262">
        <f t="shared" si="13"/>
        <v>404.8725</v>
      </c>
    </row>
    <row r="263" spans="1:4">
      <c r="A263" s="22">
        <f t="shared" si="12"/>
        <v>261</v>
      </c>
      <c r="B263" s="23">
        <v>2610</v>
      </c>
      <c r="C263">
        <v>40361.75</v>
      </c>
      <c r="D263">
        <f t="shared" si="13"/>
        <v>403.61750000000001</v>
      </c>
    </row>
    <row r="264" spans="1:4">
      <c r="A264" s="22">
        <f t="shared" si="12"/>
        <v>262</v>
      </c>
      <c r="B264" s="23">
        <v>2620</v>
      </c>
      <c r="C264">
        <v>40236.25</v>
      </c>
      <c r="D264">
        <f t="shared" si="13"/>
        <v>402.36250000000001</v>
      </c>
    </row>
    <row r="265" spans="1:4">
      <c r="A265" s="22">
        <f t="shared" si="12"/>
        <v>263</v>
      </c>
      <c r="B265" s="23">
        <v>2630</v>
      </c>
      <c r="C265">
        <v>40110.75</v>
      </c>
      <c r="D265">
        <f t="shared" si="13"/>
        <v>401.10750000000002</v>
      </c>
    </row>
    <row r="266" spans="1:4">
      <c r="A266" s="22">
        <f t="shared" si="12"/>
        <v>264</v>
      </c>
      <c r="B266" s="23">
        <v>2640</v>
      </c>
      <c r="C266">
        <v>39985.25</v>
      </c>
      <c r="D266">
        <f t="shared" si="13"/>
        <v>399.85250000000002</v>
      </c>
    </row>
    <row r="267" spans="1:4">
      <c r="A267" s="22">
        <f t="shared" si="12"/>
        <v>265</v>
      </c>
      <c r="B267" s="23">
        <v>2650</v>
      </c>
      <c r="C267">
        <v>39859.75</v>
      </c>
      <c r="D267">
        <f t="shared" si="13"/>
        <v>398.59750000000003</v>
      </c>
    </row>
    <row r="268" spans="1:4">
      <c r="A268" s="22">
        <f t="shared" si="12"/>
        <v>266</v>
      </c>
      <c r="B268" s="23">
        <v>2660</v>
      </c>
      <c r="C268">
        <v>39734.25</v>
      </c>
      <c r="D268">
        <f t="shared" si="13"/>
        <v>397.34249999999997</v>
      </c>
    </row>
    <row r="269" spans="1:4">
      <c r="A269" s="22">
        <f t="shared" si="12"/>
        <v>267</v>
      </c>
      <c r="B269" s="23">
        <v>2670</v>
      </c>
      <c r="C269">
        <v>39608.75</v>
      </c>
      <c r="D269">
        <f t="shared" si="13"/>
        <v>396.08749999999998</v>
      </c>
    </row>
    <row r="270" spans="1:4">
      <c r="A270" s="22">
        <f t="shared" si="12"/>
        <v>268</v>
      </c>
      <c r="B270" s="23">
        <v>2680</v>
      </c>
      <c r="C270">
        <v>39483.25</v>
      </c>
      <c r="D270">
        <f t="shared" si="13"/>
        <v>394.83249999999998</v>
      </c>
    </row>
    <row r="271" spans="1:4">
      <c r="A271" s="22">
        <f t="shared" si="12"/>
        <v>269</v>
      </c>
      <c r="B271" s="23">
        <v>2690</v>
      </c>
      <c r="C271">
        <v>39357.75</v>
      </c>
      <c r="D271">
        <f t="shared" si="13"/>
        <v>393.57749999999999</v>
      </c>
    </row>
    <row r="272" spans="1:4">
      <c r="A272" s="22">
        <f t="shared" si="12"/>
        <v>270</v>
      </c>
      <c r="B272" s="23">
        <v>2700</v>
      </c>
      <c r="C272">
        <v>39232.25</v>
      </c>
      <c r="D272">
        <f t="shared" si="13"/>
        <v>392.32249999999999</v>
      </c>
    </row>
    <row r="273" spans="1:4">
      <c r="A273" s="22">
        <f t="shared" si="12"/>
        <v>271</v>
      </c>
      <c r="B273" s="23">
        <v>2710</v>
      </c>
      <c r="C273">
        <v>39106.75</v>
      </c>
      <c r="D273">
        <f t="shared" si="13"/>
        <v>391.0675</v>
      </c>
    </row>
    <row r="274" spans="1:4">
      <c r="A274" s="22">
        <f t="shared" si="12"/>
        <v>272</v>
      </c>
      <c r="B274" s="23">
        <v>2720</v>
      </c>
      <c r="C274">
        <v>38981.25</v>
      </c>
      <c r="D274">
        <f t="shared" si="13"/>
        <v>389.8125</v>
      </c>
    </row>
    <row r="275" spans="1:4">
      <c r="A275" s="22">
        <f t="shared" si="12"/>
        <v>273</v>
      </c>
      <c r="B275" s="23">
        <v>2730</v>
      </c>
      <c r="C275">
        <v>38855.75</v>
      </c>
      <c r="D275">
        <f t="shared" si="13"/>
        <v>388.5575</v>
      </c>
    </row>
    <row r="276" spans="1:4">
      <c r="A276" s="22">
        <f t="shared" si="12"/>
        <v>274</v>
      </c>
      <c r="B276" s="23">
        <v>2740</v>
      </c>
      <c r="C276">
        <v>38730.25</v>
      </c>
      <c r="D276">
        <f t="shared" si="13"/>
        <v>387.30250000000001</v>
      </c>
    </row>
    <row r="277" spans="1:4">
      <c r="A277" s="22">
        <f t="shared" si="12"/>
        <v>275</v>
      </c>
      <c r="B277" s="23">
        <v>2750</v>
      </c>
      <c r="C277">
        <v>38604.75</v>
      </c>
      <c r="D277">
        <f t="shared" si="13"/>
        <v>386.04750000000001</v>
      </c>
    </row>
    <row r="278" spans="1:4">
      <c r="A278" s="22">
        <f t="shared" si="12"/>
        <v>276</v>
      </c>
      <c r="B278" s="23">
        <v>2760</v>
      </c>
      <c r="C278">
        <v>38479.25</v>
      </c>
      <c r="D278">
        <f t="shared" si="13"/>
        <v>384.79250000000002</v>
      </c>
    </row>
    <row r="279" spans="1:4">
      <c r="A279" s="22">
        <f t="shared" si="12"/>
        <v>277</v>
      </c>
      <c r="B279" s="23">
        <v>2770</v>
      </c>
      <c r="C279">
        <v>38353.75</v>
      </c>
      <c r="D279">
        <f t="shared" si="13"/>
        <v>383.53750000000002</v>
      </c>
    </row>
    <row r="280" spans="1:4">
      <c r="A280" s="22">
        <f t="shared" si="12"/>
        <v>278</v>
      </c>
      <c r="B280" s="23">
        <v>2780</v>
      </c>
      <c r="C280">
        <v>38228.25</v>
      </c>
      <c r="D280">
        <f t="shared" si="13"/>
        <v>382.28250000000003</v>
      </c>
    </row>
    <row r="281" spans="1:4">
      <c r="A281" s="22">
        <f t="shared" si="12"/>
        <v>279</v>
      </c>
      <c r="B281" s="23">
        <v>2790</v>
      </c>
      <c r="C281">
        <v>38102.75</v>
      </c>
      <c r="D281">
        <f t="shared" si="13"/>
        <v>381.02749999999997</v>
      </c>
    </row>
    <row r="282" spans="1:4">
      <c r="A282" s="22">
        <f t="shared" si="12"/>
        <v>280</v>
      </c>
      <c r="B282" s="23">
        <v>2800</v>
      </c>
      <c r="C282">
        <v>37977.25</v>
      </c>
      <c r="D282">
        <f t="shared" si="13"/>
        <v>379.77249999999998</v>
      </c>
    </row>
    <row r="283" spans="1:4">
      <c r="A283" s="22">
        <f t="shared" si="12"/>
        <v>281</v>
      </c>
      <c r="B283" s="23">
        <v>2810</v>
      </c>
      <c r="C283">
        <v>37851.75</v>
      </c>
      <c r="D283">
        <f t="shared" si="13"/>
        <v>378.51749999999998</v>
      </c>
    </row>
    <row r="284" spans="1:4">
      <c r="A284" s="22">
        <f t="shared" si="12"/>
        <v>282</v>
      </c>
      <c r="B284" s="23">
        <v>2820</v>
      </c>
      <c r="C284">
        <v>37726.25</v>
      </c>
      <c r="D284">
        <f t="shared" si="13"/>
        <v>377.26249999999999</v>
      </c>
    </row>
    <row r="285" spans="1:4">
      <c r="A285" s="22">
        <f t="shared" si="12"/>
        <v>283</v>
      </c>
      <c r="B285" s="23">
        <v>2830</v>
      </c>
      <c r="C285">
        <v>37600.75</v>
      </c>
      <c r="D285">
        <f t="shared" si="13"/>
        <v>376.00749999999999</v>
      </c>
    </row>
    <row r="286" spans="1:4">
      <c r="A286" s="22">
        <f t="shared" si="12"/>
        <v>284</v>
      </c>
      <c r="B286" s="23">
        <v>2840</v>
      </c>
      <c r="C286">
        <v>37475.25</v>
      </c>
      <c r="D286">
        <f t="shared" si="13"/>
        <v>374.7525</v>
      </c>
    </row>
    <row r="287" spans="1:4">
      <c r="A287" s="22">
        <f t="shared" si="12"/>
        <v>285</v>
      </c>
      <c r="B287" s="23">
        <v>2850</v>
      </c>
      <c r="C287">
        <v>37349.75</v>
      </c>
      <c r="D287">
        <f t="shared" si="13"/>
        <v>373.4975</v>
      </c>
    </row>
    <row r="288" spans="1:4">
      <c r="A288" s="22">
        <f t="shared" si="12"/>
        <v>286</v>
      </c>
      <c r="B288" s="23">
        <v>2860</v>
      </c>
      <c r="C288">
        <v>37224.25</v>
      </c>
      <c r="D288">
        <f t="shared" si="13"/>
        <v>372.24250000000001</v>
      </c>
    </row>
    <row r="289" spans="1:4">
      <c r="A289" s="22">
        <f t="shared" si="12"/>
        <v>287</v>
      </c>
      <c r="B289" s="23">
        <v>2870</v>
      </c>
      <c r="C289">
        <v>37098.75</v>
      </c>
      <c r="D289">
        <f t="shared" si="13"/>
        <v>370.98750000000001</v>
      </c>
    </row>
    <row r="290" spans="1:4">
      <c r="A290" s="22">
        <f t="shared" si="12"/>
        <v>288</v>
      </c>
      <c r="B290" s="23">
        <v>2880</v>
      </c>
      <c r="C290">
        <v>36973.25</v>
      </c>
      <c r="D290">
        <f t="shared" si="13"/>
        <v>369.73250000000002</v>
      </c>
    </row>
    <row r="291" spans="1:4">
      <c r="A291" s="22">
        <f t="shared" si="12"/>
        <v>289</v>
      </c>
      <c r="B291" s="23">
        <v>2890</v>
      </c>
      <c r="C291">
        <v>36847.75</v>
      </c>
      <c r="D291">
        <f t="shared" si="13"/>
        <v>368.47750000000002</v>
      </c>
    </row>
    <row r="292" spans="1:4">
      <c r="A292" s="22">
        <f t="shared" si="12"/>
        <v>290</v>
      </c>
      <c r="B292" s="23">
        <v>2900</v>
      </c>
      <c r="C292">
        <v>36722.25</v>
      </c>
      <c r="D292">
        <f t="shared" si="13"/>
        <v>367.22250000000003</v>
      </c>
    </row>
    <row r="293" spans="1:4">
      <c r="A293" s="22">
        <f t="shared" si="12"/>
        <v>291</v>
      </c>
      <c r="B293" s="23">
        <v>2910</v>
      </c>
      <c r="C293">
        <v>36596.75</v>
      </c>
      <c r="D293">
        <f t="shared" si="13"/>
        <v>365.96749999999997</v>
      </c>
    </row>
    <row r="294" spans="1:4">
      <c r="A294" s="22">
        <f t="shared" si="12"/>
        <v>292</v>
      </c>
      <c r="B294" s="23">
        <v>2920</v>
      </c>
      <c r="C294">
        <v>36471.25</v>
      </c>
      <c r="D294">
        <f t="shared" si="13"/>
        <v>364.71249999999998</v>
      </c>
    </row>
    <row r="295" spans="1:4">
      <c r="A295" s="22">
        <f t="shared" si="12"/>
        <v>293</v>
      </c>
      <c r="B295" s="23">
        <v>2930</v>
      </c>
      <c r="C295">
        <v>36345.75</v>
      </c>
      <c r="D295">
        <f t="shared" si="13"/>
        <v>363.45749999999998</v>
      </c>
    </row>
    <row r="296" spans="1:4">
      <c r="A296" s="22">
        <f t="shared" si="12"/>
        <v>294</v>
      </c>
      <c r="B296" s="23">
        <v>2940</v>
      </c>
      <c r="C296">
        <v>36220.25</v>
      </c>
      <c r="D296">
        <f t="shared" si="13"/>
        <v>362.20249999999999</v>
      </c>
    </row>
    <row r="297" spans="1:4">
      <c r="A297" s="22">
        <f t="shared" si="12"/>
        <v>295</v>
      </c>
      <c r="B297" s="23">
        <v>2950</v>
      </c>
      <c r="C297">
        <v>36094.75</v>
      </c>
      <c r="D297">
        <f t="shared" si="13"/>
        <v>360.94749999999999</v>
      </c>
    </row>
    <row r="298" spans="1:4">
      <c r="A298" s="22">
        <f t="shared" si="12"/>
        <v>296</v>
      </c>
      <c r="B298" s="23">
        <v>2960</v>
      </c>
      <c r="C298">
        <v>35969.25</v>
      </c>
      <c r="D298">
        <f t="shared" si="13"/>
        <v>359.6925</v>
      </c>
    </row>
    <row r="299" spans="1:4">
      <c r="A299" s="22">
        <f t="shared" si="12"/>
        <v>297</v>
      </c>
      <c r="B299" s="23">
        <v>2970</v>
      </c>
      <c r="C299">
        <v>35843.75</v>
      </c>
      <c r="D299">
        <f t="shared" si="13"/>
        <v>358.4375</v>
      </c>
    </row>
    <row r="300" spans="1:4">
      <c r="A300" s="22">
        <f t="shared" si="12"/>
        <v>298</v>
      </c>
      <c r="B300" s="23">
        <v>2980</v>
      </c>
      <c r="C300">
        <v>35718.25</v>
      </c>
      <c r="D300">
        <f t="shared" si="13"/>
        <v>357.1825</v>
      </c>
    </row>
    <row r="301" spans="1:4">
      <c r="A301" s="22">
        <f t="shared" si="12"/>
        <v>299</v>
      </c>
      <c r="B301" s="23">
        <v>2990</v>
      </c>
      <c r="C301">
        <v>35592.75</v>
      </c>
      <c r="D301">
        <f t="shared" si="13"/>
        <v>355.92750000000001</v>
      </c>
    </row>
    <row r="302" spans="1:4">
      <c r="A302" s="22">
        <f t="shared" si="12"/>
        <v>300</v>
      </c>
      <c r="B302" s="23">
        <v>3000</v>
      </c>
      <c r="C302">
        <v>35467.25</v>
      </c>
      <c r="D302">
        <f t="shared" si="13"/>
        <v>354.67250000000001</v>
      </c>
    </row>
    <row r="303" spans="1:4">
      <c r="A303" s="22">
        <f t="shared" si="12"/>
        <v>301</v>
      </c>
      <c r="B303" s="23">
        <v>3010</v>
      </c>
      <c r="C303">
        <v>35341.75</v>
      </c>
      <c r="D303">
        <f t="shared" si="13"/>
        <v>353.41750000000002</v>
      </c>
    </row>
    <row r="304" spans="1:4">
      <c r="A304" s="22">
        <f t="shared" si="12"/>
        <v>302</v>
      </c>
      <c r="B304" s="23">
        <v>3020</v>
      </c>
      <c r="C304">
        <v>35216.25</v>
      </c>
      <c r="D304">
        <f t="shared" si="13"/>
        <v>352.16250000000002</v>
      </c>
    </row>
    <row r="305" spans="1:4">
      <c r="A305" s="22">
        <f t="shared" si="12"/>
        <v>303</v>
      </c>
      <c r="B305" s="23">
        <v>3030</v>
      </c>
      <c r="C305">
        <v>35090.75</v>
      </c>
      <c r="D305">
        <f t="shared" si="13"/>
        <v>350.90750000000003</v>
      </c>
    </row>
    <row r="306" spans="1:4">
      <c r="A306" s="22">
        <f t="shared" si="12"/>
        <v>304</v>
      </c>
      <c r="B306" s="23">
        <v>3040</v>
      </c>
      <c r="C306">
        <v>34965.25</v>
      </c>
      <c r="D306">
        <f t="shared" si="13"/>
        <v>349.65249999999997</v>
      </c>
    </row>
    <row r="307" spans="1:4">
      <c r="A307" s="22">
        <f t="shared" si="12"/>
        <v>305</v>
      </c>
      <c r="B307" s="23">
        <v>3050</v>
      </c>
      <c r="C307">
        <v>34839.75</v>
      </c>
      <c r="D307">
        <f t="shared" si="13"/>
        <v>348.39749999999998</v>
      </c>
    </row>
    <row r="308" spans="1:4">
      <c r="A308" s="22">
        <f t="shared" si="12"/>
        <v>306</v>
      </c>
      <c r="B308" s="23">
        <v>3060</v>
      </c>
      <c r="C308">
        <v>34714.25</v>
      </c>
      <c r="D308">
        <f t="shared" si="13"/>
        <v>347.14249999999998</v>
      </c>
    </row>
    <row r="309" spans="1:4">
      <c r="A309" s="22">
        <f t="shared" si="12"/>
        <v>307</v>
      </c>
      <c r="B309" s="23">
        <v>3070</v>
      </c>
      <c r="C309">
        <v>34588.75</v>
      </c>
      <c r="D309">
        <f t="shared" si="13"/>
        <v>345.88749999999999</v>
      </c>
    </row>
    <row r="310" spans="1:4">
      <c r="A310" s="22">
        <f t="shared" si="12"/>
        <v>308</v>
      </c>
      <c r="B310" s="23">
        <v>3080</v>
      </c>
      <c r="C310">
        <v>34463.25</v>
      </c>
      <c r="D310">
        <f t="shared" si="13"/>
        <v>344.63249999999999</v>
      </c>
    </row>
    <row r="311" spans="1:4">
      <c r="A311" s="22">
        <f t="shared" si="12"/>
        <v>309</v>
      </c>
      <c r="B311" s="23">
        <v>3090</v>
      </c>
      <c r="C311">
        <v>34337.75</v>
      </c>
      <c r="D311">
        <f t="shared" si="13"/>
        <v>343.3775</v>
      </c>
    </row>
    <row r="312" spans="1:4">
      <c r="A312" s="22">
        <f t="shared" si="12"/>
        <v>310</v>
      </c>
      <c r="B312" s="23">
        <v>3100</v>
      </c>
      <c r="C312">
        <v>34212.25</v>
      </c>
      <c r="D312">
        <f t="shared" si="13"/>
        <v>342.1225</v>
      </c>
    </row>
    <row r="313" spans="1:4">
      <c r="A313" s="22">
        <f t="shared" si="12"/>
        <v>311</v>
      </c>
      <c r="B313" s="23">
        <v>3110</v>
      </c>
      <c r="C313">
        <v>34086.75</v>
      </c>
      <c r="D313">
        <f t="shared" si="13"/>
        <v>340.86750000000001</v>
      </c>
    </row>
    <row r="314" spans="1:4">
      <c r="A314" s="22">
        <f t="shared" si="12"/>
        <v>312</v>
      </c>
      <c r="B314" s="23">
        <v>3120</v>
      </c>
      <c r="C314">
        <v>33961.25</v>
      </c>
      <c r="D314">
        <f t="shared" si="13"/>
        <v>339.61250000000001</v>
      </c>
    </row>
    <row r="315" spans="1:4">
      <c r="A315" s="22">
        <f t="shared" si="12"/>
        <v>313</v>
      </c>
      <c r="B315" s="23">
        <v>3130</v>
      </c>
      <c r="C315">
        <v>33835.75</v>
      </c>
      <c r="D315">
        <f t="shared" si="13"/>
        <v>338.35750000000002</v>
      </c>
    </row>
    <row r="316" spans="1:4">
      <c r="A316" s="22">
        <f t="shared" si="12"/>
        <v>314</v>
      </c>
      <c r="B316" s="23">
        <v>3140</v>
      </c>
      <c r="C316">
        <v>33710.25</v>
      </c>
      <c r="D316">
        <f t="shared" si="13"/>
        <v>337.10250000000002</v>
      </c>
    </row>
    <row r="317" spans="1:4">
      <c r="A317" s="22">
        <f t="shared" si="12"/>
        <v>315</v>
      </c>
      <c r="B317" s="23">
        <v>3150</v>
      </c>
      <c r="C317">
        <v>33584.75</v>
      </c>
      <c r="D317">
        <f t="shared" si="13"/>
        <v>335.84750000000003</v>
      </c>
    </row>
    <row r="318" spans="1:4">
      <c r="A318" s="22">
        <f t="shared" si="12"/>
        <v>316</v>
      </c>
      <c r="B318" s="23">
        <v>3160</v>
      </c>
      <c r="C318">
        <v>33459.25</v>
      </c>
      <c r="D318">
        <f t="shared" si="13"/>
        <v>334.59249999999997</v>
      </c>
    </row>
    <row r="319" spans="1:4">
      <c r="A319" s="22">
        <f t="shared" si="12"/>
        <v>317</v>
      </c>
      <c r="B319" s="23">
        <v>3170</v>
      </c>
      <c r="C319">
        <v>33333.75</v>
      </c>
      <c r="D319">
        <f t="shared" si="13"/>
        <v>333.33749999999998</v>
      </c>
    </row>
    <row r="320" spans="1:4">
      <c r="A320" s="22">
        <f t="shared" si="12"/>
        <v>318</v>
      </c>
      <c r="B320" s="23">
        <v>3180</v>
      </c>
      <c r="C320">
        <v>33208.25</v>
      </c>
      <c r="D320">
        <f t="shared" si="13"/>
        <v>332.08249999999998</v>
      </c>
    </row>
    <row r="321" spans="1:4">
      <c r="A321" s="22">
        <f t="shared" si="12"/>
        <v>319</v>
      </c>
      <c r="B321" s="23">
        <v>3190</v>
      </c>
      <c r="C321">
        <v>33082.75</v>
      </c>
      <c r="D321">
        <f t="shared" si="13"/>
        <v>330.82749999999999</v>
      </c>
    </row>
    <row r="322" spans="1:4">
      <c r="A322" s="22">
        <f t="shared" si="12"/>
        <v>320</v>
      </c>
      <c r="B322" s="23">
        <v>3200</v>
      </c>
      <c r="C322">
        <v>32957.25</v>
      </c>
      <c r="D322">
        <f t="shared" si="13"/>
        <v>329.57249999999999</v>
      </c>
    </row>
    <row r="323" spans="1:4">
      <c r="A323" s="22">
        <f t="shared" ref="A323:A386" si="14">$B323/10</f>
        <v>321</v>
      </c>
      <c r="B323" s="23">
        <v>3210</v>
      </c>
      <c r="C323">
        <v>32831.75</v>
      </c>
      <c r="D323">
        <f t="shared" ref="D323:D386" si="15">$C323/100</f>
        <v>328.3175</v>
      </c>
    </row>
    <row r="324" spans="1:4">
      <c r="A324" s="22">
        <f t="shared" si="14"/>
        <v>322</v>
      </c>
      <c r="B324" s="23">
        <v>3220</v>
      </c>
      <c r="C324">
        <v>32706.25</v>
      </c>
      <c r="D324">
        <f t="shared" si="15"/>
        <v>327.0625</v>
      </c>
    </row>
    <row r="325" spans="1:4">
      <c r="A325" s="22">
        <f t="shared" si="14"/>
        <v>323</v>
      </c>
      <c r="B325" s="23">
        <v>3230</v>
      </c>
      <c r="C325">
        <v>32580.75</v>
      </c>
      <c r="D325">
        <f t="shared" si="15"/>
        <v>325.8075</v>
      </c>
    </row>
    <row r="326" spans="1:4">
      <c r="A326" s="22">
        <f t="shared" si="14"/>
        <v>324</v>
      </c>
      <c r="B326" s="23">
        <v>3240</v>
      </c>
      <c r="C326">
        <v>32455.25</v>
      </c>
      <c r="D326">
        <f t="shared" si="15"/>
        <v>324.55250000000001</v>
      </c>
    </row>
    <row r="327" spans="1:4">
      <c r="A327" s="22">
        <f t="shared" si="14"/>
        <v>325</v>
      </c>
      <c r="B327" s="23">
        <v>3250</v>
      </c>
      <c r="C327">
        <v>32329.75</v>
      </c>
      <c r="D327">
        <f t="shared" si="15"/>
        <v>323.29750000000001</v>
      </c>
    </row>
    <row r="328" spans="1:4">
      <c r="A328" s="22">
        <f t="shared" si="14"/>
        <v>326</v>
      </c>
      <c r="B328" s="23">
        <v>3260</v>
      </c>
      <c r="C328">
        <v>32204.25</v>
      </c>
      <c r="D328">
        <f t="shared" si="15"/>
        <v>322.04250000000002</v>
      </c>
    </row>
    <row r="329" spans="1:4">
      <c r="A329" s="22">
        <f t="shared" si="14"/>
        <v>327</v>
      </c>
      <c r="B329" s="23">
        <v>3270</v>
      </c>
      <c r="C329">
        <v>32078.75</v>
      </c>
      <c r="D329">
        <f t="shared" si="15"/>
        <v>320.78750000000002</v>
      </c>
    </row>
    <row r="330" spans="1:4">
      <c r="A330" s="22">
        <f t="shared" si="14"/>
        <v>328</v>
      </c>
      <c r="B330" s="23">
        <v>3280</v>
      </c>
      <c r="C330">
        <v>31953.25</v>
      </c>
      <c r="D330">
        <f t="shared" si="15"/>
        <v>319.53250000000003</v>
      </c>
    </row>
    <row r="331" spans="1:4">
      <c r="A331" s="22">
        <f t="shared" si="14"/>
        <v>329</v>
      </c>
      <c r="B331" s="23">
        <v>3290</v>
      </c>
      <c r="C331">
        <v>31827.75</v>
      </c>
      <c r="D331">
        <f t="shared" si="15"/>
        <v>318.27749999999997</v>
      </c>
    </row>
    <row r="332" spans="1:4">
      <c r="A332" s="22">
        <f t="shared" si="14"/>
        <v>330</v>
      </c>
      <c r="B332" s="23">
        <v>3300</v>
      </c>
      <c r="C332">
        <v>31702.25</v>
      </c>
      <c r="D332">
        <f t="shared" si="15"/>
        <v>317.02249999999998</v>
      </c>
    </row>
    <row r="333" spans="1:4">
      <c r="A333" s="22">
        <f t="shared" si="14"/>
        <v>331</v>
      </c>
      <c r="B333" s="23">
        <v>3310</v>
      </c>
      <c r="C333">
        <v>31576.75</v>
      </c>
      <c r="D333">
        <f t="shared" si="15"/>
        <v>315.76749999999998</v>
      </c>
    </row>
    <row r="334" spans="1:4">
      <c r="A334" s="22">
        <f t="shared" si="14"/>
        <v>332</v>
      </c>
      <c r="B334" s="23">
        <v>3320</v>
      </c>
      <c r="C334">
        <v>31451.25</v>
      </c>
      <c r="D334">
        <f t="shared" si="15"/>
        <v>314.51249999999999</v>
      </c>
    </row>
    <row r="335" spans="1:4">
      <c r="A335" s="22">
        <f t="shared" si="14"/>
        <v>333</v>
      </c>
      <c r="B335" s="23">
        <v>3330</v>
      </c>
      <c r="C335">
        <v>31325.75</v>
      </c>
      <c r="D335">
        <f t="shared" si="15"/>
        <v>313.25749999999999</v>
      </c>
    </row>
    <row r="336" spans="1:4">
      <c r="A336" s="22">
        <f t="shared" si="14"/>
        <v>334</v>
      </c>
      <c r="B336" s="23">
        <v>3340</v>
      </c>
      <c r="C336">
        <v>31200.25</v>
      </c>
      <c r="D336">
        <f t="shared" si="15"/>
        <v>312.0025</v>
      </c>
    </row>
    <row r="337" spans="1:4">
      <c r="A337" s="22">
        <f t="shared" si="14"/>
        <v>335</v>
      </c>
      <c r="B337" s="23">
        <v>3350</v>
      </c>
      <c r="C337">
        <v>31074.75</v>
      </c>
      <c r="D337">
        <f t="shared" si="15"/>
        <v>310.7475</v>
      </c>
    </row>
    <row r="338" spans="1:4">
      <c r="A338" s="22">
        <f t="shared" si="14"/>
        <v>336</v>
      </c>
      <c r="B338" s="23">
        <v>3360</v>
      </c>
      <c r="C338">
        <v>30949.25</v>
      </c>
      <c r="D338">
        <f t="shared" si="15"/>
        <v>309.49250000000001</v>
      </c>
    </row>
    <row r="339" spans="1:4">
      <c r="A339" s="22">
        <f t="shared" si="14"/>
        <v>337</v>
      </c>
      <c r="B339" s="23">
        <v>3370</v>
      </c>
      <c r="C339">
        <v>30823.75</v>
      </c>
      <c r="D339">
        <f t="shared" si="15"/>
        <v>308.23750000000001</v>
      </c>
    </row>
    <row r="340" spans="1:4">
      <c r="A340" s="22">
        <f t="shared" si="14"/>
        <v>338</v>
      </c>
      <c r="B340" s="23">
        <v>3380</v>
      </c>
      <c r="C340">
        <v>30698.25</v>
      </c>
      <c r="D340">
        <f t="shared" si="15"/>
        <v>306.98250000000002</v>
      </c>
    </row>
    <row r="341" spans="1:4">
      <c r="A341" s="22">
        <f t="shared" si="14"/>
        <v>339</v>
      </c>
      <c r="B341" s="23">
        <v>3390</v>
      </c>
      <c r="C341">
        <v>30572.75</v>
      </c>
      <c r="D341">
        <f t="shared" si="15"/>
        <v>305.72750000000002</v>
      </c>
    </row>
    <row r="342" spans="1:4">
      <c r="A342" s="22">
        <f t="shared" si="14"/>
        <v>340</v>
      </c>
      <c r="B342" s="23">
        <v>3400</v>
      </c>
      <c r="C342">
        <v>30447.25</v>
      </c>
      <c r="D342">
        <f t="shared" si="15"/>
        <v>304.47250000000003</v>
      </c>
    </row>
    <row r="343" spans="1:4">
      <c r="A343" s="22">
        <f t="shared" si="14"/>
        <v>341</v>
      </c>
      <c r="B343" s="23">
        <v>3410</v>
      </c>
      <c r="C343">
        <v>30321.75</v>
      </c>
      <c r="D343">
        <f t="shared" si="15"/>
        <v>303.21749999999997</v>
      </c>
    </row>
    <row r="344" spans="1:4">
      <c r="A344" s="22">
        <f t="shared" si="14"/>
        <v>342</v>
      </c>
      <c r="B344" s="23">
        <v>3420</v>
      </c>
      <c r="C344">
        <v>30196.25</v>
      </c>
      <c r="D344">
        <f t="shared" si="15"/>
        <v>301.96249999999998</v>
      </c>
    </row>
    <row r="345" spans="1:4">
      <c r="A345" s="22">
        <f t="shared" si="14"/>
        <v>343</v>
      </c>
      <c r="B345" s="23">
        <v>3430</v>
      </c>
      <c r="C345">
        <v>30070.75</v>
      </c>
      <c r="D345">
        <f t="shared" si="15"/>
        <v>300.70749999999998</v>
      </c>
    </row>
    <row r="346" spans="1:4">
      <c r="A346" s="22">
        <f t="shared" si="14"/>
        <v>344</v>
      </c>
      <c r="B346" s="23">
        <v>3440</v>
      </c>
      <c r="C346">
        <v>29945.25</v>
      </c>
      <c r="D346">
        <f t="shared" si="15"/>
        <v>299.45249999999999</v>
      </c>
    </row>
    <row r="347" spans="1:4">
      <c r="A347" s="22">
        <f t="shared" si="14"/>
        <v>345</v>
      </c>
      <c r="B347" s="23">
        <v>3450</v>
      </c>
      <c r="C347">
        <v>29819.75</v>
      </c>
      <c r="D347">
        <f t="shared" si="15"/>
        <v>298.19749999999999</v>
      </c>
    </row>
    <row r="348" spans="1:4">
      <c r="A348" s="22">
        <f t="shared" si="14"/>
        <v>346</v>
      </c>
      <c r="B348" s="23">
        <v>3460</v>
      </c>
      <c r="C348">
        <v>29694.25</v>
      </c>
      <c r="D348">
        <f t="shared" si="15"/>
        <v>296.9425</v>
      </c>
    </row>
    <row r="349" spans="1:4">
      <c r="A349" s="22">
        <f t="shared" si="14"/>
        <v>347</v>
      </c>
      <c r="B349" s="23">
        <v>3470</v>
      </c>
      <c r="C349">
        <v>29568.75</v>
      </c>
      <c r="D349">
        <f t="shared" si="15"/>
        <v>295.6875</v>
      </c>
    </row>
    <row r="350" spans="1:4">
      <c r="A350" s="22">
        <f t="shared" si="14"/>
        <v>348</v>
      </c>
      <c r="B350" s="23">
        <v>3480</v>
      </c>
      <c r="C350">
        <v>29443.25</v>
      </c>
      <c r="D350">
        <f t="shared" si="15"/>
        <v>294.4325</v>
      </c>
    </row>
    <row r="351" spans="1:4">
      <c r="A351" s="22">
        <f t="shared" si="14"/>
        <v>349</v>
      </c>
      <c r="B351" s="23">
        <v>3490</v>
      </c>
      <c r="C351">
        <v>29317.75</v>
      </c>
      <c r="D351">
        <f t="shared" si="15"/>
        <v>293.17750000000001</v>
      </c>
    </row>
    <row r="352" spans="1:4">
      <c r="A352" s="22">
        <f t="shared" si="14"/>
        <v>350</v>
      </c>
      <c r="B352" s="23">
        <v>3500</v>
      </c>
      <c r="C352">
        <v>29192.25</v>
      </c>
      <c r="D352">
        <f t="shared" si="15"/>
        <v>291.92250000000001</v>
      </c>
    </row>
    <row r="353" spans="1:4">
      <c r="A353" s="22">
        <f t="shared" si="14"/>
        <v>351</v>
      </c>
      <c r="B353" s="23">
        <v>3510</v>
      </c>
      <c r="C353">
        <v>29066.75</v>
      </c>
      <c r="D353">
        <f t="shared" si="15"/>
        <v>290.66750000000002</v>
      </c>
    </row>
    <row r="354" spans="1:4">
      <c r="A354" s="22">
        <f t="shared" si="14"/>
        <v>352</v>
      </c>
      <c r="B354" s="23">
        <v>3520</v>
      </c>
      <c r="C354">
        <v>28941.25</v>
      </c>
      <c r="D354">
        <f t="shared" si="15"/>
        <v>289.41250000000002</v>
      </c>
    </row>
    <row r="355" spans="1:4">
      <c r="A355" s="22">
        <f t="shared" si="14"/>
        <v>353</v>
      </c>
      <c r="B355" s="23">
        <v>3530</v>
      </c>
      <c r="C355">
        <v>28815.75</v>
      </c>
      <c r="D355">
        <f t="shared" si="15"/>
        <v>288.15750000000003</v>
      </c>
    </row>
    <row r="356" spans="1:4">
      <c r="A356" s="22">
        <f t="shared" si="14"/>
        <v>354</v>
      </c>
      <c r="B356" s="23">
        <v>3540</v>
      </c>
      <c r="C356">
        <v>28690.25</v>
      </c>
      <c r="D356">
        <f t="shared" si="15"/>
        <v>286.90249999999997</v>
      </c>
    </row>
    <row r="357" spans="1:4">
      <c r="A357" s="22">
        <f t="shared" si="14"/>
        <v>355</v>
      </c>
      <c r="B357" s="23">
        <v>3550</v>
      </c>
      <c r="C357">
        <v>28564.75</v>
      </c>
      <c r="D357">
        <f t="shared" si="15"/>
        <v>285.64749999999998</v>
      </c>
    </row>
    <row r="358" spans="1:4">
      <c r="A358" s="22">
        <f t="shared" si="14"/>
        <v>356</v>
      </c>
      <c r="B358" s="23">
        <v>3560</v>
      </c>
      <c r="C358">
        <v>28439.25</v>
      </c>
      <c r="D358">
        <f t="shared" si="15"/>
        <v>284.39249999999998</v>
      </c>
    </row>
    <row r="359" spans="1:4">
      <c r="A359" s="22">
        <f t="shared" si="14"/>
        <v>357</v>
      </c>
      <c r="B359" s="23">
        <v>3570</v>
      </c>
      <c r="C359">
        <v>28313.75</v>
      </c>
      <c r="D359">
        <f t="shared" si="15"/>
        <v>283.13749999999999</v>
      </c>
    </row>
    <row r="360" spans="1:4">
      <c r="A360" s="22">
        <f t="shared" si="14"/>
        <v>358</v>
      </c>
      <c r="B360" s="23">
        <v>3580</v>
      </c>
      <c r="C360">
        <v>28188.25</v>
      </c>
      <c r="D360">
        <f t="shared" si="15"/>
        <v>281.88249999999999</v>
      </c>
    </row>
    <row r="361" spans="1:4">
      <c r="A361" s="22">
        <f t="shared" si="14"/>
        <v>359</v>
      </c>
      <c r="B361" s="23">
        <v>3590</v>
      </c>
      <c r="C361">
        <v>28062.75</v>
      </c>
      <c r="D361">
        <f t="shared" si="15"/>
        <v>280.6275</v>
      </c>
    </row>
    <row r="362" spans="1:4">
      <c r="A362" s="22">
        <f t="shared" si="14"/>
        <v>360</v>
      </c>
      <c r="B362" s="23">
        <v>3600</v>
      </c>
      <c r="C362">
        <v>27937.25</v>
      </c>
      <c r="D362">
        <f t="shared" si="15"/>
        <v>279.3725</v>
      </c>
    </row>
    <row r="363" spans="1:4">
      <c r="A363" s="22">
        <f t="shared" si="14"/>
        <v>361</v>
      </c>
      <c r="B363" s="23">
        <v>3610</v>
      </c>
      <c r="C363">
        <v>27811.75</v>
      </c>
      <c r="D363">
        <f t="shared" si="15"/>
        <v>278.11750000000001</v>
      </c>
    </row>
    <row r="364" spans="1:4">
      <c r="A364" s="22">
        <f t="shared" si="14"/>
        <v>362</v>
      </c>
      <c r="B364" s="23">
        <v>3620</v>
      </c>
      <c r="C364">
        <v>27686.25</v>
      </c>
      <c r="D364">
        <f t="shared" si="15"/>
        <v>276.86250000000001</v>
      </c>
    </row>
    <row r="365" spans="1:4">
      <c r="A365" s="22">
        <f t="shared" si="14"/>
        <v>363</v>
      </c>
      <c r="B365" s="23">
        <v>3630</v>
      </c>
      <c r="C365">
        <v>27560.75</v>
      </c>
      <c r="D365">
        <f t="shared" si="15"/>
        <v>275.60750000000002</v>
      </c>
    </row>
    <row r="366" spans="1:4">
      <c r="A366" s="22">
        <f t="shared" si="14"/>
        <v>364</v>
      </c>
      <c r="B366" s="23">
        <v>3640</v>
      </c>
      <c r="C366">
        <v>27435.25</v>
      </c>
      <c r="D366">
        <f t="shared" si="15"/>
        <v>274.35250000000002</v>
      </c>
    </row>
    <row r="367" spans="1:4">
      <c r="A367" s="22">
        <f t="shared" si="14"/>
        <v>365</v>
      </c>
      <c r="B367" s="23">
        <v>3650</v>
      </c>
      <c r="C367">
        <v>27309.75</v>
      </c>
      <c r="D367">
        <f t="shared" si="15"/>
        <v>273.09750000000003</v>
      </c>
    </row>
    <row r="368" spans="1:4">
      <c r="A368" s="22">
        <f t="shared" si="14"/>
        <v>366</v>
      </c>
      <c r="B368" s="23">
        <v>3660</v>
      </c>
      <c r="C368">
        <v>27184.25</v>
      </c>
      <c r="D368">
        <f t="shared" si="15"/>
        <v>271.84249999999997</v>
      </c>
    </row>
    <row r="369" spans="1:4">
      <c r="A369" s="22">
        <f t="shared" si="14"/>
        <v>367</v>
      </c>
      <c r="B369" s="23">
        <v>3670</v>
      </c>
      <c r="C369">
        <v>27058.75</v>
      </c>
      <c r="D369">
        <f t="shared" si="15"/>
        <v>270.58749999999998</v>
      </c>
    </row>
    <row r="370" spans="1:4">
      <c r="A370" s="22">
        <f t="shared" si="14"/>
        <v>368</v>
      </c>
      <c r="B370" s="23">
        <v>3680</v>
      </c>
      <c r="C370">
        <v>26933.25</v>
      </c>
      <c r="D370">
        <f t="shared" si="15"/>
        <v>269.33249999999998</v>
      </c>
    </row>
    <row r="371" spans="1:4">
      <c r="A371" s="22">
        <f t="shared" si="14"/>
        <v>369</v>
      </c>
      <c r="B371" s="23">
        <v>3690</v>
      </c>
      <c r="C371">
        <v>26807.75</v>
      </c>
      <c r="D371">
        <f t="shared" si="15"/>
        <v>268.07749999999999</v>
      </c>
    </row>
    <row r="372" spans="1:4">
      <c r="A372" s="22">
        <f t="shared" si="14"/>
        <v>370</v>
      </c>
      <c r="B372" s="23">
        <v>3700</v>
      </c>
      <c r="C372">
        <v>26682.25</v>
      </c>
      <c r="D372">
        <f t="shared" si="15"/>
        <v>266.82249999999999</v>
      </c>
    </row>
    <row r="373" spans="1:4">
      <c r="A373" s="22">
        <f t="shared" si="14"/>
        <v>371</v>
      </c>
      <c r="B373" s="23">
        <v>3710</v>
      </c>
      <c r="C373">
        <v>26556.75</v>
      </c>
      <c r="D373">
        <f t="shared" si="15"/>
        <v>265.5675</v>
      </c>
    </row>
    <row r="374" spans="1:4">
      <c r="A374" s="22">
        <f t="shared" si="14"/>
        <v>372</v>
      </c>
      <c r="B374" s="23">
        <v>3720</v>
      </c>
      <c r="C374">
        <v>26431.25</v>
      </c>
      <c r="D374">
        <f t="shared" si="15"/>
        <v>264.3125</v>
      </c>
    </row>
    <row r="375" spans="1:4">
      <c r="A375" s="22">
        <f t="shared" si="14"/>
        <v>373</v>
      </c>
      <c r="B375" s="23">
        <v>3730</v>
      </c>
      <c r="C375">
        <v>26305.75</v>
      </c>
      <c r="D375">
        <f t="shared" si="15"/>
        <v>263.0575</v>
      </c>
    </row>
    <row r="376" spans="1:4">
      <c r="A376" s="22">
        <f t="shared" si="14"/>
        <v>374</v>
      </c>
      <c r="B376" s="23">
        <v>3740</v>
      </c>
      <c r="C376">
        <v>26180.25</v>
      </c>
      <c r="D376">
        <f t="shared" si="15"/>
        <v>261.80250000000001</v>
      </c>
    </row>
    <row r="377" spans="1:4">
      <c r="A377" s="22">
        <f t="shared" si="14"/>
        <v>375</v>
      </c>
      <c r="B377" s="23">
        <v>3750</v>
      </c>
      <c r="C377">
        <v>26054.75</v>
      </c>
      <c r="D377">
        <f t="shared" si="15"/>
        <v>260.54750000000001</v>
      </c>
    </row>
    <row r="378" spans="1:4">
      <c r="A378" s="22">
        <f t="shared" si="14"/>
        <v>376</v>
      </c>
      <c r="B378" s="23">
        <v>3760</v>
      </c>
      <c r="C378">
        <v>25929.25</v>
      </c>
      <c r="D378">
        <f t="shared" si="15"/>
        <v>259.29250000000002</v>
      </c>
    </row>
    <row r="379" spans="1:4">
      <c r="A379" s="22">
        <f t="shared" si="14"/>
        <v>377</v>
      </c>
      <c r="B379" s="23">
        <v>3770</v>
      </c>
      <c r="C379">
        <v>25803.75</v>
      </c>
      <c r="D379">
        <f t="shared" si="15"/>
        <v>258.03750000000002</v>
      </c>
    </row>
    <row r="380" spans="1:4">
      <c r="A380" s="22">
        <f t="shared" si="14"/>
        <v>378</v>
      </c>
      <c r="B380" s="23">
        <v>3780</v>
      </c>
      <c r="C380">
        <v>25678.25</v>
      </c>
      <c r="D380">
        <f t="shared" si="15"/>
        <v>256.78250000000003</v>
      </c>
    </row>
    <row r="381" spans="1:4">
      <c r="A381" s="22">
        <f t="shared" si="14"/>
        <v>379</v>
      </c>
      <c r="B381" s="23">
        <v>3790</v>
      </c>
      <c r="C381">
        <v>25552.75</v>
      </c>
      <c r="D381">
        <f t="shared" si="15"/>
        <v>255.5275</v>
      </c>
    </row>
    <row r="382" spans="1:4">
      <c r="A382" s="22">
        <f t="shared" si="14"/>
        <v>380</v>
      </c>
      <c r="B382" s="23">
        <v>3800</v>
      </c>
      <c r="C382">
        <v>25427.25</v>
      </c>
      <c r="D382">
        <f t="shared" si="15"/>
        <v>254.27250000000001</v>
      </c>
    </row>
    <row r="383" spans="1:4">
      <c r="A383" s="22">
        <f t="shared" si="14"/>
        <v>381</v>
      </c>
      <c r="B383" s="23">
        <v>3810</v>
      </c>
      <c r="C383">
        <v>25301.75</v>
      </c>
      <c r="D383">
        <f t="shared" si="15"/>
        <v>253.01750000000001</v>
      </c>
    </row>
    <row r="384" spans="1:4">
      <c r="A384" s="22">
        <f t="shared" si="14"/>
        <v>382</v>
      </c>
      <c r="B384" s="23">
        <v>3820</v>
      </c>
      <c r="C384">
        <v>25176.25</v>
      </c>
      <c r="D384">
        <f t="shared" si="15"/>
        <v>251.76249999999999</v>
      </c>
    </row>
    <row r="385" spans="1:4">
      <c r="A385" s="22">
        <f t="shared" si="14"/>
        <v>383</v>
      </c>
      <c r="B385" s="23">
        <v>3830</v>
      </c>
      <c r="C385">
        <v>25050.75</v>
      </c>
      <c r="D385">
        <f t="shared" si="15"/>
        <v>250.50749999999999</v>
      </c>
    </row>
    <row r="386" spans="1:4">
      <c r="A386" s="22">
        <f t="shared" si="14"/>
        <v>384</v>
      </c>
      <c r="B386" s="23">
        <v>3840</v>
      </c>
      <c r="C386">
        <v>24925.25</v>
      </c>
      <c r="D386">
        <f t="shared" si="15"/>
        <v>249.2525</v>
      </c>
    </row>
    <row r="387" spans="1:4">
      <c r="A387" s="22">
        <f t="shared" ref="A387:A450" si="16">$B387/10</f>
        <v>385</v>
      </c>
      <c r="B387" s="23">
        <v>3850</v>
      </c>
      <c r="C387">
        <v>24799.75</v>
      </c>
      <c r="D387">
        <f t="shared" ref="D387:D450" si="17">$C387/100</f>
        <v>247.9975</v>
      </c>
    </row>
    <row r="388" spans="1:4">
      <c r="A388" s="22">
        <f t="shared" si="16"/>
        <v>386</v>
      </c>
      <c r="B388" s="23">
        <v>3860</v>
      </c>
      <c r="C388">
        <v>24674.25</v>
      </c>
      <c r="D388">
        <f t="shared" si="17"/>
        <v>246.74250000000001</v>
      </c>
    </row>
    <row r="389" spans="1:4">
      <c r="A389" s="22">
        <f t="shared" si="16"/>
        <v>387</v>
      </c>
      <c r="B389" s="23">
        <v>3870</v>
      </c>
      <c r="C389">
        <v>24548.75</v>
      </c>
      <c r="D389">
        <f t="shared" si="17"/>
        <v>245.48750000000001</v>
      </c>
    </row>
    <row r="390" spans="1:4">
      <c r="A390" s="22">
        <f t="shared" si="16"/>
        <v>388</v>
      </c>
      <c r="B390" s="23">
        <v>3880</v>
      </c>
      <c r="C390">
        <v>24423.25</v>
      </c>
      <c r="D390">
        <f t="shared" si="17"/>
        <v>244.23249999999999</v>
      </c>
    </row>
    <row r="391" spans="1:4">
      <c r="A391" s="22">
        <f t="shared" si="16"/>
        <v>389</v>
      </c>
      <c r="B391" s="23">
        <v>3890</v>
      </c>
      <c r="C391">
        <v>24297.75</v>
      </c>
      <c r="D391">
        <f t="shared" si="17"/>
        <v>242.97749999999999</v>
      </c>
    </row>
    <row r="392" spans="1:4">
      <c r="A392" s="22">
        <f t="shared" si="16"/>
        <v>390</v>
      </c>
      <c r="B392" s="23">
        <v>3900</v>
      </c>
      <c r="C392">
        <v>24172.25</v>
      </c>
      <c r="D392">
        <f t="shared" si="17"/>
        <v>241.7225</v>
      </c>
    </row>
    <row r="393" spans="1:4">
      <c r="A393" s="22">
        <f t="shared" si="16"/>
        <v>391</v>
      </c>
      <c r="B393" s="23">
        <v>3910</v>
      </c>
      <c r="C393">
        <v>24046.75</v>
      </c>
      <c r="D393">
        <f t="shared" si="17"/>
        <v>240.4675</v>
      </c>
    </row>
    <row r="394" spans="1:4">
      <c r="A394" s="22">
        <f t="shared" si="16"/>
        <v>392</v>
      </c>
      <c r="B394" s="23">
        <v>3920</v>
      </c>
      <c r="C394">
        <v>23921.25</v>
      </c>
      <c r="D394">
        <f t="shared" si="17"/>
        <v>239.21250000000001</v>
      </c>
    </row>
    <row r="395" spans="1:4">
      <c r="A395" s="22">
        <f t="shared" si="16"/>
        <v>393</v>
      </c>
      <c r="B395" s="23">
        <v>3930</v>
      </c>
      <c r="C395">
        <v>23795.75</v>
      </c>
      <c r="D395">
        <f t="shared" si="17"/>
        <v>237.95750000000001</v>
      </c>
    </row>
    <row r="396" spans="1:4">
      <c r="A396" s="22">
        <f t="shared" si="16"/>
        <v>394</v>
      </c>
      <c r="B396" s="23">
        <v>3940</v>
      </c>
      <c r="C396">
        <v>23670.25</v>
      </c>
      <c r="D396">
        <f t="shared" si="17"/>
        <v>236.70249999999999</v>
      </c>
    </row>
    <row r="397" spans="1:4">
      <c r="A397" s="22">
        <f t="shared" si="16"/>
        <v>395</v>
      </c>
      <c r="B397" s="23">
        <v>3950</v>
      </c>
      <c r="C397">
        <v>23544.75</v>
      </c>
      <c r="D397">
        <f t="shared" si="17"/>
        <v>235.44749999999999</v>
      </c>
    </row>
    <row r="398" spans="1:4">
      <c r="A398" s="22">
        <f t="shared" si="16"/>
        <v>396</v>
      </c>
      <c r="B398" s="23">
        <v>3960</v>
      </c>
      <c r="C398">
        <v>23419.25</v>
      </c>
      <c r="D398">
        <f t="shared" si="17"/>
        <v>234.1925</v>
      </c>
    </row>
    <row r="399" spans="1:4">
      <c r="A399" s="22">
        <f t="shared" si="16"/>
        <v>397</v>
      </c>
      <c r="B399" s="23">
        <v>3970</v>
      </c>
      <c r="C399">
        <v>23293.75</v>
      </c>
      <c r="D399">
        <f t="shared" si="17"/>
        <v>232.9375</v>
      </c>
    </row>
    <row r="400" spans="1:4">
      <c r="A400" s="22">
        <f t="shared" si="16"/>
        <v>398</v>
      </c>
      <c r="B400" s="23">
        <v>3980</v>
      </c>
      <c r="C400">
        <v>23168.25</v>
      </c>
      <c r="D400">
        <f t="shared" si="17"/>
        <v>231.6825</v>
      </c>
    </row>
    <row r="401" spans="1:4">
      <c r="A401" s="22">
        <f t="shared" si="16"/>
        <v>399</v>
      </c>
      <c r="B401" s="23">
        <v>3990</v>
      </c>
      <c r="C401">
        <v>23042.75</v>
      </c>
      <c r="D401">
        <f t="shared" si="17"/>
        <v>230.42750000000001</v>
      </c>
    </row>
    <row r="402" spans="1:4">
      <c r="A402" s="22">
        <f t="shared" si="16"/>
        <v>400</v>
      </c>
      <c r="B402" s="23">
        <v>4000</v>
      </c>
      <c r="C402">
        <v>22917.25</v>
      </c>
      <c r="D402">
        <f t="shared" si="17"/>
        <v>229.17250000000001</v>
      </c>
    </row>
    <row r="403" spans="1:4">
      <c r="A403" s="22">
        <f t="shared" si="16"/>
        <v>401</v>
      </c>
      <c r="B403" s="23">
        <v>4010</v>
      </c>
      <c r="C403">
        <v>22791.75</v>
      </c>
      <c r="D403">
        <f t="shared" si="17"/>
        <v>227.91749999999999</v>
      </c>
    </row>
    <row r="404" spans="1:4">
      <c r="A404" s="22">
        <f t="shared" si="16"/>
        <v>402</v>
      </c>
      <c r="B404" s="23">
        <v>4020</v>
      </c>
      <c r="C404">
        <v>22666.25</v>
      </c>
      <c r="D404">
        <f t="shared" si="17"/>
        <v>226.66249999999999</v>
      </c>
    </row>
    <row r="405" spans="1:4">
      <c r="A405" s="22">
        <f t="shared" si="16"/>
        <v>403</v>
      </c>
      <c r="B405" s="23">
        <v>4030</v>
      </c>
      <c r="C405">
        <v>22540.75</v>
      </c>
      <c r="D405">
        <f t="shared" si="17"/>
        <v>225.4075</v>
      </c>
    </row>
    <row r="406" spans="1:4">
      <c r="A406" s="22">
        <f t="shared" si="16"/>
        <v>404</v>
      </c>
      <c r="B406" s="23">
        <v>4040</v>
      </c>
      <c r="C406">
        <v>22415.25</v>
      </c>
      <c r="D406">
        <f t="shared" si="17"/>
        <v>224.1525</v>
      </c>
    </row>
    <row r="407" spans="1:4">
      <c r="A407" s="22">
        <f t="shared" si="16"/>
        <v>405</v>
      </c>
      <c r="B407" s="23">
        <v>4050</v>
      </c>
      <c r="C407">
        <v>22289.75</v>
      </c>
      <c r="D407">
        <f t="shared" si="17"/>
        <v>222.89750000000001</v>
      </c>
    </row>
    <row r="408" spans="1:4">
      <c r="A408" s="22">
        <f t="shared" si="16"/>
        <v>406</v>
      </c>
      <c r="B408" s="23">
        <v>4060</v>
      </c>
      <c r="C408">
        <v>22164.25</v>
      </c>
      <c r="D408">
        <f t="shared" si="17"/>
        <v>221.64250000000001</v>
      </c>
    </row>
    <row r="409" spans="1:4">
      <c r="A409" s="22">
        <f t="shared" si="16"/>
        <v>407</v>
      </c>
      <c r="B409" s="23">
        <v>4070</v>
      </c>
      <c r="C409">
        <v>22038.75</v>
      </c>
      <c r="D409">
        <f t="shared" si="17"/>
        <v>220.38749999999999</v>
      </c>
    </row>
    <row r="410" spans="1:4">
      <c r="A410" s="22">
        <f t="shared" si="16"/>
        <v>408</v>
      </c>
      <c r="B410" s="23">
        <v>4080</v>
      </c>
      <c r="C410">
        <v>21913.25</v>
      </c>
      <c r="D410">
        <f t="shared" si="17"/>
        <v>219.13249999999999</v>
      </c>
    </row>
    <row r="411" spans="1:4">
      <c r="A411" s="22">
        <f t="shared" si="16"/>
        <v>409</v>
      </c>
      <c r="B411" s="23">
        <v>4090</v>
      </c>
      <c r="C411">
        <v>21787.75</v>
      </c>
      <c r="D411">
        <f t="shared" si="17"/>
        <v>217.8775</v>
      </c>
    </row>
    <row r="412" spans="1:4">
      <c r="A412" s="22">
        <f t="shared" si="16"/>
        <v>410</v>
      </c>
      <c r="B412" s="23">
        <v>4100</v>
      </c>
      <c r="C412">
        <v>21662.25</v>
      </c>
      <c r="D412">
        <f t="shared" si="17"/>
        <v>216.6225</v>
      </c>
    </row>
    <row r="413" spans="1:4">
      <c r="A413" s="22">
        <f t="shared" si="16"/>
        <v>411</v>
      </c>
      <c r="B413" s="23">
        <v>4110</v>
      </c>
      <c r="C413">
        <v>21536.75</v>
      </c>
      <c r="D413">
        <f t="shared" si="17"/>
        <v>215.36750000000001</v>
      </c>
    </row>
    <row r="414" spans="1:4">
      <c r="A414" s="22">
        <f t="shared" si="16"/>
        <v>412</v>
      </c>
      <c r="B414" s="23">
        <v>4120</v>
      </c>
      <c r="C414">
        <v>21411.25</v>
      </c>
      <c r="D414">
        <f t="shared" si="17"/>
        <v>214.11250000000001</v>
      </c>
    </row>
    <row r="415" spans="1:4">
      <c r="A415" s="22">
        <f t="shared" si="16"/>
        <v>413</v>
      </c>
      <c r="B415" s="23">
        <v>4130</v>
      </c>
      <c r="C415">
        <v>21285.75</v>
      </c>
      <c r="D415">
        <f t="shared" si="17"/>
        <v>212.85749999999999</v>
      </c>
    </row>
    <row r="416" spans="1:4">
      <c r="A416" s="22">
        <f t="shared" si="16"/>
        <v>414</v>
      </c>
      <c r="B416" s="23">
        <v>4140</v>
      </c>
      <c r="C416">
        <v>21160.25</v>
      </c>
      <c r="D416">
        <f t="shared" si="17"/>
        <v>211.60249999999999</v>
      </c>
    </row>
    <row r="417" spans="1:4">
      <c r="A417" s="22">
        <f t="shared" si="16"/>
        <v>415</v>
      </c>
      <c r="B417" s="23">
        <v>4150</v>
      </c>
      <c r="C417">
        <v>21034.75</v>
      </c>
      <c r="D417">
        <f t="shared" si="17"/>
        <v>210.3475</v>
      </c>
    </row>
    <row r="418" spans="1:4">
      <c r="A418" s="22">
        <f t="shared" si="16"/>
        <v>416</v>
      </c>
      <c r="B418" s="23">
        <v>4160</v>
      </c>
      <c r="C418">
        <v>20909.25</v>
      </c>
      <c r="D418">
        <f t="shared" si="17"/>
        <v>209.0925</v>
      </c>
    </row>
    <row r="419" spans="1:4">
      <c r="A419" s="22">
        <f t="shared" si="16"/>
        <v>417</v>
      </c>
      <c r="B419" s="23">
        <v>4170</v>
      </c>
      <c r="C419">
        <v>20783.75</v>
      </c>
      <c r="D419">
        <f t="shared" si="17"/>
        <v>207.83750000000001</v>
      </c>
    </row>
    <row r="420" spans="1:4">
      <c r="A420" s="22">
        <f t="shared" si="16"/>
        <v>418</v>
      </c>
      <c r="B420" s="23">
        <v>4180</v>
      </c>
      <c r="C420">
        <v>20658.25</v>
      </c>
      <c r="D420">
        <f t="shared" si="17"/>
        <v>206.58250000000001</v>
      </c>
    </row>
    <row r="421" spans="1:4">
      <c r="A421" s="22">
        <f t="shared" si="16"/>
        <v>419</v>
      </c>
      <c r="B421" s="23">
        <v>4190</v>
      </c>
      <c r="C421">
        <v>20532.75</v>
      </c>
      <c r="D421">
        <f t="shared" si="17"/>
        <v>205.32749999999999</v>
      </c>
    </row>
    <row r="422" spans="1:4">
      <c r="A422" s="22">
        <f t="shared" si="16"/>
        <v>420</v>
      </c>
      <c r="B422" s="23">
        <v>4200</v>
      </c>
      <c r="C422">
        <v>20407.25</v>
      </c>
      <c r="D422">
        <f t="shared" si="17"/>
        <v>204.07249999999999</v>
      </c>
    </row>
    <row r="423" spans="1:4">
      <c r="A423" s="22">
        <f t="shared" si="16"/>
        <v>421</v>
      </c>
      <c r="B423" s="23">
        <v>4210</v>
      </c>
      <c r="C423">
        <v>20281.75</v>
      </c>
      <c r="D423">
        <f t="shared" si="17"/>
        <v>202.8175</v>
      </c>
    </row>
    <row r="424" spans="1:4">
      <c r="A424" s="22">
        <f t="shared" si="16"/>
        <v>422</v>
      </c>
      <c r="B424" s="23">
        <v>4220</v>
      </c>
      <c r="C424">
        <v>20156.25</v>
      </c>
      <c r="D424">
        <f t="shared" si="17"/>
        <v>201.5625</v>
      </c>
    </row>
    <row r="425" spans="1:4">
      <c r="A425" s="22">
        <f t="shared" si="16"/>
        <v>423</v>
      </c>
      <c r="B425" s="23">
        <v>4230</v>
      </c>
      <c r="C425">
        <v>20030.75</v>
      </c>
      <c r="D425">
        <f t="shared" si="17"/>
        <v>200.3075</v>
      </c>
    </row>
    <row r="426" spans="1:4">
      <c r="A426" s="22">
        <f t="shared" si="16"/>
        <v>424</v>
      </c>
      <c r="B426" s="23">
        <v>4240</v>
      </c>
      <c r="C426">
        <v>19905.25</v>
      </c>
      <c r="D426">
        <f t="shared" si="17"/>
        <v>199.05250000000001</v>
      </c>
    </row>
    <row r="427" spans="1:4">
      <c r="A427" s="22">
        <f t="shared" si="16"/>
        <v>425</v>
      </c>
      <c r="B427" s="23">
        <v>4250</v>
      </c>
      <c r="C427">
        <v>19779.75</v>
      </c>
      <c r="D427">
        <f t="shared" si="17"/>
        <v>197.79750000000001</v>
      </c>
    </row>
    <row r="428" spans="1:4">
      <c r="A428" s="22">
        <f t="shared" si="16"/>
        <v>426</v>
      </c>
      <c r="B428" s="23">
        <v>4260</v>
      </c>
      <c r="C428">
        <v>19654.25</v>
      </c>
      <c r="D428">
        <f t="shared" si="17"/>
        <v>196.54249999999999</v>
      </c>
    </row>
    <row r="429" spans="1:4">
      <c r="A429" s="22">
        <f t="shared" si="16"/>
        <v>427</v>
      </c>
      <c r="B429" s="23">
        <v>4270</v>
      </c>
      <c r="C429">
        <v>19528.75</v>
      </c>
      <c r="D429">
        <f t="shared" si="17"/>
        <v>195.28749999999999</v>
      </c>
    </row>
    <row r="430" spans="1:4">
      <c r="A430" s="22">
        <f t="shared" si="16"/>
        <v>428</v>
      </c>
      <c r="B430" s="23">
        <v>4280</v>
      </c>
      <c r="C430">
        <v>19403.25</v>
      </c>
      <c r="D430">
        <f t="shared" si="17"/>
        <v>194.0325</v>
      </c>
    </row>
    <row r="431" spans="1:4">
      <c r="A431" s="22">
        <f t="shared" si="16"/>
        <v>429</v>
      </c>
      <c r="B431" s="23">
        <v>4290</v>
      </c>
      <c r="C431">
        <v>19277.75</v>
      </c>
      <c r="D431">
        <f t="shared" si="17"/>
        <v>192.7775</v>
      </c>
    </row>
    <row r="432" spans="1:4">
      <c r="A432" s="22">
        <f t="shared" si="16"/>
        <v>430</v>
      </c>
      <c r="B432" s="23">
        <v>4300</v>
      </c>
      <c r="C432">
        <v>19152.25</v>
      </c>
      <c r="D432">
        <f t="shared" si="17"/>
        <v>191.52250000000001</v>
      </c>
    </row>
    <row r="433" spans="1:4">
      <c r="A433" s="22">
        <f t="shared" si="16"/>
        <v>431</v>
      </c>
      <c r="B433" s="23">
        <v>4310</v>
      </c>
      <c r="C433">
        <v>19026.75</v>
      </c>
      <c r="D433">
        <f t="shared" si="17"/>
        <v>190.26750000000001</v>
      </c>
    </row>
    <row r="434" spans="1:4">
      <c r="A434" s="22">
        <f t="shared" si="16"/>
        <v>432</v>
      </c>
      <c r="B434" s="23">
        <v>4320</v>
      </c>
      <c r="C434">
        <v>18901.25</v>
      </c>
      <c r="D434">
        <f t="shared" si="17"/>
        <v>189.01249999999999</v>
      </c>
    </row>
    <row r="435" spans="1:4">
      <c r="A435" s="22">
        <f t="shared" si="16"/>
        <v>433</v>
      </c>
      <c r="B435" s="23">
        <v>4330</v>
      </c>
      <c r="C435">
        <v>18775.75</v>
      </c>
      <c r="D435">
        <f t="shared" si="17"/>
        <v>187.75749999999999</v>
      </c>
    </row>
    <row r="436" spans="1:4">
      <c r="A436" s="22">
        <f t="shared" si="16"/>
        <v>434</v>
      </c>
      <c r="B436" s="23">
        <v>4340</v>
      </c>
      <c r="C436">
        <v>18650.25</v>
      </c>
      <c r="D436">
        <f t="shared" si="17"/>
        <v>186.5025</v>
      </c>
    </row>
    <row r="437" spans="1:4">
      <c r="A437" s="22">
        <f t="shared" si="16"/>
        <v>435</v>
      </c>
      <c r="B437" s="23">
        <v>4350</v>
      </c>
      <c r="C437">
        <v>18524.75</v>
      </c>
      <c r="D437">
        <f t="shared" si="17"/>
        <v>185.2475</v>
      </c>
    </row>
    <row r="438" spans="1:4">
      <c r="A438" s="22">
        <f t="shared" si="16"/>
        <v>436</v>
      </c>
      <c r="B438" s="23">
        <v>4360</v>
      </c>
      <c r="C438">
        <v>18399.25</v>
      </c>
      <c r="D438">
        <f t="shared" si="17"/>
        <v>183.99250000000001</v>
      </c>
    </row>
    <row r="439" spans="1:4">
      <c r="A439" s="22">
        <f t="shared" si="16"/>
        <v>437</v>
      </c>
      <c r="B439" s="23">
        <v>4370</v>
      </c>
      <c r="C439">
        <v>18273.75</v>
      </c>
      <c r="D439">
        <f t="shared" si="17"/>
        <v>182.73750000000001</v>
      </c>
    </row>
    <row r="440" spans="1:4">
      <c r="A440" s="22">
        <f t="shared" si="16"/>
        <v>438</v>
      </c>
      <c r="B440" s="23">
        <v>4380</v>
      </c>
      <c r="C440">
        <v>18148.25</v>
      </c>
      <c r="D440">
        <f t="shared" si="17"/>
        <v>181.48249999999999</v>
      </c>
    </row>
    <row r="441" spans="1:4">
      <c r="A441" s="22">
        <f t="shared" si="16"/>
        <v>439</v>
      </c>
      <c r="B441" s="23">
        <v>4390</v>
      </c>
      <c r="C441">
        <v>18022.75</v>
      </c>
      <c r="D441">
        <f t="shared" si="17"/>
        <v>180.22749999999999</v>
      </c>
    </row>
    <row r="442" spans="1:4">
      <c r="A442" s="22">
        <f t="shared" si="16"/>
        <v>440</v>
      </c>
      <c r="B442" s="23">
        <v>4400</v>
      </c>
      <c r="C442">
        <v>17897.25</v>
      </c>
      <c r="D442">
        <f t="shared" si="17"/>
        <v>178.9725</v>
      </c>
    </row>
    <row r="443" spans="1:4">
      <c r="A443" s="22">
        <f t="shared" si="16"/>
        <v>441</v>
      </c>
      <c r="B443" s="23">
        <v>4410</v>
      </c>
      <c r="C443">
        <v>17771.75</v>
      </c>
      <c r="D443">
        <f t="shared" si="17"/>
        <v>177.7175</v>
      </c>
    </row>
    <row r="444" spans="1:4">
      <c r="A444" s="22">
        <f t="shared" si="16"/>
        <v>442</v>
      </c>
      <c r="B444" s="23">
        <v>4420</v>
      </c>
      <c r="C444">
        <v>17646.25</v>
      </c>
      <c r="D444">
        <f t="shared" si="17"/>
        <v>176.46250000000001</v>
      </c>
    </row>
    <row r="445" spans="1:4">
      <c r="A445" s="22">
        <f t="shared" si="16"/>
        <v>443</v>
      </c>
      <c r="B445" s="23">
        <v>4430</v>
      </c>
      <c r="C445">
        <v>17520.75</v>
      </c>
      <c r="D445">
        <f t="shared" si="17"/>
        <v>175.20750000000001</v>
      </c>
    </row>
    <row r="446" spans="1:4">
      <c r="A446" s="22">
        <f t="shared" si="16"/>
        <v>444</v>
      </c>
      <c r="B446" s="23">
        <v>4440</v>
      </c>
      <c r="C446">
        <v>17395.25</v>
      </c>
      <c r="D446">
        <f t="shared" si="17"/>
        <v>173.95249999999999</v>
      </c>
    </row>
    <row r="447" spans="1:4">
      <c r="A447" s="22">
        <f t="shared" si="16"/>
        <v>445</v>
      </c>
      <c r="B447" s="23">
        <v>4450</v>
      </c>
      <c r="C447">
        <v>17269.75</v>
      </c>
      <c r="D447">
        <f t="shared" si="17"/>
        <v>172.69749999999999</v>
      </c>
    </row>
    <row r="448" spans="1:4">
      <c r="A448" s="22">
        <f t="shared" si="16"/>
        <v>446</v>
      </c>
      <c r="B448" s="23">
        <v>4460</v>
      </c>
      <c r="C448">
        <v>17144.25</v>
      </c>
      <c r="D448">
        <f t="shared" si="17"/>
        <v>171.4425</v>
      </c>
    </row>
    <row r="449" spans="1:4">
      <c r="A449" s="22">
        <f t="shared" si="16"/>
        <v>447</v>
      </c>
      <c r="B449" s="23">
        <v>4470</v>
      </c>
      <c r="C449">
        <v>17018.75</v>
      </c>
      <c r="D449">
        <f t="shared" si="17"/>
        <v>170.1875</v>
      </c>
    </row>
    <row r="450" spans="1:4">
      <c r="A450" s="22">
        <f t="shared" si="16"/>
        <v>448</v>
      </c>
      <c r="B450" s="23">
        <v>4480</v>
      </c>
      <c r="C450">
        <v>16893.25</v>
      </c>
      <c r="D450">
        <f t="shared" si="17"/>
        <v>168.9325</v>
      </c>
    </row>
    <row r="451" spans="1:4">
      <c r="A451" s="22">
        <f t="shared" ref="A451:A514" si="18">$B451/10</f>
        <v>449</v>
      </c>
      <c r="B451" s="23">
        <v>4490</v>
      </c>
      <c r="C451">
        <v>16767.75</v>
      </c>
      <c r="D451">
        <f t="shared" ref="D451:D514" si="19">$C451/100</f>
        <v>167.67750000000001</v>
      </c>
    </row>
    <row r="452" spans="1:4">
      <c r="A452" s="22">
        <f t="shared" si="18"/>
        <v>450</v>
      </c>
      <c r="B452" s="23">
        <v>4500</v>
      </c>
      <c r="C452">
        <v>16642.25</v>
      </c>
      <c r="D452">
        <f t="shared" si="19"/>
        <v>166.42250000000001</v>
      </c>
    </row>
    <row r="453" spans="1:4">
      <c r="A453" s="22">
        <f t="shared" si="18"/>
        <v>451</v>
      </c>
      <c r="B453" s="23">
        <v>4510</v>
      </c>
      <c r="C453">
        <v>16516.75</v>
      </c>
      <c r="D453">
        <f t="shared" si="19"/>
        <v>165.16749999999999</v>
      </c>
    </row>
    <row r="454" spans="1:4">
      <c r="A454" s="22">
        <f t="shared" si="18"/>
        <v>452</v>
      </c>
      <c r="B454" s="23">
        <v>4520</v>
      </c>
      <c r="C454">
        <v>16391.25</v>
      </c>
      <c r="D454">
        <f t="shared" si="19"/>
        <v>163.91249999999999</v>
      </c>
    </row>
    <row r="455" spans="1:4">
      <c r="A455" s="22">
        <f t="shared" si="18"/>
        <v>453</v>
      </c>
      <c r="B455" s="23">
        <v>4530</v>
      </c>
      <c r="C455">
        <v>16265.75</v>
      </c>
      <c r="D455">
        <f t="shared" si="19"/>
        <v>162.6575</v>
      </c>
    </row>
    <row r="456" spans="1:4">
      <c r="A456" s="22">
        <f t="shared" si="18"/>
        <v>454</v>
      </c>
      <c r="B456" s="23">
        <v>4540</v>
      </c>
      <c r="C456">
        <v>16140.25</v>
      </c>
      <c r="D456">
        <f t="shared" si="19"/>
        <v>161.4025</v>
      </c>
    </row>
    <row r="457" spans="1:4">
      <c r="A457" s="22">
        <f t="shared" si="18"/>
        <v>455</v>
      </c>
      <c r="B457" s="23">
        <v>4550</v>
      </c>
      <c r="C457">
        <v>16014.75</v>
      </c>
      <c r="D457">
        <f t="shared" si="19"/>
        <v>160.14750000000001</v>
      </c>
    </row>
    <row r="458" spans="1:4">
      <c r="A458" s="22">
        <f t="shared" si="18"/>
        <v>456</v>
      </c>
      <c r="B458" s="23">
        <v>4560</v>
      </c>
      <c r="C458">
        <v>15889.25</v>
      </c>
      <c r="D458">
        <f t="shared" si="19"/>
        <v>158.89250000000001</v>
      </c>
    </row>
    <row r="459" spans="1:4">
      <c r="A459" s="22">
        <f t="shared" si="18"/>
        <v>457</v>
      </c>
      <c r="B459" s="23">
        <v>4570</v>
      </c>
      <c r="C459">
        <v>15763.75</v>
      </c>
      <c r="D459">
        <f t="shared" si="19"/>
        <v>157.63749999999999</v>
      </c>
    </row>
    <row r="460" spans="1:4">
      <c r="A460" s="22">
        <f t="shared" si="18"/>
        <v>458</v>
      </c>
      <c r="B460" s="23">
        <v>4580</v>
      </c>
      <c r="C460">
        <v>15638.25</v>
      </c>
      <c r="D460">
        <f t="shared" si="19"/>
        <v>156.38249999999999</v>
      </c>
    </row>
    <row r="461" spans="1:4">
      <c r="A461" s="22">
        <f t="shared" si="18"/>
        <v>459</v>
      </c>
      <c r="B461" s="23">
        <v>4590</v>
      </c>
      <c r="C461">
        <v>15512.75</v>
      </c>
      <c r="D461">
        <f t="shared" si="19"/>
        <v>155.1275</v>
      </c>
    </row>
    <row r="462" spans="1:4">
      <c r="A462" s="22">
        <f t="shared" si="18"/>
        <v>460</v>
      </c>
      <c r="B462" s="23">
        <v>4600</v>
      </c>
      <c r="C462">
        <v>15387.25</v>
      </c>
      <c r="D462">
        <f t="shared" si="19"/>
        <v>153.8725</v>
      </c>
    </row>
    <row r="463" spans="1:4">
      <c r="A463" s="22">
        <f t="shared" si="18"/>
        <v>461</v>
      </c>
      <c r="B463" s="23">
        <v>4610</v>
      </c>
      <c r="C463">
        <v>15261.75</v>
      </c>
      <c r="D463">
        <f t="shared" si="19"/>
        <v>152.61750000000001</v>
      </c>
    </row>
    <row r="464" spans="1:4">
      <c r="A464" s="22">
        <f t="shared" si="18"/>
        <v>462</v>
      </c>
      <c r="B464" s="23">
        <v>4620</v>
      </c>
      <c r="C464">
        <v>15136.25</v>
      </c>
      <c r="D464">
        <f t="shared" si="19"/>
        <v>151.36250000000001</v>
      </c>
    </row>
    <row r="465" spans="1:4">
      <c r="A465" s="22">
        <f t="shared" si="18"/>
        <v>463</v>
      </c>
      <c r="B465" s="23">
        <v>4630</v>
      </c>
      <c r="C465">
        <v>15010.75</v>
      </c>
      <c r="D465">
        <f t="shared" si="19"/>
        <v>150.10749999999999</v>
      </c>
    </row>
    <row r="466" spans="1:4">
      <c r="A466" s="22">
        <f t="shared" si="18"/>
        <v>464</v>
      </c>
      <c r="B466" s="23">
        <v>4640</v>
      </c>
      <c r="C466">
        <v>14885.25</v>
      </c>
      <c r="D466">
        <f t="shared" si="19"/>
        <v>148.85249999999999</v>
      </c>
    </row>
    <row r="467" spans="1:4">
      <c r="A467" s="22">
        <f t="shared" si="18"/>
        <v>465</v>
      </c>
      <c r="B467" s="23">
        <v>4650</v>
      </c>
      <c r="C467">
        <v>14759.75</v>
      </c>
      <c r="D467">
        <f t="shared" si="19"/>
        <v>147.5975</v>
      </c>
    </row>
    <row r="468" spans="1:4">
      <c r="A468" s="22">
        <f t="shared" si="18"/>
        <v>466</v>
      </c>
      <c r="B468" s="23">
        <v>4660</v>
      </c>
      <c r="C468">
        <v>14634.25</v>
      </c>
      <c r="D468">
        <f t="shared" si="19"/>
        <v>146.3425</v>
      </c>
    </row>
    <row r="469" spans="1:4">
      <c r="A469" s="22">
        <f t="shared" si="18"/>
        <v>467</v>
      </c>
      <c r="B469" s="23">
        <v>4670</v>
      </c>
      <c r="C469">
        <v>14508.75</v>
      </c>
      <c r="D469">
        <f t="shared" si="19"/>
        <v>145.08750000000001</v>
      </c>
    </row>
    <row r="470" spans="1:4">
      <c r="A470" s="22">
        <f t="shared" si="18"/>
        <v>468</v>
      </c>
      <c r="B470" s="23">
        <v>4680</v>
      </c>
      <c r="C470">
        <v>14383.25</v>
      </c>
      <c r="D470">
        <f t="shared" si="19"/>
        <v>143.83250000000001</v>
      </c>
    </row>
    <row r="471" spans="1:4">
      <c r="A471" s="22">
        <f t="shared" si="18"/>
        <v>469</v>
      </c>
      <c r="B471" s="23">
        <v>4690</v>
      </c>
      <c r="C471">
        <v>14257.75</v>
      </c>
      <c r="D471">
        <f t="shared" si="19"/>
        <v>142.57749999999999</v>
      </c>
    </row>
    <row r="472" spans="1:4">
      <c r="A472" s="22">
        <f t="shared" si="18"/>
        <v>470</v>
      </c>
      <c r="B472" s="23">
        <v>4700</v>
      </c>
      <c r="C472">
        <v>14132.25</v>
      </c>
      <c r="D472">
        <f t="shared" si="19"/>
        <v>141.32249999999999</v>
      </c>
    </row>
    <row r="473" spans="1:4">
      <c r="A473" s="22">
        <f t="shared" si="18"/>
        <v>471</v>
      </c>
      <c r="B473" s="23">
        <v>4710</v>
      </c>
      <c r="C473">
        <v>14006.75</v>
      </c>
      <c r="D473">
        <f t="shared" si="19"/>
        <v>140.0675</v>
      </c>
    </row>
    <row r="474" spans="1:4">
      <c r="A474" s="22">
        <f t="shared" si="18"/>
        <v>472</v>
      </c>
      <c r="B474" s="23">
        <v>4720</v>
      </c>
      <c r="C474">
        <v>13881.25</v>
      </c>
      <c r="D474">
        <f t="shared" si="19"/>
        <v>138.8125</v>
      </c>
    </row>
    <row r="475" spans="1:4">
      <c r="A475" s="22">
        <f t="shared" si="18"/>
        <v>473</v>
      </c>
      <c r="B475" s="23">
        <v>4730</v>
      </c>
      <c r="C475">
        <v>13755.75</v>
      </c>
      <c r="D475">
        <f t="shared" si="19"/>
        <v>137.5575</v>
      </c>
    </row>
    <row r="476" spans="1:4">
      <c r="A476" s="22">
        <f t="shared" si="18"/>
        <v>474</v>
      </c>
      <c r="B476" s="23">
        <v>4740</v>
      </c>
      <c r="C476">
        <v>13630.25</v>
      </c>
      <c r="D476">
        <f t="shared" si="19"/>
        <v>136.30250000000001</v>
      </c>
    </row>
    <row r="477" spans="1:4">
      <c r="A477" s="22">
        <f t="shared" si="18"/>
        <v>475</v>
      </c>
      <c r="B477" s="23">
        <v>4750</v>
      </c>
      <c r="C477">
        <v>13504.75</v>
      </c>
      <c r="D477">
        <f t="shared" si="19"/>
        <v>135.04750000000001</v>
      </c>
    </row>
    <row r="478" spans="1:4">
      <c r="A478" s="22">
        <f t="shared" si="18"/>
        <v>476</v>
      </c>
      <c r="B478" s="23">
        <v>4760</v>
      </c>
      <c r="C478">
        <v>13379.25</v>
      </c>
      <c r="D478">
        <f t="shared" si="19"/>
        <v>133.79249999999999</v>
      </c>
    </row>
    <row r="479" spans="1:4">
      <c r="A479" s="22">
        <f t="shared" si="18"/>
        <v>477</v>
      </c>
      <c r="B479" s="23">
        <v>4770</v>
      </c>
      <c r="C479">
        <v>13253.75</v>
      </c>
      <c r="D479">
        <f t="shared" si="19"/>
        <v>132.53749999999999</v>
      </c>
    </row>
    <row r="480" spans="1:4">
      <c r="A480" s="22">
        <f t="shared" si="18"/>
        <v>478</v>
      </c>
      <c r="B480" s="23">
        <v>4780</v>
      </c>
      <c r="C480">
        <v>13128.25</v>
      </c>
      <c r="D480">
        <f t="shared" si="19"/>
        <v>131.2825</v>
      </c>
    </row>
    <row r="481" spans="1:4">
      <c r="A481" s="22">
        <f t="shared" si="18"/>
        <v>479</v>
      </c>
      <c r="B481" s="23">
        <v>4790</v>
      </c>
      <c r="C481">
        <v>13002.75</v>
      </c>
      <c r="D481">
        <f t="shared" si="19"/>
        <v>130.0275</v>
      </c>
    </row>
    <row r="482" spans="1:4">
      <c r="A482" s="22">
        <f t="shared" si="18"/>
        <v>480</v>
      </c>
      <c r="B482" s="23">
        <v>4800</v>
      </c>
      <c r="C482">
        <v>12877.25</v>
      </c>
      <c r="D482">
        <f t="shared" si="19"/>
        <v>128.77250000000001</v>
      </c>
    </row>
    <row r="483" spans="1:4">
      <c r="A483" s="22">
        <f t="shared" si="18"/>
        <v>481</v>
      </c>
      <c r="B483" s="23">
        <v>4810</v>
      </c>
      <c r="C483">
        <v>12751.75</v>
      </c>
      <c r="D483">
        <f t="shared" si="19"/>
        <v>127.5175</v>
      </c>
    </row>
    <row r="484" spans="1:4">
      <c r="A484" s="22">
        <f t="shared" si="18"/>
        <v>482</v>
      </c>
      <c r="B484" s="23">
        <v>4820</v>
      </c>
      <c r="C484">
        <v>12626.25</v>
      </c>
      <c r="D484">
        <f t="shared" si="19"/>
        <v>126.2625</v>
      </c>
    </row>
    <row r="485" spans="1:4">
      <c r="A485" s="22">
        <f t="shared" si="18"/>
        <v>483</v>
      </c>
      <c r="B485" s="23">
        <v>4830</v>
      </c>
      <c r="C485">
        <v>12500.75</v>
      </c>
      <c r="D485">
        <f t="shared" si="19"/>
        <v>125.00749999999999</v>
      </c>
    </row>
    <row r="486" spans="1:4">
      <c r="A486" s="22">
        <f t="shared" si="18"/>
        <v>484</v>
      </c>
      <c r="B486" s="23">
        <v>4840</v>
      </c>
      <c r="C486">
        <v>12375.25</v>
      </c>
      <c r="D486">
        <f t="shared" si="19"/>
        <v>123.7525</v>
      </c>
    </row>
    <row r="487" spans="1:4">
      <c r="A487" s="22">
        <f t="shared" si="18"/>
        <v>485</v>
      </c>
      <c r="B487" s="23">
        <v>4850</v>
      </c>
      <c r="C487">
        <v>12249.75</v>
      </c>
      <c r="D487">
        <f t="shared" si="19"/>
        <v>122.4975</v>
      </c>
    </row>
    <row r="488" spans="1:4">
      <c r="A488" s="22">
        <f t="shared" si="18"/>
        <v>486</v>
      </c>
      <c r="B488" s="23">
        <v>4860</v>
      </c>
      <c r="C488">
        <v>12124.25</v>
      </c>
      <c r="D488">
        <f t="shared" si="19"/>
        <v>121.24250000000001</v>
      </c>
    </row>
    <row r="489" spans="1:4">
      <c r="A489" s="22">
        <f t="shared" si="18"/>
        <v>487</v>
      </c>
      <c r="B489" s="23">
        <v>4870</v>
      </c>
      <c r="C489">
        <v>11998.75</v>
      </c>
      <c r="D489">
        <f t="shared" si="19"/>
        <v>119.9875</v>
      </c>
    </row>
    <row r="490" spans="1:4">
      <c r="A490" s="22">
        <f t="shared" si="18"/>
        <v>488</v>
      </c>
      <c r="B490" s="23">
        <v>4880</v>
      </c>
      <c r="C490">
        <v>11873.25</v>
      </c>
      <c r="D490">
        <f t="shared" si="19"/>
        <v>118.7325</v>
      </c>
    </row>
    <row r="491" spans="1:4">
      <c r="A491" s="22">
        <f t="shared" si="18"/>
        <v>489</v>
      </c>
      <c r="B491" s="23">
        <v>4890</v>
      </c>
      <c r="C491">
        <v>11747.75</v>
      </c>
      <c r="D491">
        <f t="shared" si="19"/>
        <v>117.47750000000001</v>
      </c>
    </row>
    <row r="492" spans="1:4">
      <c r="A492" s="22">
        <f t="shared" si="18"/>
        <v>490</v>
      </c>
      <c r="B492" s="23">
        <v>4900</v>
      </c>
      <c r="C492">
        <v>11622.25</v>
      </c>
      <c r="D492">
        <f t="shared" si="19"/>
        <v>116.2225</v>
      </c>
    </row>
    <row r="493" spans="1:4">
      <c r="A493" s="22">
        <f t="shared" si="18"/>
        <v>491</v>
      </c>
      <c r="B493" s="23">
        <v>4910</v>
      </c>
      <c r="C493">
        <v>11496.75</v>
      </c>
      <c r="D493">
        <f t="shared" si="19"/>
        <v>114.9675</v>
      </c>
    </row>
    <row r="494" spans="1:4">
      <c r="A494" s="22">
        <f t="shared" si="18"/>
        <v>492</v>
      </c>
      <c r="B494" s="23">
        <v>4920</v>
      </c>
      <c r="C494">
        <v>11371.25</v>
      </c>
      <c r="D494">
        <f t="shared" si="19"/>
        <v>113.71250000000001</v>
      </c>
    </row>
    <row r="495" spans="1:4">
      <c r="A495" s="22">
        <f t="shared" si="18"/>
        <v>493</v>
      </c>
      <c r="B495" s="23">
        <v>4930</v>
      </c>
      <c r="C495">
        <v>11245.75</v>
      </c>
      <c r="D495">
        <f t="shared" si="19"/>
        <v>112.4575</v>
      </c>
    </row>
    <row r="496" spans="1:4">
      <c r="A496" s="22">
        <f t="shared" si="18"/>
        <v>494</v>
      </c>
      <c r="B496" s="23">
        <v>4940</v>
      </c>
      <c r="C496">
        <v>11120.25</v>
      </c>
      <c r="D496">
        <f t="shared" si="19"/>
        <v>111.2025</v>
      </c>
    </row>
    <row r="497" spans="1:4">
      <c r="A497" s="22">
        <f t="shared" si="18"/>
        <v>495</v>
      </c>
      <c r="B497" s="23">
        <v>4950</v>
      </c>
      <c r="C497">
        <v>10994.75</v>
      </c>
      <c r="D497">
        <f t="shared" si="19"/>
        <v>109.94750000000001</v>
      </c>
    </row>
    <row r="498" spans="1:4">
      <c r="A498" s="22">
        <f t="shared" si="18"/>
        <v>496</v>
      </c>
      <c r="B498" s="23">
        <v>4960</v>
      </c>
      <c r="C498">
        <v>10869.25</v>
      </c>
      <c r="D498">
        <f t="shared" si="19"/>
        <v>108.6925</v>
      </c>
    </row>
    <row r="499" spans="1:4">
      <c r="A499" s="22">
        <f t="shared" si="18"/>
        <v>497</v>
      </c>
      <c r="B499" s="23">
        <v>4970</v>
      </c>
      <c r="C499">
        <v>10743.75</v>
      </c>
      <c r="D499">
        <f t="shared" si="19"/>
        <v>107.4375</v>
      </c>
    </row>
    <row r="500" spans="1:4">
      <c r="A500" s="22">
        <f t="shared" si="18"/>
        <v>498</v>
      </c>
      <c r="B500" s="23">
        <v>4980</v>
      </c>
      <c r="C500">
        <v>10618.25</v>
      </c>
      <c r="D500">
        <f t="shared" si="19"/>
        <v>106.1825</v>
      </c>
    </row>
    <row r="501" spans="1:4">
      <c r="A501" s="22">
        <f t="shared" si="18"/>
        <v>499</v>
      </c>
      <c r="B501" s="23">
        <v>4990</v>
      </c>
      <c r="C501">
        <v>10492.75</v>
      </c>
      <c r="D501">
        <f t="shared" si="19"/>
        <v>104.92749999999999</v>
      </c>
    </row>
    <row r="502" spans="1:4">
      <c r="A502" s="22">
        <f t="shared" si="18"/>
        <v>500</v>
      </c>
      <c r="B502" s="23">
        <v>5000</v>
      </c>
      <c r="C502">
        <v>10367.25</v>
      </c>
      <c r="D502">
        <f t="shared" si="19"/>
        <v>103.6725</v>
      </c>
    </row>
    <row r="503" spans="1:4">
      <c r="A503" s="22">
        <f t="shared" si="18"/>
        <v>501</v>
      </c>
      <c r="B503" s="23">
        <v>5010</v>
      </c>
      <c r="C503">
        <v>10241.75</v>
      </c>
      <c r="D503">
        <f t="shared" si="19"/>
        <v>102.4175</v>
      </c>
    </row>
    <row r="504" spans="1:4">
      <c r="A504" s="22">
        <f t="shared" si="18"/>
        <v>502</v>
      </c>
      <c r="B504" s="23">
        <v>5020</v>
      </c>
      <c r="C504">
        <v>10116.25</v>
      </c>
      <c r="D504">
        <f t="shared" si="19"/>
        <v>101.16249999999999</v>
      </c>
    </row>
    <row r="505" spans="1:4">
      <c r="A505" s="22">
        <f t="shared" si="18"/>
        <v>503</v>
      </c>
      <c r="B505" s="23">
        <v>5030</v>
      </c>
      <c r="C505">
        <v>9990.75</v>
      </c>
      <c r="D505">
        <f t="shared" si="19"/>
        <v>99.907499999999999</v>
      </c>
    </row>
    <row r="506" spans="1:4">
      <c r="A506" s="22">
        <f t="shared" si="18"/>
        <v>504</v>
      </c>
      <c r="B506" s="23">
        <v>5040</v>
      </c>
      <c r="C506">
        <v>9865.25</v>
      </c>
      <c r="D506">
        <f t="shared" si="19"/>
        <v>98.652500000000003</v>
      </c>
    </row>
    <row r="507" spans="1:4">
      <c r="A507" s="22">
        <f t="shared" si="18"/>
        <v>505</v>
      </c>
      <c r="B507" s="23">
        <v>5050</v>
      </c>
      <c r="C507">
        <v>9739.75</v>
      </c>
      <c r="D507">
        <f t="shared" si="19"/>
        <v>97.397499999999994</v>
      </c>
    </row>
    <row r="508" spans="1:4">
      <c r="A508" s="22">
        <f t="shared" si="18"/>
        <v>506</v>
      </c>
      <c r="B508" s="23">
        <v>5060</v>
      </c>
      <c r="C508">
        <v>9614.25</v>
      </c>
      <c r="D508">
        <f t="shared" si="19"/>
        <v>96.142499999999998</v>
      </c>
    </row>
    <row r="509" spans="1:4">
      <c r="A509" s="22">
        <f t="shared" si="18"/>
        <v>507</v>
      </c>
      <c r="B509" s="23">
        <v>5070</v>
      </c>
      <c r="C509">
        <v>9488.75</v>
      </c>
      <c r="D509">
        <f t="shared" si="19"/>
        <v>94.887500000000003</v>
      </c>
    </row>
    <row r="510" spans="1:4">
      <c r="A510" s="22">
        <f t="shared" si="18"/>
        <v>508</v>
      </c>
      <c r="B510" s="23">
        <v>5080</v>
      </c>
      <c r="C510">
        <v>9363.25</v>
      </c>
      <c r="D510">
        <f t="shared" si="19"/>
        <v>93.632499999999993</v>
      </c>
    </row>
    <row r="511" spans="1:4">
      <c r="A511" s="22">
        <f t="shared" si="18"/>
        <v>509</v>
      </c>
      <c r="B511" s="23">
        <v>5090</v>
      </c>
      <c r="C511">
        <v>9237.75</v>
      </c>
      <c r="D511">
        <f t="shared" si="19"/>
        <v>92.377499999999998</v>
      </c>
    </row>
    <row r="512" spans="1:4">
      <c r="A512" s="22">
        <f t="shared" si="18"/>
        <v>510</v>
      </c>
      <c r="B512" s="23">
        <v>5100</v>
      </c>
      <c r="C512">
        <v>9112.25</v>
      </c>
      <c r="D512">
        <f t="shared" si="19"/>
        <v>91.122500000000002</v>
      </c>
    </row>
    <row r="513" spans="1:4">
      <c r="A513" s="22">
        <f t="shared" si="18"/>
        <v>511</v>
      </c>
      <c r="B513" s="23">
        <v>5110</v>
      </c>
      <c r="C513">
        <v>8986.75</v>
      </c>
      <c r="D513">
        <f t="shared" si="19"/>
        <v>89.867500000000007</v>
      </c>
    </row>
    <row r="514" spans="1:4">
      <c r="A514" s="22">
        <f t="shared" si="18"/>
        <v>512</v>
      </c>
      <c r="B514" s="23">
        <v>5120</v>
      </c>
      <c r="C514">
        <v>8861.25</v>
      </c>
      <c r="D514">
        <f t="shared" si="19"/>
        <v>88.612499999999997</v>
      </c>
    </row>
    <row r="515" spans="1:4">
      <c r="A515" s="22">
        <f t="shared" ref="A515:A578" si="20">$B515/10</f>
        <v>513</v>
      </c>
      <c r="B515" s="23">
        <v>5130</v>
      </c>
      <c r="C515">
        <v>8735.75</v>
      </c>
      <c r="D515">
        <f t="shared" ref="D515:D578" si="21">$C515/100</f>
        <v>87.357500000000002</v>
      </c>
    </row>
    <row r="516" spans="1:4">
      <c r="A516" s="22">
        <f t="shared" si="20"/>
        <v>514</v>
      </c>
      <c r="B516" s="23">
        <v>5140</v>
      </c>
      <c r="C516">
        <v>8610.25</v>
      </c>
      <c r="D516">
        <f t="shared" si="21"/>
        <v>86.102500000000006</v>
      </c>
    </row>
    <row r="517" spans="1:4">
      <c r="A517" s="22">
        <f t="shared" si="20"/>
        <v>515</v>
      </c>
      <c r="B517" s="23">
        <v>5150</v>
      </c>
      <c r="C517">
        <v>8484.75</v>
      </c>
      <c r="D517">
        <f t="shared" si="21"/>
        <v>84.847499999999997</v>
      </c>
    </row>
    <row r="518" spans="1:4">
      <c r="A518" s="22">
        <f t="shared" si="20"/>
        <v>516</v>
      </c>
      <c r="B518" s="23">
        <v>5160</v>
      </c>
      <c r="C518">
        <v>8359.25</v>
      </c>
      <c r="D518">
        <f t="shared" si="21"/>
        <v>83.592500000000001</v>
      </c>
    </row>
    <row r="519" spans="1:4">
      <c r="A519" s="22">
        <f t="shared" si="20"/>
        <v>517</v>
      </c>
      <c r="B519" s="23">
        <v>5170</v>
      </c>
      <c r="C519">
        <v>8233.75</v>
      </c>
      <c r="D519">
        <f t="shared" si="21"/>
        <v>82.337500000000006</v>
      </c>
    </row>
    <row r="520" spans="1:4">
      <c r="A520" s="22">
        <f t="shared" si="20"/>
        <v>518</v>
      </c>
      <c r="B520" s="23">
        <v>5180</v>
      </c>
      <c r="C520">
        <v>8108.25</v>
      </c>
      <c r="D520">
        <f t="shared" si="21"/>
        <v>81.082499999999996</v>
      </c>
    </row>
    <row r="521" spans="1:4">
      <c r="A521" s="22">
        <f t="shared" si="20"/>
        <v>519</v>
      </c>
      <c r="B521" s="23">
        <v>5190</v>
      </c>
      <c r="C521">
        <v>7982.75</v>
      </c>
      <c r="D521">
        <f t="shared" si="21"/>
        <v>79.827500000000001</v>
      </c>
    </row>
    <row r="522" spans="1:4">
      <c r="A522" s="22">
        <f t="shared" si="20"/>
        <v>520</v>
      </c>
      <c r="B522" s="23">
        <v>5200</v>
      </c>
      <c r="C522">
        <v>7857.25</v>
      </c>
      <c r="D522">
        <f t="shared" si="21"/>
        <v>78.572500000000005</v>
      </c>
    </row>
    <row r="523" spans="1:4">
      <c r="A523" s="22">
        <f t="shared" si="20"/>
        <v>521</v>
      </c>
      <c r="B523" s="23">
        <v>5210</v>
      </c>
      <c r="C523">
        <v>7731.75</v>
      </c>
      <c r="D523">
        <f t="shared" si="21"/>
        <v>77.317499999999995</v>
      </c>
    </row>
    <row r="524" spans="1:4">
      <c r="A524" s="22">
        <f t="shared" si="20"/>
        <v>522</v>
      </c>
      <c r="B524" s="23">
        <v>5220</v>
      </c>
      <c r="C524">
        <v>7606.25</v>
      </c>
      <c r="D524">
        <f t="shared" si="21"/>
        <v>76.0625</v>
      </c>
    </row>
    <row r="525" spans="1:4">
      <c r="A525" s="22">
        <f t="shared" si="20"/>
        <v>523</v>
      </c>
      <c r="B525" s="23">
        <v>5230</v>
      </c>
      <c r="C525">
        <v>7480.75</v>
      </c>
      <c r="D525">
        <f t="shared" si="21"/>
        <v>74.807500000000005</v>
      </c>
    </row>
    <row r="526" spans="1:4">
      <c r="A526" s="22">
        <f t="shared" si="20"/>
        <v>524</v>
      </c>
      <c r="B526" s="23">
        <v>5240</v>
      </c>
      <c r="C526">
        <v>7355.25</v>
      </c>
      <c r="D526">
        <f t="shared" si="21"/>
        <v>73.552499999999995</v>
      </c>
    </row>
    <row r="527" spans="1:4">
      <c r="A527" s="22">
        <f t="shared" si="20"/>
        <v>525</v>
      </c>
      <c r="B527" s="23">
        <v>5250</v>
      </c>
      <c r="C527">
        <v>7229.75</v>
      </c>
      <c r="D527">
        <f t="shared" si="21"/>
        <v>72.297499999999999</v>
      </c>
    </row>
    <row r="528" spans="1:4">
      <c r="A528" s="22">
        <f t="shared" si="20"/>
        <v>526</v>
      </c>
      <c r="B528" s="23">
        <v>5260</v>
      </c>
      <c r="C528">
        <v>7104.25</v>
      </c>
      <c r="D528">
        <f t="shared" si="21"/>
        <v>71.042500000000004</v>
      </c>
    </row>
    <row r="529" spans="1:4">
      <c r="A529" s="22">
        <f t="shared" si="20"/>
        <v>527</v>
      </c>
      <c r="B529" s="23">
        <v>5270</v>
      </c>
      <c r="C529">
        <v>6978.75</v>
      </c>
      <c r="D529">
        <f t="shared" si="21"/>
        <v>69.787499999999994</v>
      </c>
    </row>
    <row r="530" spans="1:4">
      <c r="A530" s="22">
        <f t="shared" si="20"/>
        <v>528</v>
      </c>
      <c r="B530" s="23">
        <v>5280</v>
      </c>
      <c r="C530">
        <v>6853.25</v>
      </c>
      <c r="D530">
        <f t="shared" si="21"/>
        <v>68.532499999999999</v>
      </c>
    </row>
    <row r="531" spans="1:4">
      <c r="A531" s="22">
        <f t="shared" si="20"/>
        <v>529</v>
      </c>
      <c r="B531" s="23">
        <v>5290</v>
      </c>
      <c r="C531">
        <v>6727.75</v>
      </c>
      <c r="D531">
        <f t="shared" si="21"/>
        <v>67.277500000000003</v>
      </c>
    </row>
    <row r="532" spans="1:4">
      <c r="A532" s="22">
        <f t="shared" si="20"/>
        <v>530</v>
      </c>
      <c r="B532" s="23">
        <v>5300</v>
      </c>
      <c r="C532">
        <v>6602.25</v>
      </c>
      <c r="D532">
        <f t="shared" si="21"/>
        <v>66.022499999999994</v>
      </c>
    </row>
    <row r="533" spans="1:4">
      <c r="A533" s="22">
        <f t="shared" si="20"/>
        <v>531</v>
      </c>
      <c r="B533" s="23">
        <v>5310</v>
      </c>
      <c r="C533">
        <v>6476.75</v>
      </c>
      <c r="D533">
        <f t="shared" si="21"/>
        <v>64.767499999999998</v>
      </c>
    </row>
    <row r="534" spans="1:4">
      <c r="A534" s="22">
        <f t="shared" si="20"/>
        <v>532</v>
      </c>
      <c r="B534" s="23">
        <v>5320</v>
      </c>
      <c r="C534">
        <v>6351.25</v>
      </c>
      <c r="D534">
        <f t="shared" si="21"/>
        <v>63.512500000000003</v>
      </c>
    </row>
    <row r="535" spans="1:4">
      <c r="A535" s="22">
        <f t="shared" si="20"/>
        <v>533</v>
      </c>
      <c r="B535" s="23">
        <v>5330</v>
      </c>
      <c r="C535">
        <v>6225.75</v>
      </c>
      <c r="D535">
        <f t="shared" si="21"/>
        <v>62.2575</v>
      </c>
    </row>
    <row r="536" spans="1:4">
      <c r="A536" s="22">
        <f t="shared" si="20"/>
        <v>534</v>
      </c>
      <c r="B536" s="23">
        <v>5340</v>
      </c>
      <c r="C536">
        <v>6100.25</v>
      </c>
      <c r="D536">
        <f t="shared" si="21"/>
        <v>61.002499999999998</v>
      </c>
    </row>
    <row r="537" spans="1:4">
      <c r="A537" s="22">
        <f t="shared" si="20"/>
        <v>535</v>
      </c>
      <c r="B537" s="23">
        <v>5350</v>
      </c>
      <c r="C537">
        <v>5974.75</v>
      </c>
      <c r="D537">
        <f t="shared" si="21"/>
        <v>59.747500000000002</v>
      </c>
    </row>
    <row r="538" spans="1:4">
      <c r="A538" s="22">
        <f t="shared" si="20"/>
        <v>536</v>
      </c>
      <c r="B538" s="23">
        <v>5360</v>
      </c>
      <c r="C538">
        <v>5849.25</v>
      </c>
      <c r="D538">
        <f t="shared" si="21"/>
        <v>58.4925</v>
      </c>
    </row>
    <row r="539" spans="1:4">
      <c r="A539" s="22">
        <f t="shared" si="20"/>
        <v>537</v>
      </c>
      <c r="B539" s="23">
        <v>5370</v>
      </c>
      <c r="C539">
        <v>5723.75</v>
      </c>
      <c r="D539">
        <f t="shared" si="21"/>
        <v>57.237499999999997</v>
      </c>
    </row>
    <row r="540" spans="1:4">
      <c r="A540" s="22">
        <f t="shared" si="20"/>
        <v>538</v>
      </c>
      <c r="B540" s="23">
        <v>5380</v>
      </c>
      <c r="C540">
        <v>5598.25</v>
      </c>
      <c r="D540">
        <f t="shared" si="21"/>
        <v>55.982500000000002</v>
      </c>
    </row>
    <row r="541" spans="1:4">
      <c r="A541" s="22">
        <f t="shared" si="20"/>
        <v>539</v>
      </c>
      <c r="B541" s="23">
        <v>5390</v>
      </c>
      <c r="C541">
        <v>5472.75</v>
      </c>
      <c r="D541">
        <f t="shared" si="21"/>
        <v>54.727499999999999</v>
      </c>
    </row>
    <row r="542" spans="1:4">
      <c r="A542" s="22">
        <f t="shared" si="20"/>
        <v>540</v>
      </c>
      <c r="B542" s="23">
        <v>5400</v>
      </c>
      <c r="C542">
        <v>5347.25</v>
      </c>
      <c r="D542">
        <f t="shared" si="21"/>
        <v>53.472499999999997</v>
      </c>
    </row>
    <row r="543" spans="1:4">
      <c r="A543" s="22">
        <f t="shared" si="20"/>
        <v>541</v>
      </c>
      <c r="B543" s="23">
        <v>5410</v>
      </c>
      <c r="C543">
        <v>5221.75</v>
      </c>
      <c r="D543">
        <f t="shared" si="21"/>
        <v>52.217500000000001</v>
      </c>
    </row>
    <row r="544" spans="1:4">
      <c r="A544" s="22">
        <f t="shared" si="20"/>
        <v>542</v>
      </c>
      <c r="B544" s="23">
        <v>5420</v>
      </c>
      <c r="C544">
        <v>5096.25</v>
      </c>
      <c r="D544">
        <f t="shared" si="21"/>
        <v>50.962499999999999</v>
      </c>
    </row>
    <row r="545" spans="1:4">
      <c r="A545" s="22">
        <f t="shared" si="20"/>
        <v>543</v>
      </c>
      <c r="B545" s="23">
        <v>5430</v>
      </c>
      <c r="C545">
        <v>4970.75</v>
      </c>
      <c r="D545">
        <f t="shared" si="21"/>
        <v>49.707500000000003</v>
      </c>
    </row>
    <row r="546" spans="1:4">
      <c r="A546" s="22">
        <f t="shared" si="20"/>
        <v>544</v>
      </c>
      <c r="B546" s="23">
        <v>5440</v>
      </c>
      <c r="C546">
        <v>4845.25</v>
      </c>
      <c r="D546">
        <f t="shared" si="21"/>
        <v>48.452500000000001</v>
      </c>
    </row>
    <row r="547" spans="1:4">
      <c r="A547" s="22">
        <f t="shared" si="20"/>
        <v>545</v>
      </c>
      <c r="B547" s="23">
        <v>5450</v>
      </c>
      <c r="C547">
        <v>4719.75</v>
      </c>
      <c r="D547">
        <f t="shared" si="21"/>
        <v>47.197499999999998</v>
      </c>
    </row>
    <row r="548" spans="1:4">
      <c r="A548" s="22">
        <f t="shared" si="20"/>
        <v>546</v>
      </c>
      <c r="B548" s="23">
        <v>5460</v>
      </c>
      <c r="C548">
        <v>4594.25</v>
      </c>
      <c r="D548">
        <f t="shared" si="21"/>
        <v>45.942500000000003</v>
      </c>
    </row>
    <row r="549" spans="1:4">
      <c r="A549" s="22">
        <f t="shared" si="20"/>
        <v>547</v>
      </c>
      <c r="B549" s="23">
        <v>5470</v>
      </c>
      <c r="C549">
        <v>4468.75</v>
      </c>
      <c r="D549">
        <f t="shared" si="21"/>
        <v>44.6875</v>
      </c>
    </row>
    <row r="550" spans="1:4">
      <c r="A550" s="22">
        <f t="shared" si="20"/>
        <v>548</v>
      </c>
      <c r="B550" s="23">
        <v>5480</v>
      </c>
      <c r="C550">
        <v>4343.25</v>
      </c>
      <c r="D550">
        <f t="shared" si="21"/>
        <v>43.432499999999997</v>
      </c>
    </row>
    <row r="551" spans="1:4">
      <c r="A551" s="22">
        <f t="shared" si="20"/>
        <v>549</v>
      </c>
      <c r="B551" s="23">
        <v>5490</v>
      </c>
      <c r="C551">
        <v>4217.75</v>
      </c>
      <c r="D551">
        <f t="shared" si="21"/>
        <v>42.177500000000002</v>
      </c>
    </row>
    <row r="552" spans="1:4">
      <c r="A552" s="22">
        <f t="shared" si="20"/>
        <v>550</v>
      </c>
      <c r="B552" s="23">
        <v>5500</v>
      </c>
      <c r="C552">
        <v>4092.25</v>
      </c>
      <c r="D552">
        <f t="shared" si="21"/>
        <v>40.922499999999999</v>
      </c>
    </row>
    <row r="553" spans="1:4">
      <c r="A553" s="22">
        <f t="shared" si="20"/>
        <v>551</v>
      </c>
      <c r="B553" s="23">
        <v>5510</v>
      </c>
      <c r="C553">
        <v>3966.75</v>
      </c>
      <c r="D553">
        <f t="shared" si="21"/>
        <v>39.667499999999997</v>
      </c>
    </row>
    <row r="554" spans="1:4">
      <c r="A554" s="22">
        <f t="shared" si="20"/>
        <v>552</v>
      </c>
      <c r="B554" s="23">
        <v>5520</v>
      </c>
      <c r="C554">
        <v>3841.25</v>
      </c>
      <c r="D554">
        <f t="shared" si="21"/>
        <v>38.412500000000001</v>
      </c>
    </row>
    <row r="555" spans="1:4">
      <c r="A555" s="22">
        <f t="shared" si="20"/>
        <v>553</v>
      </c>
      <c r="B555" s="23">
        <v>5530</v>
      </c>
      <c r="C555">
        <v>3715.75</v>
      </c>
      <c r="D555">
        <f t="shared" si="21"/>
        <v>37.157499999999999</v>
      </c>
    </row>
    <row r="556" spans="1:4">
      <c r="A556" s="22">
        <f t="shared" si="20"/>
        <v>554</v>
      </c>
      <c r="B556" s="23">
        <v>5540</v>
      </c>
      <c r="C556">
        <v>3590.25</v>
      </c>
      <c r="D556">
        <f t="shared" si="21"/>
        <v>35.902500000000003</v>
      </c>
    </row>
    <row r="557" spans="1:4">
      <c r="A557" s="22">
        <f t="shared" si="20"/>
        <v>555</v>
      </c>
      <c r="B557" s="23">
        <v>5550</v>
      </c>
      <c r="C557">
        <v>3464.75</v>
      </c>
      <c r="D557">
        <f t="shared" si="21"/>
        <v>34.647500000000001</v>
      </c>
    </row>
    <row r="558" spans="1:4">
      <c r="A558" s="22">
        <f t="shared" si="20"/>
        <v>556</v>
      </c>
      <c r="B558" s="23">
        <v>5560</v>
      </c>
      <c r="C558">
        <v>3339.25</v>
      </c>
      <c r="D558">
        <f t="shared" si="21"/>
        <v>33.392499999999998</v>
      </c>
    </row>
    <row r="559" spans="1:4">
      <c r="A559" s="22">
        <f t="shared" si="20"/>
        <v>557</v>
      </c>
      <c r="B559" s="23">
        <v>5570</v>
      </c>
      <c r="C559">
        <v>3213.75</v>
      </c>
      <c r="D559">
        <f t="shared" si="21"/>
        <v>32.137500000000003</v>
      </c>
    </row>
    <row r="560" spans="1:4">
      <c r="A560" s="22">
        <f t="shared" si="20"/>
        <v>558</v>
      </c>
      <c r="B560" s="23">
        <v>5580</v>
      </c>
      <c r="C560">
        <v>3088.25</v>
      </c>
      <c r="D560">
        <f t="shared" si="21"/>
        <v>30.8825</v>
      </c>
    </row>
    <row r="561" spans="1:4">
      <c r="A561" s="22">
        <f t="shared" si="20"/>
        <v>559</v>
      </c>
      <c r="B561" s="23">
        <v>5590</v>
      </c>
      <c r="C561">
        <v>2962.75</v>
      </c>
      <c r="D561">
        <f t="shared" si="21"/>
        <v>29.627500000000001</v>
      </c>
    </row>
    <row r="562" spans="1:4">
      <c r="A562" s="22">
        <f t="shared" si="20"/>
        <v>560</v>
      </c>
      <c r="B562" s="23">
        <v>5600</v>
      </c>
      <c r="C562">
        <v>2837.25</v>
      </c>
      <c r="D562">
        <f t="shared" si="21"/>
        <v>28.372499999999999</v>
      </c>
    </row>
    <row r="563" spans="1:4">
      <c r="A563" s="22">
        <f t="shared" si="20"/>
        <v>561</v>
      </c>
      <c r="B563" s="23">
        <v>5610</v>
      </c>
      <c r="C563">
        <v>2711.75</v>
      </c>
      <c r="D563">
        <f t="shared" si="21"/>
        <v>27.1175</v>
      </c>
    </row>
    <row r="564" spans="1:4">
      <c r="A564" s="22">
        <f t="shared" si="20"/>
        <v>562</v>
      </c>
      <c r="B564" s="23">
        <v>5620</v>
      </c>
      <c r="C564">
        <v>2586.25</v>
      </c>
      <c r="D564">
        <f t="shared" si="21"/>
        <v>25.862500000000001</v>
      </c>
    </row>
    <row r="565" spans="1:4">
      <c r="A565" s="22">
        <f t="shared" si="20"/>
        <v>563</v>
      </c>
      <c r="B565" s="23">
        <v>5630</v>
      </c>
      <c r="C565">
        <v>2460.75</v>
      </c>
      <c r="D565">
        <f t="shared" si="21"/>
        <v>24.607500000000002</v>
      </c>
    </row>
    <row r="566" spans="1:4">
      <c r="A566" s="22">
        <f t="shared" si="20"/>
        <v>564</v>
      </c>
      <c r="B566" s="23">
        <v>5640</v>
      </c>
      <c r="C566">
        <v>2335.25</v>
      </c>
      <c r="D566">
        <f t="shared" si="21"/>
        <v>23.352499999999999</v>
      </c>
    </row>
    <row r="567" spans="1:4">
      <c r="A567" s="22">
        <f t="shared" si="20"/>
        <v>565</v>
      </c>
      <c r="B567" s="23">
        <v>5650</v>
      </c>
      <c r="C567">
        <v>2209.75</v>
      </c>
      <c r="D567">
        <f t="shared" si="21"/>
        <v>22.0975</v>
      </c>
    </row>
    <row r="568" spans="1:4">
      <c r="A568" s="22">
        <f t="shared" si="20"/>
        <v>566</v>
      </c>
      <c r="B568" s="23">
        <v>5660</v>
      </c>
      <c r="C568">
        <v>2084.25</v>
      </c>
      <c r="D568">
        <f t="shared" si="21"/>
        <v>20.842500000000001</v>
      </c>
    </row>
    <row r="569" spans="1:4">
      <c r="A569" s="22">
        <f t="shared" si="20"/>
        <v>567</v>
      </c>
      <c r="B569" s="23">
        <v>5670</v>
      </c>
      <c r="C569">
        <v>1958.75</v>
      </c>
      <c r="D569">
        <f t="shared" si="21"/>
        <v>19.587499999999999</v>
      </c>
    </row>
    <row r="570" spans="1:4">
      <c r="A570" s="22">
        <f t="shared" si="20"/>
        <v>568</v>
      </c>
      <c r="B570" s="23">
        <v>5680</v>
      </c>
      <c r="C570">
        <v>1833.25</v>
      </c>
      <c r="D570">
        <f t="shared" si="21"/>
        <v>18.3325</v>
      </c>
    </row>
    <row r="571" spans="1:4">
      <c r="A571" s="22">
        <f t="shared" si="20"/>
        <v>569</v>
      </c>
      <c r="B571" s="23">
        <v>5690</v>
      </c>
      <c r="C571">
        <v>1707.75</v>
      </c>
      <c r="D571">
        <f t="shared" si="21"/>
        <v>17.077500000000001</v>
      </c>
    </row>
    <row r="572" spans="1:4">
      <c r="A572" s="22">
        <f t="shared" si="20"/>
        <v>570</v>
      </c>
      <c r="B572" s="23">
        <v>5700</v>
      </c>
      <c r="C572">
        <v>1582.25</v>
      </c>
      <c r="D572">
        <f t="shared" si="21"/>
        <v>15.8225</v>
      </c>
    </row>
    <row r="573" spans="1:4">
      <c r="A573" s="22">
        <f t="shared" si="20"/>
        <v>571</v>
      </c>
      <c r="B573" s="23">
        <v>5710</v>
      </c>
      <c r="C573">
        <v>1456.75</v>
      </c>
      <c r="D573">
        <f t="shared" si="21"/>
        <v>14.567500000000001</v>
      </c>
    </row>
    <row r="574" spans="1:4">
      <c r="A574" s="22">
        <f t="shared" si="20"/>
        <v>572</v>
      </c>
      <c r="B574" s="23">
        <v>5720</v>
      </c>
      <c r="C574">
        <v>1331.25</v>
      </c>
      <c r="D574">
        <f t="shared" si="21"/>
        <v>13.3125</v>
      </c>
    </row>
    <row r="575" spans="1:4">
      <c r="A575" s="22">
        <f t="shared" si="20"/>
        <v>573</v>
      </c>
      <c r="B575" s="23">
        <v>5730</v>
      </c>
      <c r="C575">
        <v>1205.75</v>
      </c>
      <c r="D575">
        <f t="shared" si="21"/>
        <v>12.057499999999999</v>
      </c>
    </row>
    <row r="576" spans="1:4">
      <c r="A576" s="22">
        <f t="shared" si="20"/>
        <v>574</v>
      </c>
      <c r="B576" s="23">
        <v>5740</v>
      </c>
      <c r="C576">
        <v>1080.25</v>
      </c>
      <c r="D576">
        <f t="shared" si="21"/>
        <v>10.8025</v>
      </c>
    </row>
    <row r="577" spans="1:4">
      <c r="A577" s="22">
        <f t="shared" si="20"/>
        <v>575</v>
      </c>
      <c r="B577" s="23">
        <v>5750</v>
      </c>
      <c r="C577">
        <v>952</v>
      </c>
      <c r="D577">
        <f t="shared" si="21"/>
        <v>9.52</v>
      </c>
    </row>
    <row r="578" spans="1:4">
      <c r="A578" s="22">
        <f t="shared" si="20"/>
        <v>576</v>
      </c>
      <c r="B578" s="23">
        <v>5760</v>
      </c>
      <c r="C578">
        <v>834.8</v>
      </c>
      <c r="D578">
        <f t="shared" si="21"/>
        <v>8.347999999999999</v>
      </c>
    </row>
    <row r="579" spans="1:4">
      <c r="A579" s="22">
        <f t="shared" ref="A579:A585" si="22">$B579/10</f>
        <v>577</v>
      </c>
      <c r="B579" s="23">
        <v>5770</v>
      </c>
      <c r="C579">
        <v>717.59999999999991</v>
      </c>
      <c r="D579">
        <f t="shared" ref="D579:D585" si="23">$C579/100</f>
        <v>7.1759999999999993</v>
      </c>
    </row>
    <row r="580" spans="1:4">
      <c r="A580" s="22">
        <f t="shared" si="22"/>
        <v>578</v>
      </c>
      <c r="B580" s="23">
        <v>5780</v>
      </c>
      <c r="C580">
        <v>600.39999999999986</v>
      </c>
      <c r="D580">
        <f t="shared" si="23"/>
        <v>6.0039999999999987</v>
      </c>
    </row>
    <row r="581" spans="1:4">
      <c r="A581" s="22">
        <f t="shared" si="22"/>
        <v>579</v>
      </c>
      <c r="B581" s="23">
        <v>5790</v>
      </c>
      <c r="C581" s="37">
        <v>483.19999999999987</v>
      </c>
      <c r="D581">
        <f t="shared" si="23"/>
        <v>4.831999999999999</v>
      </c>
    </row>
    <row r="582" spans="1:4">
      <c r="A582" s="22">
        <f t="shared" si="22"/>
        <v>580</v>
      </c>
      <c r="B582">
        <v>5800</v>
      </c>
      <c r="C582">
        <v>366</v>
      </c>
      <c r="D582">
        <f t="shared" si="23"/>
        <v>3.66</v>
      </c>
    </row>
    <row r="583" spans="1:4">
      <c r="A583" s="22">
        <f t="shared" si="22"/>
        <v>581</v>
      </c>
      <c r="B583">
        <v>5810</v>
      </c>
      <c r="C583">
        <v>276</v>
      </c>
      <c r="D583">
        <f t="shared" si="23"/>
        <v>2.76</v>
      </c>
    </row>
    <row r="584" spans="1:4">
      <c r="A584" s="22">
        <f t="shared" si="22"/>
        <v>582</v>
      </c>
      <c r="B584">
        <v>5820</v>
      </c>
      <c r="C584">
        <v>198.86</v>
      </c>
      <c r="D584">
        <f t="shared" si="23"/>
        <v>1.9886000000000001</v>
      </c>
    </row>
    <row r="585" spans="1:4">
      <c r="A585" s="22">
        <f t="shared" si="22"/>
        <v>583</v>
      </c>
      <c r="B585">
        <v>5830</v>
      </c>
      <c r="C585">
        <v>134</v>
      </c>
      <c r="D585">
        <f t="shared" si="23"/>
        <v>1.34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D253"/>
  <sheetViews>
    <sheetView workbookViewId="0">
      <selection activeCell="E10" sqref="E10"/>
    </sheetView>
  </sheetViews>
  <sheetFormatPr baseColWidth="10" defaultColWidth="10.3984375" defaultRowHeight="14.25"/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>
        <f>$B2/10</f>
        <v>0</v>
      </c>
      <c r="B2">
        <v>0</v>
      </c>
      <c r="C2">
        <v>4466</v>
      </c>
      <c r="D2">
        <f>$C2/100</f>
        <v>44.66</v>
      </c>
    </row>
    <row r="3" spans="1:4">
      <c r="A3">
        <f t="shared" ref="A3:A66" si="0">$B3/10</f>
        <v>1</v>
      </c>
      <c r="B3">
        <v>10</v>
      </c>
      <c r="C3">
        <v>4625</v>
      </c>
      <c r="D3">
        <f t="shared" ref="D3:D66" si="1">$C3/100</f>
        <v>46.25</v>
      </c>
    </row>
    <row r="4" spans="1:4">
      <c r="A4">
        <f t="shared" si="0"/>
        <v>2</v>
      </c>
      <c r="B4">
        <v>20</v>
      </c>
      <c r="C4">
        <v>4784</v>
      </c>
      <c r="D4">
        <f t="shared" si="1"/>
        <v>47.84</v>
      </c>
    </row>
    <row r="5" spans="1:4">
      <c r="A5">
        <f t="shared" si="0"/>
        <v>3</v>
      </c>
      <c r="B5">
        <v>30</v>
      </c>
      <c r="C5">
        <v>4943</v>
      </c>
      <c r="D5">
        <f t="shared" si="1"/>
        <v>49.43</v>
      </c>
    </row>
    <row r="6" spans="1:4">
      <c r="A6">
        <f t="shared" si="0"/>
        <v>4</v>
      </c>
      <c r="B6">
        <v>40</v>
      </c>
      <c r="C6">
        <v>5102</v>
      </c>
      <c r="D6">
        <f t="shared" si="1"/>
        <v>51.02</v>
      </c>
    </row>
    <row r="7" spans="1:4">
      <c r="A7">
        <f t="shared" si="0"/>
        <v>5</v>
      </c>
      <c r="B7">
        <v>50</v>
      </c>
      <c r="C7">
        <v>5261</v>
      </c>
      <c r="D7">
        <f t="shared" si="1"/>
        <v>52.61</v>
      </c>
    </row>
    <row r="8" spans="1:4">
      <c r="A8">
        <f t="shared" si="0"/>
        <v>6</v>
      </c>
      <c r="B8">
        <v>60</v>
      </c>
      <c r="C8">
        <v>5419</v>
      </c>
      <c r="D8">
        <f t="shared" si="1"/>
        <v>54.19</v>
      </c>
    </row>
    <row r="9" spans="1:4">
      <c r="A9">
        <f t="shared" si="0"/>
        <v>7</v>
      </c>
      <c r="B9">
        <v>70</v>
      </c>
      <c r="C9">
        <v>5578</v>
      </c>
      <c r="D9">
        <f t="shared" si="1"/>
        <v>55.78</v>
      </c>
    </row>
    <row r="10" spans="1:4">
      <c r="A10">
        <f t="shared" si="0"/>
        <v>8</v>
      </c>
      <c r="B10">
        <v>80</v>
      </c>
      <c r="C10">
        <v>5737</v>
      </c>
      <c r="D10">
        <f t="shared" si="1"/>
        <v>57.37</v>
      </c>
    </row>
    <row r="11" spans="1:4">
      <c r="A11">
        <f t="shared" si="0"/>
        <v>9</v>
      </c>
      <c r="B11">
        <v>90</v>
      </c>
      <c r="C11">
        <v>5896</v>
      </c>
      <c r="D11">
        <f t="shared" si="1"/>
        <v>58.96</v>
      </c>
    </row>
    <row r="12" spans="1:4">
      <c r="A12">
        <f t="shared" si="0"/>
        <v>10</v>
      </c>
      <c r="B12">
        <v>100</v>
      </c>
      <c r="C12">
        <v>6055</v>
      </c>
      <c r="D12">
        <f t="shared" si="1"/>
        <v>60.55</v>
      </c>
    </row>
    <row r="13" spans="1:4">
      <c r="A13">
        <f t="shared" si="0"/>
        <v>11</v>
      </c>
      <c r="B13">
        <v>110</v>
      </c>
      <c r="C13">
        <v>6214</v>
      </c>
      <c r="D13">
        <f t="shared" si="1"/>
        <v>62.14</v>
      </c>
    </row>
    <row r="14" spans="1:4">
      <c r="A14">
        <f t="shared" si="0"/>
        <v>12</v>
      </c>
      <c r="B14">
        <v>120</v>
      </c>
      <c r="C14">
        <v>6373</v>
      </c>
      <c r="D14">
        <f t="shared" si="1"/>
        <v>63.73</v>
      </c>
    </row>
    <row r="15" spans="1:4">
      <c r="A15">
        <f t="shared" si="0"/>
        <v>13</v>
      </c>
      <c r="B15">
        <v>130</v>
      </c>
      <c r="C15">
        <v>6532</v>
      </c>
      <c r="D15">
        <f t="shared" si="1"/>
        <v>65.319999999999993</v>
      </c>
    </row>
    <row r="16" spans="1:4">
      <c r="A16">
        <f t="shared" si="0"/>
        <v>14</v>
      </c>
      <c r="B16">
        <v>140</v>
      </c>
      <c r="C16">
        <v>6690</v>
      </c>
      <c r="D16">
        <f t="shared" si="1"/>
        <v>66.900000000000006</v>
      </c>
    </row>
    <row r="17" spans="1:4">
      <c r="A17">
        <f t="shared" si="0"/>
        <v>15</v>
      </c>
      <c r="B17">
        <v>150</v>
      </c>
      <c r="C17">
        <v>6849</v>
      </c>
      <c r="D17">
        <f t="shared" si="1"/>
        <v>68.489999999999995</v>
      </c>
    </row>
    <row r="18" spans="1:4">
      <c r="A18">
        <f t="shared" si="0"/>
        <v>16</v>
      </c>
      <c r="B18">
        <v>160</v>
      </c>
      <c r="C18">
        <v>7008</v>
      </c>
      <c r="D18">
        <f t="shared" si="1"/>
        <v>70.08</v>
      </c>
    </row>
    <row r="19" spans="1:4">
      <c r="A19">
        <f t="shared" si="0"/>
        <v>17</v>
      </c>
      <c r="B19">
        <v>170</v>
      </c>
      <c r="C19">
        <v>7167</v>
      </c>
      <c r="D19">
        <f t="shared" si="1"/>
        <v>71.67</v>
      </c>
    </row>
    <row r="20" spans="1:4">
      <c r="A20">
        <f t="shared" si="0"/>
        <v>18</v>
      </c>
      <c r="B20">
        <v>180</v>
      </c>
      <c r="C20">
        <v>7326</v>
      </c>
      <c r="D20">
        <f t="shared" si="1"/>
        <v>73.260000000000005</v>
      </c>
    </row>
    <row r="21" spans="1:4">
      <c r="A21">
        <f t="shared" si="0"/>
        <v>19</v>
      </c>
      <c r="B21">
        <v>190</v>
      </c>
      <c r="C21">
        <v>7485</v>
      </c>
      <c r="D21">
        <f t="shared" si="1"/>
        <v>74.849999999999994</v>
      </c>
    </row>
    <row r="22" spans="1:4">
      <c r="A22">
        <f t="shared" si="0"/>
        <v>20</v>
      </c>
      <c r="B22">
        <v>200</v>
      </c>
      <c r="C22">
        <v>7644</v>
      </c>
      <c r="D22">
        <f t="shared" si="1"/>
        <v>76.44</v>
      </c>
    </row>
    <row r="23" spans="1:4">
      <c r="A23">
        <f t="shared" si="0"/>
        <v>21</v>
      </c>
      <c r="B23">
        <v>210</v>
      </c>
      <c r="C23">
        <v>7802</v>
      </c>
      <c r="D23">
        <f t="shared" si="1"/>
        <v>78.02</v>
      </c>
    </row>
    <row r="24" spans="1:4">
      <c r="A24">
        <f t="shared" si="0"/>
        <v>22</v>
      </c>
      <c r="B24">
        <v>220</v>
      </c>
      <c r="C24">
        <v>7961</v>
      </c>
      <c r="D24">
        <f t="shared" si="1"/>
        <v>79.61</v>
      </c>
    </row>
    <row r="25" spans="1:4">
      <c r="A25">
        <f t="shared" si="0"/>
        <v>23</v>
      </c>
      <c r="B25">
        <v>230</v>
      </c>
      <c r="C25">
        <v>8120</v>
      </c>
      <c r="D25">
        <f t="shared" si="1"/>
        <v>81.2</v>
      </c>
    </row>
    <row r="26" spans="1:4">
      <c r="A26">
        <f t="shared" si="0"/>
        <v>24</v>
      </c>
      <c r="B26">
        <v>240</v>
      </c>
      <c r="C26">
        <v>8279</v>
      </c>
      <c r="D26">
        <f t="shared" si="1"/>
        <v>82.79</v>
      </c>
    </row>
    <row r="27" spans="1:4">
      <c r="A27">
        <f t="shared" si="0"/>
        <v>25</v>
      </c>
      <c r="B27">
        <v>250</v>
      </c>
      <c r="C27">
        <v>8438</v>
      </c>
      <c r="D27">
        <f t="shared" si="1"/>
        <v>84.38</v>
      </c>
    </row>
    <row r="28" spans="1:4">
      <c r="A28">
        <f t="shared" si="0"/>
        <v>26</v>
      </c>
      <c r="B28">
        <v>260</v>
      </c>
      <c r="C28">
        <v>8597</v>
      </c>
      <c r="D28">
        <f t="shared" si="1"/>
        <v>85.97</v>
      </c>
    </row>
    <row r="29" spans="1:4">
      <c r="A29">
        <f t="shared" si="0"/>
        <v>27</v>
      </c>
      <c r="B29">
        <v>270</v>
      </c>
      <c r="C29">
        <v>8756</v>
      </c>
      <c r="D29">
        <f t="shared" si="1"/>
        <v>87.56</v>
      </c>
    </row>
    <row r="30" spans="1:4">
      <c r="A30">
        <f t="shared" si="0"/>
        <v>28</v>
      </c>
      <c r="B30">
        <v>280</v>
      </c>
      <c r="C30">
        <v>8915</v>
      </c>
      <c r="D30">
        <f t="shared" si="1"/>
        <v>89.15</v>
      </c>
    </row>
    <row r="31" spans="1:4">
      <c r="A31">
        <f t="shared" si="0"/>
        <v>29</v>
      </c>
      <c r="B31">
        <v>290</v>
      </c>
      <c r="C31">
        <v>9073</v>
      </c>
      <c r="D31">
        <f t="shared" si="1"/>
        <v>90.73</v>
      </c>
    </row>
    <row r="32" spans="1:4">
      <c r="A32">
        <f t="shared" si="0"/>
        <v>30</v>
      </c>
      <c r="B32">
        <v>300</v>
      </c>
      <c r="C32">
        <v>9232</v>
      </c>
      <c r="D32">
        <f t="shared" si="1"/>
        <v>92.32</v>
      </c>
    </row>
    <row r="33" spans="1:4">
      <c r="A33">
        <f t="shared" si="0"/>
        <v>31</v>
      </c>
      <c r="B33">
        <v>310</v>
      </c>
      <c r="C33">
        <v>9391</v>
      </c>
      <c r="D33">
        <f t="shared" si="1"/>
        <v>93.91</v>
      </c>
    </row>
    <row r="34" spans="1:4">
      <c r="A34">
        <f t="shared" si="0"/>
        <v>32</v>
      </c>
      <c r="B34">
        <v>320</v>
      </c>
      <c r="C34">
        <v>9550</v>
      </c>
      <c r="D34">
        <f t="shared" si="1"/>
        <v>95.5</v>
      </c>
    </row>
    <row r="35" spans="1:4">
      <c r="A35">
        <f t="shared" si="0"/>
        <v>33</v>
      </c>
      <c r="B35">
        <v>330</v>
      </c>
      <c r="C35">
        <v>9709</v>
      </c>
      <c r="D35">
        <f t="shared" si="1"/>
        <v>97.09</v>
      </c>
    </row>
    <row r="36" spans="1:4">
      <c r="A36">
        <f t="shared" si="0"/>
        <v>34</v>
      </c>
      <c r="B36">
        <v>340</v>
      </c>
      <c r="C36">
        <v>9868</v>
      </c>
      <c r="D36">
        <f t="shared" si="1"/>
        <v>98.68</v>
      </c>
    </row>
    <row r="37" spans="1:4">
      <c r="A37">
        <f t="shared" si="0"/>
        <v>35</v>
      </c>
      <c r="B37">
        <v>350</v>
      </c>
      <c r="C37">
        <v>10027</v>
      </c>
      <c r="D37">
        <f t="shared" si="1"/>
        <v>100.27</v>
      </c>
    </row>
    <row r="38" spans="1:4">
      <c r="A38">
        <f t="shared" si="0"/>
        <v>36</v>
      </c>
      <c r="B38">
        <v>360</v>
      </c>
      <c r="C38">
        <v>10186</v>
      </c>
      <c r="D38">
        <f t="shared" si="1"/>
        <v>101.86</v>
      </c>
    </row>
    <row r="39" spans="1:4">
      <c r="A39">
        <f t="shared" si="0"/>
        <v>37</v>
      </c>
      <c r="B39">
        <v>370</v>
      </c>
      <c r="C39">
        <v>10344</v>
      </c>
      <c r="D39">
        <f t="shared" si="1"/>
        <v>103.44</v>
      </c>
    </row>
    <row r="40" spans="1:4">
      <c r="A40">
        <f t="shared" si="0"/>
        <v>38</v>
      </c>
      <c r="B40">
        <v>380</v>
      </c>
      <c r="C40">
        <v>10503</v>
      </c>
      <c r="D40">
        <f t="shared" si="1"/>
        <v>105.03</v>
      </c>
    </row>
    <row r="41" spans="1:4">
      <c r="A41">
        <f t="shared" si="0"/>
        <v>39</v>
      </c>
      <c r="B41">
        <v>390</v>
      </c>
      <c r="C41">
        <v>10662</v>
      </c>
      <c r="D41">
        <f t="shared" si="1"/>
        <v>106.62</v>
      </c>
    </row>
    <row r="42" spans="1:4">
      <c r="A42">
        <f t="shared" si="0"/>
        <v>40</v>
      </c>
      <c r="B42">
        <v>400</v>
      </c>
      <c r="C42">
        <v>10821</v>
      </c>
      <c r="D42">
        <f t="shared" si="1"/>
        <v>108.21</v>
      </c>
    </row>
    <row r="43" spans="1:4">
      <c r="A43">
        <f t="shared" si="0"/>
        <v>41</v>
      </c>
      <c r="B43">
        <v>410</v>
      </c>
      <c r="C43">
        <v>10980</v>
      </c>
      <c r="D43">
        <f t="shared" si="1"/>
        <v>109.8</v>
      </c>
    </row>
    <row r="44" spans="1:4">
      <c r="A44">
        <f t="shared" si="0"/>
        <v>42</v>
      </c>
      <c r="B44">
        <v>420</v>
      </c>
      <c r="C44">
        <v>11139</v>
      </c>
      <c r="D44">
        <f t="shared" si="1"/>
        <v>111.39</v>
      </c>
    </row>
    <row r="45" spans="1:4">
      <c r="A45">
        <f t="shared" si="0"/>
        <v>43</v>
      </c>
      <c r="B45">
        <v>430</v>
      </c>
      <c r="C45">
        <v>11298</v>
      </c>
      <c r="D45">
        <f t="shared" si="1"/>
        <v>112.98</v>
      </c>
    </row>
    <row r="46" spans="1:4">
      <c r="A46">
        <f t="shared" si="0"/>
        <v>44</v>
      </c>
      <c r="B46">
        <v>440</v>
      </c>
      <c r="C46">
        <v>11456</v>
      </c>
      <c r="D46">
        <f t="shared" si="1"/>
        <v>114.56</v>
      </c>
    </row>
    <row r="47" spans="1:4">
      <c r="A47">
        <f t="shared" si="0"/>
        <v>45</v>
      </c>
      <c r="B47">
        <v>450</v>
      </c>
      <c r="C47">
        <v>11615</v>
      </c>
      <c r="D47">
        <f t="shared" si="1"/>
        <v>116.15</v>
      </c>
    </row>
    <row r="48" spans="1:4">
      <c r="A48">
        <f t="shared" si="0"/>
        <v>46</v>
      </c>
      <c r="B48">
        <v>460</v>
      </c>
      <c r="C48">
        <v>11774</v>
      </c>
      <c r="D48">
        <f t="shared" si="1"/>
        <v>117.74</v>
      </c>
    </row>
    <row r="49" spans="1:4">
      <c r="A49">
        <f t="shared" si="0"/>
        <v>47</v>
      </c>
      <c r="B49">
        <v>470</v>
      </c>
      <c r="C49">
        <v>11933</v>
      </c>
      <c r="D49">
        <f t="shared" si="1"/>
        <v>119.33</v>
      </c>
    </row>
    <row r="50" spans="1:4">
      <c r="A50">
        <f t="shared" si="0"/>
        <v>48</v>
      </c>
      <c r="B50">
        <v>480</v>
      </c>
      <c r="C50">
        <v>12092</v>
      </c>
      <c r="D50">
        <f t="shared" si="1"/>
        <v>120.92</v>
      </c>
    </row>
    <row r="51" spans="1:4">
      <c r="A51">
        <f t="shared" si="0"/>
        <v>49</v>
      </c>
      <c r="B51">
        <v>490</v>
      </c>
      <c r="C51">
        <v>12251</v>
      </c>
      <c r="D51">
        <f t="shared" si="1"/>
        <v>122.51</v>
      </c>
    </row>
    <row r="52" spans="1:4">
      <c r="A52">
        <f t="shared" si="0"/>
        <v>50</v>
      </c>
      <c r="B52">
        <v>500</v>
      </c>
      <c r="C52">
        <v>12410</v>
      </c>
      <c r="D52">
        <f t="shared" si="1"/>
        <v>124.1</v>
      </c>
    </row>
    <row r="53" spans="1:4">
      <c r="A53">
        <f t="shared" si="0"/>
        <v>51</v>
      </c>
      <c r="B53">
        <v>510</v>
      </c>
      <c r="C53">
        <v>12569</v>
      </c>
      <c r="D53">
        <f t="shared" si="1"/>
        <v>125.69</v>
      </c>
    </row>
    <row r="54" spans="1:4">
      <c r="A54">
        <f t="shared" si="0"/>
        <v>52</v>
      </c>
      <c r="B54">
        <v>520</v>
      </c>
      <c r="C54">
        <v>12727</v>
      </c>
      <c r="D54">
        <f t="shared" si="1"/>
        <v>127.27</v>
      </c>
    </row>
    <row r="55" spans="1:4">
      <c r="A55">
        <f t="shared" si="0"/>
        <v>53</v>
      </c>
      <c r="B55">
        <v>530</v>
      </c>
      <c r="C55">
        <v>12886</v>
      </c>
      <c r="D55">
        <f t="shared" si="1"/>
        <v>128.86000000000001</v>
      </c>
    </row>
    <row r="56" spans="1:4">
      <c r="A56">
        <f t="shared" si="0"/>
        <v>54</v>
      </c>
      <c r="B56">
        <v>540</v>
      </c>
      <c r="C56">
        <v>13045</v>
      </c>
      <c r="D56">
        <f t="shared" si="1"/>
        <v>130.44999999999999</v>
      </c>
    </row>
    <row r="57" spans="1:4">
      <c r="A57">
        <f t="shared" si="0"/>
        <v>55</v>
      </c>
      <c r="B57">
        <v>550</v>
      </c>
      <c r="C57">
        <v>13204</v>
      </c>
      <c r="D57">
        <f t="shared" si="1"/>
        <v>132.04</v>
      </c>
    </row>
    <row r="58" spans="1:4">
      <c r="A58">
        <f t="shared" si="0"/>
        <v>56</v>
      </c>
      <c r="B58">
        <v>560</v>
      </c>
      <c r="C58">
        <v>13363</v>
      </c>
      <c r="D58">
        <f t="shared" si="1"/>
        <v>133.63</v>
      </c>
    </row>
    <row r="59" spans="1:4">
      <c r="A59">
        <f t="shared" si="0"/>
        <v>57</v>
      </c>
      <c r="B59">
        <v>570</v>
      </c>
      <c r="C59">
        <v>13522</v>
      </c>
      <c r="D59">
        <f t="shared" si="1"/>
        <v>135.22</v>
      </c>
    </row>
    <row r="60" spans="1:4">
      <c r="A60">
        <f t="shared" si="0"/>
        <v>58</v>
      </c>
      <c r="B60">
        <v>580</v>
      </c>
      <c r="C60">
        <v>13681</v>
      </c>
      <c r="D60">
        <f t="shared" si="1"/>
        <v>136.81</v>
      </c>
    </row>
    <row r="61" spans="1:4">
      <c r="A61">
        <f t="shared" si="0"/>
        <v>59</v>
      </c>
      <c r="B61">
        <v>590</v>
      </c>
      <c r="C61">
        <v>13840</v>
      </c>
      <c r="D61">
        <f t="shared" si="1"/>
        <v>138.4</v>
      </c>
    </row>
    <row r="62" spans="1:4">
      <c r="A62">
        <f t="shared" si="0"/>
        <v>60</v>
      </c>
      <c r="B62">
        <v>600</v>
      </c>
      <c r="C62">
        <v>13998</v>
      </c>
      <c r="D62">
        <f t="shared" si="1"/>
        <v>139.97999999999999</v>
      </c>
    </row>
    <row r="63" spans="1:4">
      <c r="A63">
        <f t="shared" si="0"/>
        <v>61</v>
      </c>
      <c r="B63">
        <v>610</v>
      </c>
      <c r="C63">
        <v>14157</v>
      </c>
      <c r="D63">
        <f t="shared" si="1"/>
        <v>141.57</v>
      </c>
    </row>
    <row r="64" spans="1:4">
      <c r="A64">
        <f t="shared" si="0"/>
        <v>62</v>
      </c>
      <c r="B64">
        <v>620</v>
      </c>
      <c r="C64">
        <v>14316</v>
      </c>
      <c r="D64">
        <f t="shared" si="1"/>
        <v>143.16</v>
      </c>
    </row>
    <row r="65" spans="1:4">
      <c r="A65">
        <f t="shared" si="0"/>
        <v>63</v>
      </c>
      <c r="B65">
        <v>630</v>
      </c>
      <c r="C65">
        <v>14475</v>
      </c>
      <c r="D65">
        <f t="shared" si="1"/>
        <v>144.75</v>
      </c>
    </row>
    <row r="66" spans="1:4">
      <c r="A66">
        <f t="shared" si="0"/>
        <v>64</v>
      </c>
      <c r="B66">
        <v>640</v>
      </c>
      <c r="C66">
        <v>14634</v>
      </c>
      <c r="D66">
        <f t="shared" si="1"/>
        <v>146.34</v>
      </c>
    </row>
    <row r="67" spans="1:4">
      <c r="A67">
        <f t="shared" ref="A67:A130" si="2">$B67/10</f>
        <v>65</v>
      </c>
      <c r="B67">
        <v>650</v>
      </c>
      <c r="C67">
        <v>14793</v>
      </c>
      <c r="D67">
        <f t="shared" ref="D67:D130" si="3">$C67/100</f>
        <v>147.93</v>
      </c>
    </row>
    <row r="68" spans="1:4">
      <c r="A68">
        <f t="shared" si="2"/>
        <v>66</v>
      </c>
      <c r="B68">
        <v>660</v>
      </c>
      <c r="C68">
        <v>14952</v>
      </c>
      <c r="D68">
        <f t="shared" si="3"/>
        <v>149.52000000000001</v>
      </c>
    </row>
    <row r="69" spans="1:4">
      <c r="A69">
        <f t="shared" si="2"/>
        <v>67</v>
      </c>
      <c r="B69">
        <v>670</v>
      </c>
      <c r="C69">
        <v>15111</v>
      </c>
      <c r="D69">
        <f t="shared" si="3"/>
        <v>151.11000000000001</v>
      </c>
    </row>
    <row r="70" spans="1:4">
      <c r="A70">
        <f t="shared" si="2"/>
        <v>68</v>
      </c>
      <c r="B70">
        <v>680</v>
      </c>
      <c r="C70">
        <v>15269</v>
      </c>
      <c r="D70">
        <f t="shared" si="3"/>
        <v>152.69</v>
      </c>
    </row>
    <row r="71" spans="1:4">
      <c r="A71">
        <f t="shared" si="2"/>
        <v>69</v>
      </c>
      <c r="B71">
        <v>690</v>
      </c>
      <c r="C71">
        <v>15428</v>
      </c>
      <c r="D71">
        <f t="shared" si="3"/>
        <v>154.28</v>
      </c>
    </row>
    <row r="72" spans="1:4">
      <c r="A72">
        <f t="shared" si="2"/>
        <v>70</v>
      </c>
      <c r="B72">
        <v>700</v>
      </c>
      <c r="C72">
        <v>15587</v>
      </c>
      <c r="D72">
        <f t="shared" si="3"/>
        <v>155.87</v>
      </c>
    </row>
    <row r="73" spans="1:4">
      <c r="A73">
        <f t="shared" si="2"/>
        <v>71</v>
      </c>
      <c r="B73">
        <v>710</v>
      </c>
      <c r="C73">
        <v>15746</v>
      </c>
      <c r="D73">
        <f t="shared" si="3"/>
        <v>157.46</v>
      </c>
    </row>
    <row r="74" spans="1:4">
      <c r="A74">
        <f t="shared" si="2"/>
        <v>72</v>
      </c>
      <c r="B74">
        <v>720</v>
      </c>
      <c r="C74">
        <v>15905</v>
      </c>
      <c r="D74">
        <f t="shared" si="3"/>
        <v>159.05000000000001</v>
      </c>
    </row>
    <row r="75" spans="1:4">
      <c r="A75">
        <f t="shared" si="2"/>
        <v>73</v>
      </c>
      <c r="B75">
        <v>730</v>
      </c>
      <c r="C75">
        <v>16064</v>
      </c>
      <c r="D75">
        <f t="shared" si="3"/>
        <v>160.63999999999999</v>
      </c>
    </row>
    <row r="76" spans="1:4">
      <c r="A76">
        <f t="shared" si="2"/>
        <v>74</v>
      </c>
      <c r="B76">
        <v>740</v>
      </c>
      <c r="C76">
        <v>16223</v>
      </c>
      <c r="D76">
        <f t="shared" si="3"/>
        <v>162.22999999999999</v>
      </c>
    </row>
    <row r="77" spans="1:4">
      <c r="A77">
        <f t="shared" si="2"/>
        <v>75</v>
      </c>
      <c r="B77">
        <v>750</v>
      </c>
      <c r="C77">
        <v>16381</v>
      </c>
      <c r="D77">
        <f t="shared" si="3"/>
        <v>163.81</v>
      </c>
    </row>
    <row r="78" spans="1:4">
      <c r="A78">
        <f t="shared" si="2"/>
        <v>76</v>
      </c>
      <c r="B78">
        <v>760</v>
      </c>
      <c r="C78">
        <v>16540</v>
      </c>
      <c r="D78">
        <f t="shared" si="3"/>
        <v>165.4</v>
      </c>
    </row>
    <row r="79" spans="1:4">
      <c r="A79">
        <f t="shared" si="2"/>
        <v>77</v>
      </c>
      <c r="B79">
        <v>770</v>
      </c>
      <c r="C79">
        <v>16699</v>
      </c>
      <c r="D79">
        <f t="shared" si="3"/>
        <v>166.99</v>
      </c>
    </row>
    <row r="80" spans="1:4">
      <c r="A80">
        <f t="shared" si="2"/>
        <v>78</v>
      </c>
      <c r="B80">
        <v>780</v>
      </c>
      <c r="C80">
        <v>16858</v>
      </c>
      <c r="D80">
        <f t="shared" si="3"/>
        <v>168.58</v>
      </c>
    </row>
    <row r="81" spans="1:4">
      <c r="A81">
        <f t="shared" si="2"/>
        <v>79</v>
      </c>
      <c r="B81">
        <v>790</v>
      </c>
      <c r="C81">
        <v>17017</v>
      </c>
      <c r="D81">
        <f t="shared" si="3"/>
        <v>170.17</v>
      </c>
    </row>
    <row r="82" spans="1:4">
      <c r="A82">
        <f t="shared" si="2"/>
        <v>80</v>
      </c>
      <c r="B82">
        <v>800</v>
      </c>
      <c r="C82">
        <v>17176</v>
      </c>
      <c r="D82">
        <f t="shared" si="3"/>
        <v>171.76</v>
      </c>
    </row>
    <row r="83" spans="1:4">
      <c r="A83">
        <f t="shared" si="2"/>
        <v>81</v>
      </c>
      <c r="B83">
        <v>810</v>
      </c>
      <c r="C83">
        <v>17335</v>
      </c>
      <c r="D83">
        <f t="shared" si="3"/>
        <v>173.35</v>
      </c>
    </row>
    <row r="84" spans="1:4">
      <c r="A84">
        <f t="shared" si="2"/>
        <v>82</v>
      </c>
      <c r="B84">
        <v>820</v>
      </c>
      <c r="C84">
        <v>17494</v>
      </c>
      <c r="D84">
        <f t="shared" si="3"/>
        <v>174.94</v>
      </c>
    </row>
    <row r="85" spans="1:4">
      <c r="A85">
        <f t="shared" si="2"/>
        <v>83</v>
      </c>
      <c r="B85">
        <v>830</v>
      </c>
      <c r="C85">
        <v>17652</v>
      </c>
      <c r="D85">
        <f t="shared" si="3"/>
        <v>176.52</v>
      </c>
    </row>
    <row r="86" spans="1:4">
      <c r="A86">
        <f t="shared" si="2"/>
        <v>84</v>
      </c>
      <c r="B86">
        <v>840</v>
      </c>
      <c r="C86">
        <v>17811</v>
      </c>
      <c r="D86">
        <f t="shared" si="3"/>
        <v>178.11</v>
      </c>
    </row>
    <row r="87" spans="1:4">
      <c r="A87">
        <f t="shared" si="2"/>
        <v>85</v>
      </c>
      <c r="B87">
        <v>850</v>
      </c>
      <c r="C87">
        <v>17970</v>
      </c>
      <c r="D87">
        <f t="shared" si="3"/>
        <v>179.7</v>
      </c>
    </row>
    <row r="88" spans="1:4">
      <c r="A88">
        <f t="shared" si="2"/>
        <v>86</v>
      </c>
      <c r="B88">
        <v>860</v>
      </c>
      <c r="C88">
        <v>18129</v>
      </c>
      <c r="D88">
        <f t="shared" si="3"/>
        <v>181.29</v>
      </c>
    </row>
    <row r="89" spans="1:4">
      <c r="A89">
        <f t="shared" si="2"/>
        <v>87</v>
      </c>
      <c r="B89">
        <v>870</v>
      </c>
      <c r="C89">
        <v>18288</v>
      </c>
      <c r="D89">
        <f t="shared" si="3"/>
        <v>182.88</v>
      </c>
    </row>
    <row r="90" spans="1:4">
      <c r="A90">
        <f t="shared" si="2"/>
        <v>88</v>
      </c>
      <c r="B90">
        <v>880</v>
      </c>
      <c r="C90">
        <v>18447</v>
      </c>
      <c r="D90">
        <f t="shared" si="3"/>
        <v>184.47</v>
      </c>
    </row>
    <row r="91" spans="1:4">
      <c r="A91">
        <f t="shared" si="2"/>
        <v>89</v>
      </c>
      <c r="B91">
        <v>890</v>
      </c>
      <c r="C91">
        <v>18606</v>
      </c>
      <c r="D91">
        <f t="shared" si="3"/>
        <v>186.06</v>
      </c>
    </row>
    <row r="92" spans="1:4">
      <c r="A92">
        <f t="shared" si="2"/>
        <v>90</v>
      </c>
      <c r="B92">
        <v>900</v>
      </c>
      <c r="C92">
        <v>18765</v>
      </c>
      <c r="D92">
        <f t="shared" si="3"/>
        <v>187.65</v>
      </c>
    </row>
    <row r="93" spans="1:4">
      <c r="A93">
        <f t="shared" si="2"/>
        <v>91</v>
      </c>
      <c r="B93">
        <v>910</v>
      </c>
      <c r="C93">
        <v>18923</v>
      </c>
      <c r="D93">
        <f t="shared" si="3"/>
        <v>189.23</v>
      </c>
    </row>
    <row r="94" spans="1:4">
      <c r="A94">
        <f t="shared" si="2"/>
        <v>92</v>
      </c>
      <c r="B94">
        <v>920</v>
      </c>
      <c r="C94">
        <v>19082</v>
      </c>
      <c r="D94">
        <f t="shared" si="3"/>
        <v>190.82</v>
      </c>
    </row>
    <row r="95" spans="1:4">
      <c r="A95">
        <f t="shared" si="2"/>
        <v>93</v>
      </c>
      <c r="B95">
        <v>930</v>
      </c>
      <c r="C95">
        <v>19241</v>
      </c>
      <c r="D95">
        <f t="shared" si="3"/>
        <v>192.41</v>
      </c>
    </row>
    <row r="96" spans="1:4">
      <c r="A96">
        <f t="shared" si="2"/>
        <v>94</v>
      </c>
      <c r="B96">
        <v>940</v>
      </c>
      <c r="C96">
        <v>19400</v>
      </c>
      <c r="D96">
        <f t="shared" si="3"/>
        <v>194</v>
      </c>
    </row>
    <row r="97" spans="1:4">
      <c r="A97">
        <f t="shared" si="2"/>
        <v>95</v>
      </c>
      <c r="B97">
        <v>950</v>
      </c>
      <c r="C97">
        <v>19559</v>
      </c>
      <c r="D97">
        <f t="shared" si="3"/>
        <v>195.59</v>
      </c>
    </row>
    <row r="98" spans="1:4">
      <c r="A98">
        <f t="shared" si="2"/>
        <v>96</v>
      </c>
      <c r="B98">
        <v>960</v>
      </c>
      <c r="C98">
        <v>19718</v>
      </c>
      <c r="D98">
        <f t="shared" si="3"/>
        <v>197.18</v>
      </c>
    </row>
    <row r="99" spans="1:4">
      <c r="A99">
        <f t="shared" si="2"/>
        <v>97</v>
      </c>
      <c r="B99">
        <v>970</v>
      </c>
      <c r="C99">
        <v>19877</v>
      </c>
      <c r="D99">
        <f t="shared" si="3"/>
        <v>198.77</v>
      </c>
    </row>
    <row r="100" spans="1:4">
      <c r="A100">
        <f t="shared" si="2"/>
        <v>98</v>
      </c>
      <c r="B100">
        <v>980</v>
      </c>
      <c r="C100">
        <v>20035</v>
      </c>
      <c r="D100">
        <f t="shared" si="3"/>
        <v>200.35</v>
      </c>
    </row>
    <row r="101" spans="1:4">
      <c r="A101">
        <f t="shared" si="2"/>
        <v>99</v>
      </c>
      <c r="B101">
        <v>990</v>
      </c>
      <c r="C101">
        <v>20194</v>
      </c>
      <c r="D101">
        <f t="shared" si="3"/>
        <v>201.94</v>
      </c>
    </row>
    <row r="102" spans="1:4">
      <c r="A102">
        <f t="shared" si="2"/>
        <v>100</v>
      </c>
      <c r="B102">
        <v>1000</v>
      </c>
      <c r="C102">
        <v>20353</v>
      </c>
      <c r="D102">
        <f t="shared" si="3"/>
        <v>203.53</v>
      </c>
    </row>
    <row r="103" spans="1:4">
      <c r="A103">
        <f t="shared" si="2"/>
        <v>101</v>
      </c>
      <c r="B103">
        <v>1010</v>
      </c>
      <c r="C103">
        <v>20512</v>
      </c>
      <c r="D103">
        <f t="shared" si="3"/>
        <v>205.12</v>
      </c>
    </row>
    <row r="104" spans="1:4">
      <c r="A104">
        <f t="shared" si="2"/>
        <v>102</v>
      </c>
      <c r="B104">
        <v>1020</v>
      </c>
      <c r="C104">
        <v>20671</v>
      </c>
      <c r="D104">
        <f t="shared" si="3"/>
        <v>206.71</v>
      </c>
    </row>
    <row r="105" spans="1:4">
      <c r="A105">
        <f t="shared" si="2"/>
        <v>103</v>
      </c>
      <c r="B105">
        <v>1030</v>
      </c>
      <c r="C105">
        <v>20830</v>
      </c>
      <c r="D105">
        <f t="shared" si="3"/>
        <v>208.3</v>
      </c>
    </row>
    <row r="106" spans="1:4">
      <c r="A106">
        <f t="shared" si="2"/>
        <v>104</v>
      </c>
      <c r="B106">
        <v>1040</v>
      </c>
      <c r="C106">
        <v>20989</v>
      </c>
      <c r="D106">
        <f t="shared" si="3"/>
        <v>209.89</v>
      </c>
    </row>
    <row r="107" spans="1:4">
      <c r="A107">
        <f t="shared" si="2"/>
        <v>105</v>
      </c>
      <c r="B107">
        <v>1050</v>
      </c>
      <c r="C107">
        <v>21148</v>
      </c>
      <c r="D107">
        <f t="shared" si="3"/>
        <v>211.48</v>
      </c>
    </row>
    <row r="108" spans="1:4">
      <c r="A108">
        <f t="shared" si="2"/>
        <v>106</v>
      </c>
      <c r="B108">
        <v>1060</v>
      </c>
      <c r="C108">
        <v>21306</v>
      </c>
      <c r="D108">
        <f t="shared" si="3"/>
        <v>213.06</v>
      </c>
    </row>
    <row r="109" spans="1:4">
      <c r="A109">
        <f t="shared" si="2"/>
        <v>107</v>
      </c>
      <c r="B109">
        <v>1070</v>
      </c>
      <c r="C109">
        <v>21465</v>
      </c>
      <c r="D109">
        <f t="shared" si="3"/>
        <v>214.65</v>
      </c>
    </row>
    <row r="110" spans="1:4">
      <c r="A110">
        <f t="shared" si="2"/>
        <v>108</v>
      </c>
      <c r="B110">
        <v>1080</v>
      </c>
      <c r="C110">
        <v>21624</v>
      </c>
      <c r="D110">
        <f t="shared" si="3"/>
        <v>216.24</v>
      </c>
    </row>
    <row r="111" spans="1:4">
      <c r="A111">
        <f t="shared" si="2"/>
        <v>109</v>
      </c>
      <c r="B111">
        <v>1090</v>
      </c>
      <c r="C111">
        <v>21783</v>
      </c>
      <c r="D111">
        <f t="shared" si="3"/>
        <v>217.83</v>
      </c>
    </row>
    <row r="112" spans="1:4">
      <c r="A112">
        <f t="shared" si="2"/>
        <v>110</v>
      </c>
      <c r="B112">
        <v>1100</v>
      </c>
      <c r="C112">
        <v>21942</v>
      </c>
      <c r="D112">
        <f t="shared" si="3"/>
        <v>219.42</v>
      </c>
    </row>
    <row r="113" spans="1:4">
      <c r="A113">
        <f t="shared" si="2"/>
        <v>111</v>
      </c>
      <c r="B113">
        <v>1110</v>
      </c>
      <c r="C113">
        <v>22101</v>
      </c>
      <c r="D113">
        <f t="shared" si="3"/>
        <v>221.01</v>
      </c>
    </row>
    <row r="114" spans="1:4">
      <c r="A114">
        <f t="shared" si="2"/>
        <v>112</v>
      </c>
      <c r="B114">
        <v>1120</v>
      </c>
      <c r="C114">
        <v>22260</v>
      </c>
      <c r="D114">
        <f t="shared" si="3"/>
        <v>222.6</v>
      </c>
    </row>
    <row r="115" spans="1:4">
      <c r="A115">
        <f t="shared" si="2"/>
        <v>113</v>
      </c>
      <c r="B115">
        <v>1130</v>
      </c>
      <c r="C115">
        <v>22419</v>
      </c>
      <c r="D115">
        <f t="shared" si="3"/>
        <v>224.19</v>
      </c>
    </row>
    <row r="116" spans="1:4">
      <c r="A116">
        <f t="shared" si="2"/>
        <v>114</v>
      </c>
      <c r="B116">
        <v>1140</v>
      </c>
      <c r="C116">
        <v>22577</v>
      </c>
      <c r="D116">
        <f t="shared" si="3"/>
        <v>225.77</v>
      </c>
    </row>
    <row r="117" spans="1:4">
      <c r="A117">
        <f t="shared" si="2"/>
        <v>115</v>
      </c>
      <c r="B117">
        <v>1150</v>
      </c>
      <c r="C117">
        <v>22736</v>
      </c>
      <c r="D117">
        <f t="shared" si="3"/>
        <v>227.36</v>
      </c>
    </row>
    <row r="118" spans="1:4">
      <c r="A118">
        <f t="shared" si="2"/>
        <v>116</v>
      </c>
      <c r="B118">
        <v>1160</v>
      </c>
      <c r="C118">
        <v>22895</v>
      </c>
      <c r="D118">
        <f t="shared" si="3"/>
        <v>228.95</v>
      </c>
    </row>
    <row r="119" spans="1:4">
      <c r="A119">
        <f t="shared" si="2"/>
        <v>117</v>
      </c>
      <c r="B119">
        <v>1170</v>
      </c>
      <c r="C119">
        <v>23054</v>
      </c>
      <c r="D119">
        <f t="shared" si="3"/>
        <v>230.54</v>
      </c>
    </row>
    <row r="120" spans="1:4">
      <c r="A120">
        <f t="shared" si="2"/>
        <v>118</v>
      </c>
      <c r="B120">
        <v>1180</v>
      </c>
      <c r="C120">
        <v>23213</v>
      </c>
      <c r="D120">
        <f t="shared" si="3"/>
        <v>232.13</v>
      </c>
    </row>
    <row r="121" spans="1:4">
      <c r="A121">
        <f t="shared" si="2"/>
        <v>119</v>
      </c>
      <c r="B121">
        <v>1190</v>
      </c>
      <c r="C121">
        <v>23372</v>
      </c>
      <c r="D121">
        <f t="shared" si="3"/>
        <v>233.72</v>
      </c>
    </row>
    <row r="122" spans="1:4">
      <c r="A122">
        <f t="shared" si="2"/>
        <v>120</v>
      </c>
      <c r="B122">
        <v>1200</v>
      </c>
      <c r="C122">
        <v>23531</v>
      </c>
      <c r="D122">
        <f t="shared" si="3"/>
        <v>235.31</v>
      </c>
    </row>
    <row r="123" spans="1:4">
      <c r="A123">
        <f t="shared" si="2"/>
        <v>121</v>
      </c>
      <c r="B123">
        <v>1210</v>
      </c>
      <c r="C123">
        <v>23689</v>
      </c>
      <c r="D123">
        <f t="shared" si="3"/>
        <v>236.89</v>
      </c>
    </row>
    <row r="124" spans="1:4">
      <c r="A124">
        <f t="shared" si="2"/>
        <v>122</v>
      </c>
      <c r="B124">
        <v>1220</v>
      </c>
      <c r="C124">
        <v>23848</v>
      </c>
      <c r="D124">
        <f t="shared" si="3"/>
        <v>238.48</v>
      </c>
    </row>
    <row r="125" spans="1:4">
      <c r="A125">
        <f t="shared" si="2"/>
        <v>123</v>
      </c>
      <c r="B125">
        <v>1230</v>
      </c>
      <c r="C125">
        <v>24007</v>
      </c>
      <c r="D125">
        <f t="shared" si="3"/>
        <v>240.07</v>
      </c>
    </row>
    <row r="126" spans="1:4">
      <c r="A126">
        <f t="shared" si="2"/>
        <v>124</v>
      </c>
      <c r="B126">
        <v>1240</v>
      </c>
      <c r="C126">
        <v>24166</v>
      </c>
      <c r="D126">
        <f t="shared" si="3"/>
        <v>241.66</v>
      </c>
    </row>
    <row r="127" spans="1:4">
      <c r="A127">
        <f t="shared" si="2"/>
        <v>125</v>
      </c>
      <c r="B127">
        <v>1250</v>
      </c>
      <c r="C127">
        <v>24325</v>
      </c>
      <c r="D127">
        <f t="shared" si="3"/>
        <v>243.25</v>
      </c>
    </row>
    <row r="128" spans="1:4">
      <c r="A128">
        <f t="shared" si="2"/>
        <v>126</v>
      </c>
      <c r="B128">
        <v>1260</v>
      </c>
      <c r="C128">
        <v>24484</v>
      </c>
      <c r="D128">
        <f t="shared" si="3"/>
        <v>244.84</v>
      </c>
    </row>
    <row r="129" spans="1:4">
      <c r="A129">
        <f t="shared" si="2"/>
        <v>127</v>
      </c>
      <c r="B129">
        <v>1270</v>
      </c>
      <c r="C129">
        <v>24643</v>
      </c>
      <c r="D129">
        <f t="shared" si="3"/>
        <v>246.43</v>
      </c>
    </row>
    <row r="130" spans="1:4">
      <c r="A130">
        <f t="shared" si="2"/>
        <v>128</v>
      </c>
      <c r="B130">
        <v>1280</v>
      </c>
      <c r="C130">
        <v>24802</v>
      </c>
      <c r="D130">
        <f t="shared" si="3"/>
        <v>248.02</v>
      </c>
    </row>
    <row r="131" spans="1:4">
      <c r="A131">
        <f t="shared" ref="A131:A194" si="4">$B131/10</f>
        <v>129</v>
      </c>
      <c r="B131">
        <v>1290</v>
      </c>
      <c r="C131">
        <v>24960</v>
      </c>
      <c r="D131">
        <f t="shared" ref="D131:D194" si="5">$C131/100</f>
        <v>249.6</v>
      </c>
    </row>
    <row r="132" spans="1:4">
      <c r="A132">
        <f t="shared" si="4"/>
        <v>130</v>
      </c>
      <c r="B132">
        <v>1300</v>
      </c>
      <c r="C132">
        <v>25119</v>
      </c>
      <c r="D132">
        <f t="shared" si="5"/>
        <v>251.19</v>
      </c>
    </row>
    <row r="133" spans="1:4">
      <c r="A133">
        <f t="shared" si="4"/>
        <v>131</v>
      </c>
      <c r="B133">
        <v>1310</v>
      </c>
      <c r="C133">
        <v>25278</v>
      </c>
      <c r="D133">
        <f t="shared" si="5"/>
        <v>252.78</v>
      </c>
    </row>
    <row r="134" spans="1:4">
      <c r="A134">
        <f t="shared" si="4"/>
        <v>132</v>
      </c>
      <c r="B134">
        <v>1320</v>
      </c>
      <c r="C134">
        <v>25437</v>
      </c>
      <c r="D134">
        <f t="shared" si="5"/>
        <v>254.37</v>
      </c>
    </row>
    <row r="135" spans="1:4">
      <c r="A135">
        <f t="shared" si="4"/>
        <v>133</v>
      </c>
      <c r="B135">
        <v>1330</v>
      </c>
      <c r="C135">
        <v>25596</v>
      </c>
      <c r="D135">
        <f t="shared" si="5"/>
        <v>255.96</v>
      </c>
    </row>
    <row r="136" spans="1:4">
      <c r="A136">
        <f t="shared" si="4"/>
        <v>134</v>
      </c>
      <c r="B136">
        <v>1340</v>
      </c>
      <c r="C136">
        <v>25755</v>
      </c>
      <c r="D136">
        <f t="shared" si="5"/>
        <v>257.55</v>
      </c>
    </row>
    <row r="137" spans="1:4">
      <c r="A137">
        <f t="shared" si="4"/>
        <v>135</v>
      </c>
      <c r="B137">
        <v>1350</v>
      </c>
      <c r="C137">
        <v>25914</v>
      </c>
      <c r="D137">
        <f t="shared" si="5"/>
        <v>259.14</v>
      </c>
    </row>
    <row r="138" spans="1:4">
      <c r="A138">
        <f t="shared" si="4"/>
        <v>136</v>
      </c>
      <c r="B138">
        <v>1360</v>
      </c>
      <c r="C138">
        <v>26073</v>
      </c>
      <c r="D138">
        <f t="shared" si="5"/>
        <v>260.73</v>
      </c>
    </row>
    <row r="139" spans="1:4">
      <c r="A139">
        <f t="shared" si="4"/>
        <v>137</v>
      </c>
      <c r="B139">
        <v>1370</v>
      </c>
      <c r="C139">
        <v>26231</v>
      </c>
      <c r="D139">
        <f t="shared" si="5"/>
        <v>262.31</v>
      </c>
    </row>
    <row r="140" spans="1:4">
      <c r="A140">
        <f t="shared" si="4"/>
        <v>138</v>
      </c>
      <c r="B140">
        <v>1380</v>
      </c>
      <c r="C140">
        <v>26390</v>
      </c>
      <c r="D140">
        <f t="shared" si="5"/>
        <v>263.89999999999998</v>
      </c>
    </row>
    <row r="141" spans="1:4">
      <c r="A141">
        <f t="shared" si="4"/>
        <v>139</v>
      </c>
      <c r="B141">
        <v>1390</v>
      </c>
      <c r="C141">
        <v>26549</v>
      </c>
      <c r="D141">
        <f t="shared" si="5"/>
        <v>265.49</v>
      </c>
    </row>
    <row r="142" spans="1:4">
      <c r="A142">
        <f t="shared" si="4"/>
        <v>140</v>
      </c>
      <c r="B142">
        <v>1400</v>
      </c>
      <c r="C142">
        <v>26708</v>
      </c>
      <c r="D142">
        <f t="shared" si="5"/>
        <v>267.08</v>
      </c>
    </row>
    <row r="143" spans="1:4">
      <c r="A143">
        <f t="shared" si="4"/>
        <v>141</v>
      </c>
      <c r="B143">
        <v>1410</v>
      </c>
      <c r="C143">
        <v>26867</v>
      </c>
      <c r="D143">
        <f t="shared" si="5"/>
        <v>268.67</v>
      </c>
    </row>
    <row r="144" spans="1:4">
      <c r="A144">
        <f t="shared" si="4"/>
        <v>142</v>
      </c>
      <c r="B144">
        <v>1420</v>
      </c>
      <c r="C144">
        <v>27026</v>
      </c>
      <c r="D144">
        <f t="shared" si="5"/>
        <v>270.26</v>
      </c>
    </row>
    <row r="145" spans="1:4">
      <c r="A145">
        <f t="shared" si="4"/>
        <v>143</v>
      </c>
      <c r="B145">
        <v>1430</v>
      </c>
      <c r="C145">
        <v>27185</v>
      </c>
      <c r="D145">
        <f t="shared" si="5"/>
        <v>271.85000000000002</v>
      </c>
    </row>
    <row r="146" spans="1:4">
      <c r="A146">
        <f t="shared" si="4"/>
        <v>144</v>
      </c>
      <c r="B146">
        <v>1440</v>
      </c>
      <c r="C146">
        <v>27343</v>
      </c>
      <c r="D146">
        <f t="shared" si="5"/>
        <v>273.43</v>
      </c>
    </row>
    <row r="147" spans="1:4">
      <c r="A147">
        <f t="shared" si="4"/>
        <v>145</v>
      </c>
      <c r="B147">
        <v>1450</v>
      </c>
      <c r="C147">
        <v>27502</v>
      </c>
      <c r="D147">
        <f t="shared" si="5"/>
        <v>275.02</v>
      </c>
    </row>
    <row r="148" spans="1:4">
      <c r="A148">
        <f t="shared" si="4"/>
        <v>146</v>
      </c>
      <c r="B148">
        <v>1460</v>
      </c>
      <c r="C148">
        <v>27661</v>
      </c>
      <c r="D148">
        <f t="shared" si="5"/>
        <v>276.61</v>
      </c>
    </row>
    <row r="149" spans="1:4">
      <c r="A149">
        <f t="shared" si="4"/>
        <v>147</v>
      </c>
      <c r="B149">
        <v>1470</v>
      </c>
      <c r="C149">
        <v>27820</v>
      </c>
      <c r="D149">
        <f t="shared" si="5"/>
        <v>278.2</v>
      </c>
    </row>
    <row r="150" spans="1:4">
      <c r="A150">
        <f t="shared" si="4"/>
        <v>148</v>
      </c>
      <c r="B150">
        <v>1480</v>
      </c>
      <c r="C150">
        <v>27979</v>
      </c>
      <c r="D150">
        <f t="shared" si="5"/>
        <v>279.79000000000002</v>
      </c>
    </row>
    <row r="151" spans="1:4">
      <c r="A151">
        <f t="shared" si="4"/>
        <v>149</v>
      </c>
      <c r="B151">
        <v>1490</v>
      </c>
      <c r="C151">
        <v>28138</v>
      </c>
      <c r="D151">
        <f t="shared" si="5"/>
        <v>281.38</v>
      </c>
    </row>
    <row r="152" spans="1:4">
      <c r="A152">
        <f t="shared" si="4"/>
        <v>150</v>
      </c>
      <c r="B152">
        <v>1500</v>
      </c>
      <c r="C152">
        <v>28297</v>
      </c>
      <c r="D152">
        <f t="shared" si="5"/>
        <v>282.97000000000003</v>
      </c>
    </row>
    <row r="153" spans="1:4">
      <c r="A153">
        <f t="shared" si="4"/>
        <v>151</v>
      </c>
      <c r="B153">
        <v>1510</v>
      </c>
      <c r="C153">
        <v>28456</v>
      </c>
      <c r="D153">
        <f t="shared" si="5"/>
        <v>284.56</v>
      </c>
    </row>
    <row r="154" spans="1:4">
      <c r="A154">
        <f t="shared" si="4"/>
        <v>152</v>
      </c>
      <c r="B154">
        <v>1520</v>
      </c>
      <c r="C154">
        <v>28614</v>
      </c>
      <c r="D154">
        <f t="shared" si="5"/>
        <v>286.14</v>
      </c>
    </row>
    <row r="155" spans="1:4">
      <c r="A155">
        <f t="shared" si="4"/>
        <v>153</v>
      </c>
      <c r="B155">
        <v>1530</v>
      </c>
      <c r="C155">
        <v>28773</v>
      </c>
      <c r="D155">
        <f t="shared" si="5"/>
        <v>287.73</v>
      </c>
    </row>
    <row r="156" spans="1:4">
      <c r="A156">
        <f t="shared" si="4"/>
        <v>154</v>
      </c>
      <c r="B156">
        <v>1540</v>
      </c>
      <c r="C156">
        <v>28932</v>
      </c>
      <c r="D156">
        <f t="shared" si="5"/>
        <v>289.32</v>
      </c>
    </row>
    <row r="157" spans="1:4">
      <c r="A157">
        <f t="shared" si="4"/>
        <v>155</v>
      </c>
      <c r="B157">
        <v>1550</v>
      </c>
      <c r="C157">
        <v>29091</v>
      </c>
      <c r="D157">
        <f t="shared" si="5"/>
        <v>290.91000000000003</v>
      </c>
    </row>
    <row r="158" spans="1:4">
      <c r="A158">
        <f t="shared" si="4"/>
        <v>156</v>
      </c>
      <c r="B158">
        <v>1560</v>
      </c>
      <c r="C158">
        <v>29250</v>
      </c>
      <c r="D158">
        <f t="shared" si="5"/>
        <v>292.5</v>
      </c>
    </row>
    <row r="159" spans="1:4">
      <c r="A159">
        <f t="shared" si="4"/>
        <v>157</v>
      </c>
      <c r="B159">
        <v>1570</v>
      </c>
      <c r="C159">
        <v>29409</v>
      </c>
      <c r="D159">
        <f t="shared" si="5"/>
        <v>294.08999999999997</v>
      </c>
    </row>
    <row r="160" spans="1:4">
      <c r="A160">
        <f t="shared" si="4"/>
        <v>158</v>
      </c>
      <c r="B160">
        <v>1580</v>
      </c>
      <c r="C160">
        <v>29568</v>
      </c>
      <c r="D160">
        <f t="shared" si="5"/>
        <v>295.68</v>
      </c>
    </row>
    <row r="161" spans="1:4">
      <c r="A161">
        <f t="shared" si="4"/>
        <v>159</v>
      </c>
      <c r="B161">
        <v>1590</v>
      </c>
      <c r="C161">
        <v>29727</v>
      </c>
      <c r="D161">
        <f t="shared" si="5"/>
        <v>297.27</v>
      </c>
    </row>
    <row r="162" spans="1:4">
      <c r="A162">
        <f t="shared" si="4"/>
        <v>160</v>
      </c>
      <c r="B162">
        <v>1600</v>
      </c>
      <c r="C162">
        <v>29885</v>
      </c>
      <c r="D162">
        <f t="shared" si="5"/>
        <v>298.85000000000002</v>
      </c>
    </row>
    <row r="163" spans="1:4">
      <c r="A163">
        <f t="shared" si="4"/>
        <v>161</v>
      </c>
      <c r="B163">
        <v>1610</v>
      </c>
      <c r="C163">
        <v>30044</v>
      </c>
      <c r="D163">
        <f t="shared" si="5"/>
        <v>300.44</v>
      </c>
    </row>
    <row r="164" spans="1:4">
      <c r="A164">
        <f t="shared" si="4"/>
        <v>162</v>
      </c>
      <c r="B164">
        <v>1620</v>
      </c>
      <c r="C164">
        <v>30203</v>
      </c>
      <c r="D164">
        <f t="shared" si="5"/>
        <v>302.02999999999997</v>
      </c>
    </row>
    <row r="165" spans="1:4">
      <c r="A165">
        <f t="shared" si="4"/>
        <v>163</v>
      </c>
      <c r="B165">
        <v>1630</v>
      </c>
      <c r="C165">
        <v>30362</v>
      </c>
      <c r="D165">
        <f t="shared" si="5"/>
        <v>303.62</v>
      </c>
    </row>
    <row r="166" spans="1:4">
      <c r="A166">
        <f t="shared" si="4"/>
        <v>164</v>
      </c>
      <c r="B166">
        <v>1640</v>
      </c>
      <c r="C166">
        <v>30521</v>
      </c>
      <c r="D166">
        <f t="shared" si="5"/>
        <v>305.20999999999998</v>
      </c>
    </row>
    <row r="167" spans="1:4">
      <c r="A167">
        <f t="shared" si="4"/>
        <v>165</v>
      </c>
      <c r="B167">
        <v>1650</v>
      </c>
      <c r="C167">
        <v>30680</v>
      </c>
      <c r="D167">
        <f t="shared" si="5"/>
        <v>306.8</v>
      </c>
    </row>
    <row r="168" spans="1:4">
      <c r="A168">
        <f t="shared" si="4"/>
        <v>166</v>
      </c>
      <c r="B168">
        <v>1660</v>
      </c>
      <c r="C168">
        <v>30837</v>
      </c>
      <c r="D168">
        <f t="shared" si="5"/>
        <v>308.37</v>
      </c>
    </row>
    <row r="169" spans="1:4">
      <c r="A169">
        <f t="shared" si="4"/>
        <v>167</v>
      </c>
      <c r="B169">
        <v>1670</v>
      </c>
      <c r="C169">
        <v>30995</v>
      </c>
      <c r="D169">
        <f t="shared" si="5"/>
        <v>309.95</v>
      </c>
    </row>
    <row r="170" spans="1:4">
      <c r="A170">
        <f t="shared" si="4"/>
        <v>168</v>
      </c>
      <c r="B170">
        <v>1680</v>
      </c>
      <c r="C170">
        <v>31151</v>
      </c>
      <c r="D170">
        <f t="shared" si="5"/>
        <v>311.51</v>
      </c>
    </row>
    <row r="171" spans="1:4">
      <c r="A171">
        <f t="shared" si="4"/>
        <v>169</v>
      </c>
      <c r="B171">
        <v>1690</v>
      </c>
      <c r="C171">
        <v>31303</v>
      </c>
      <c r="D171">
        <f t="shared" si="5"/>
        <v>313.02999999999997</v>
      </c>
    </row>
    <row r="172" spans="1:4">
      <c r="A172">
        <f t="shared" si="4"/>
        <v>170</v>
      </c>
      <c r="B172">
        <v>1700</v>
      </c>
      <c r="C172">
        <v>31451</v>
      </c>
      <c r="D172">
        <f t="shared" si="5"/>
        <v>314.51</v>
      </c>
    </row>
    <row r="173" spans="1:4">
      <c r="A173">
        <f t="shared" si="4"/>
        <v>171</v>
      </c>
      <c r="B173">
        <v>1710</v>
      </c>
      <c r="C173">
        <v>31594</v>
      </c>
      <c r="D173">
        <f t="shared" si="5"/>
        <v>315.94</v>
      </c>
    </row>
    <row r="174" spans="1:4">
      <c r="A174">
        <f t="shared" si="4"/>
        <v>172</v>
      </c>
      <c r="B174">
        <v>1720</v>
      </c>
      <c r="C174">
        <v>31732</v>
      </c>
      <c r="D174">
        <f t="shared" si="5"/>
        <v>317.32</v>
      </c>
    </row>
    <row r="175" spans="1:4">
      <c r="A175">
        <f t="shared" si="4"/>
        <v>173</v>
      </c>
      <c r="B175">
        <v>1730</v>
      </c>
      <c r="C175">
        <v>31867</v>
      </c>
      <c r="D175">
        <f t="shared" si="5"/>
        <v>318.67</v>
      </c>
    </row>
    <row r="176" spans="1:4">
      <c r="A176">
        <f t="shared" si="4"/>
        <v>174</v>
      </c>
      <c r="B176">
        <v>1740</v>
      </c>
      <c r="C176">
        <v>31996</v>
      </c>
      <c r="D176">
        <f t="shared" si="5"/>
        <v>319.95999999999998</v>
      </c>
    </row>
    <row r="177" spans="1:4">
      <c r="A177">
        <f t="shared" si="4"/>
        <v>175</v>
      </c>
      <c r="B177">
        <v>1750</v>
      </c>
      <c r="C177">
        <v>32120</v>
      </c>
      <c r="D177">
        <f t="shared" si="5"/>
        <v>321.2</v>
      </c>
    </row>
    <row r="178" spans="1:4">
      <c r="A178">
        <f t="shared" si="4"/>
        <v>176</v>
      </c>
      <c r="B178">
        <v>1760</v>
      </c>
      <c r="C178">
        <v>32241</v>
      </c>
      <c r="D178">
        <f t="shared" si="5"/>
        <v>322.41000000000003</v>
      </c>
    </row>
    <row r="179" spans="1:4">
      <c r="A179">
        <f t="shared" si="4"/>
        <v>177</v>
      </c>
      <c r="B179">
        <v>1770</v>
      </c>
      <c r="C179">
        <v>32357</v>
      </c>
      <c r="D179">
        <f t="shared" si="5"/>
        <v>323.57</v>
      </c>
    </row>
    <row r="180" spans="1:4">
      <c r="A180">
        <f t="shared" si="4"/>
        <v>178</v>
      </c>
      <c r="B180">
        <v>1780</v>
      </c>
      <c r="C180">
        <v>32468</v>
      </c>
      <c r="D180">
        <f t="shared" si="5"/>
        <v>324.68</v>
      </c>
    </row>
    <row r="181" spans="1:4">
      <c r="A181">
        <f t="shared" si="4"/>
        <v>179</v>
      </c>
      <c r="B181">
        <v>1790</v>
      </c>
      <c r="C181">
        <v>32576</v>
      </c>
      <c r="D181">
        <f t="shared" si="5"/>
        <v>325.76</v>
      </c>
    </row>
    <row r="182" spans="1:4">
      <c r="A182">
        <f t="shared" si="4"/>
        <v>180</v>
      </c>
      <c r="B182">
        <v>1800</v>
      </c>
      <c r="C182">
        <v>32680</v>
      </c>
      <c r="D182">
        <f t="shared" si="5"/>
        <v>326.8</v>
      </c>
    </row>
    <row r="183" spans="1:4">
      <c r="A183">
        <f t="shared" si="4"/>
        <v>181</v>
      </c>
      <c r="B183">
        <v>1810</v>
      </c>
      <c r="C183">
        <v>32780</v>
      </c>
      <c r="D183">
        <f t="shared" si="5"/>
        <v>327.8</v>
      </c>
    </row>
    <row r="184" spans="1:4">
      <c r="A184">
        <f t="shared" si="4"/>
        <v>182</v>
      </c>
      <c r="B184">
        <v>1820</v>
      </c>
      <c r="C184">
        <v>32876</v>
      </c>
      <c r="D184">
        <f t="shared" si="5"/>
        <v>328.76</v>
      </c>
    </row>
    <row r="185" spans="1:4">
      <c r="A185">
        <f t="shared" si="4"/>
        <v>183</v>
      </c>
      <c r="B185">
        <v>1830</v>
      </c>
      <c r="C185">
        <v>32968</v>
      </c>
      <c r="D185">
        <f t="shared" si="5"/>
        <v>329.68</v>
      </c>
    </row>
    <row r="186" spans="1:4">
      <c r="A186">
        <f t="shared" si="4"/>
        <v>184</v>
      </c>
      <c r="B186">
        <v>1840</v>
      </c>
      <c r="C186">
        <v>33056</v>
      </c>
      <c r="D186">
        <f t="shared" si="5"/>
        <v>330.56</v>
      </c>
    </row>
    <row r="187" spans="1:4">
      <c r="A187">
        <f t="shared" si="4"/>
        <v>185</v>
      </c>
      <c r="B187">
        <v>1850</v>
      </c>
      <c r="C187">
        <v>33141</v>
      </c>
      <c r="D187">
        <f t="shared" si="5"/>
        <v>331.41</v>
      </c>
    </row>
    <row r="188" spans="1:4">
      <c r="A188">
        <f t="shared" si="4"/>
        <v>186</v>
      </c>
      <c r="B188">
        <v>1860</v>
      </c>
      <c r="C188">
        <v>33221</v>
      </c>
      <c r="D188">
        <f t="shared" si="5"/>
        <v>332.21</v>
      </c>
    </row>
    <row r="189" spans="1:4">
      <c r="A189">
        <f t="shared" si="4"/>
        <v>187</v>
      </c>
      <c r="B189">
        <v>1870</v>
      </c>
      <c r="C189">
        <v>33299</v>
      </c>
      <c r="D189">
        <f t="shared" si="5"/>
        <v>332.99</v>
      </c>
    </row>
    <row r="190" spans="1:4">
      <c r="A190">
        <f t="shared" si="4"/>
        <v>188</v>
      </c>
      <c r="B190">
        <v>1880</v>
      </c>
      <c r="C190">
        <v>33373</v>
      </c>
      <c r="D190">
        <f t="shared" si="5"/>
        <v>333.73</v>
      </c>
    </row>
    <row r="191" spans="1:4">
      <c r="A191">
        <f t="shared" si="4"/>
        <v>189</v>
      </c>
      <c r="B191">
        <v>1890</v>
      </c>
      <c r="C191">
        <v>33444</v>
      </c>
      <c r="D191">
        <f t="shared" si="5"/>
        <v>334.44</v>
      </c>
    </row>
    <row r="192" spans="1:4">
      <c r="A192">
        <f t="shared" si="4"/>
        <v>190</v>
      </c>
      <c r="B192">
        <v>1900</v>
      </c>
      <c r="C192">
        <v>33512</v>
      </c>
      <c r="D192">
        <f t="shared" si="5"/>
        <v>335.12</v>
      </c>
    </row>
    <row r="193" spans="1:4">
      <c r="A193">
        <f t="shared" si="4"/>
        <v>191</v>
      </c>
      <c r="B193">
        <v>1910</v>
      </c>
      <c r="C193">
        <v>33576</v>
      </c>
      <c r="D193">
        <f t="shared" si="5"/>
        <v>335.76</v>
      </c>
    </row>
    <row r="194" spans="1:4">
      <c r="A194">
        <f t="shared" si="4"/>
        <v>192</v>
      </c>
      <c r="B194">
        <v>1920</v>
      </c>
      <c r="C194">
        <v>33638</v>
      </c>
      <c r="D194">
        <f t="shared" si="5"/>
        <v>336.38</v>
      </c>
    </row>
    <row r="195" spans="1:4">
      <c r="A195">
        <f t="shared" ref="A195:A253" si="6">$B195/10</f>
        <v>193</v>
      </c>
      <c r="B195">
        <v>1930</v>
      </c>
      <c r="C195">
        <v>33697</v>
      </c>
      <c r="D195">
        <f t="shared" ref="D195:D253" si="7">$C195/100</f>
        <v>336.97</v>
      </c>
    </row>
    <row r="196" spans="1:4">
      <c r="A196">
        <f t="shared" si="6"/>
        <v>194</v>
      </c>
      <c r="B196">
        <v>1940</v>
      </c>
      <c r="C196">
        <v>33751</v>
      </c>
      <c r="D196">
        <f t="shared" si="7"/>
        <v>337.51</v>
      </c>
    </row>
    <row r="197" spans="1:4">
      <c r="A197">
        <f t="shared" si="6"/>
        <v>195</v>
      </c>
      <c r="B197">
        <v>1950</v>
      </c>
      <c r="C197">
        <v>33804</v>
      </c>
      <c r="D197">
        <f t="shared" si="7"/>
        <v>338.04</v>
      </c>
    </row>
    <row r="198" spans="1:4">
      <c r="A198">
        <f t="shared" si="6"/>
        <v>196</v>
      </c>
      <c r="B198">
        <v>1960</v>
      </c>
      <c r="C198">
        <v>33854</v>
      </c>
      <c r="D198">
        <f t="shared" si="7"/>
        <v>338.54</v>
      </c>
    </row>
    <row r="199" spans="1:4">
      <c r="A199">
        <f t="shared" si="6"/>
        <v>197</v>
      </c>
      <c r="B199">
        <v>1970</v>
      </c>
      <c r="C199">
        <v>33901</v>
      </c>
      <c r="D199">
        <f t="shared" si="7"/>
        <v>339.01</v>
      </c>
    </row>
    <row r="200" spans="1:4">
      <c r="A200">
        <f t="shared" si="6"/>
        <v>198</v>
      </c>
      <c r="B200">
        <v>1980</v>
      </c>
      <c r="C200">
        <v>33946</v>
      </c>
      <c r="D200">
        <f t="shared" si="7"/>
        <v>339.46</v>
      </c>
    </row>
    <row r="201" spans="1:4">
      <c r="A201">
        <f t="shared" si="6"/>
        <v>199</v>
      </c>
      <c r="B201">
        <v>1990</v>
      </c>
      <c r="C201">
        <v>33988</v>
      </c>
      <c r="D201">
        <f t="shared" si="7"/>
        <v>339.88</v>
      </c>
    </row>
    <row r="202" spans="1:4">
      <c r="A202">
        <f t="shared" si="6"/>
        <v>200</v>
      </c>
      <c r="B202">
        <v>2000</v>
      </c>
      <c r="C202">
        <v>34028</v>
      </c>
      <c r="D202">
        <f t="shared" si="7"/>
        <v>340.28</v>
      </c>
    </row>
    <row r="203" spans="1:4">
      <c r="A203">
        <f t="shared" si="6"/>
        <v>201</v>
      </c>
      <c r="B203">
        <v>2010</v>
      </c>
      <c r="C203">
        <v>34065</v>
      </c>
      <c r="D203">
        <f t="shared" si="7"/>
        <v>340.65</v>
      </c>
    </row>
    <row r="204" spans="1:4">
      <c r="A204">
        <f t="shared" si="6"/>
        <v>202</v>
      </c>
      <c r="B204">
        <v>2020</v>
      </c>
      <c r="C204">
        <v>34100</v>
      </c>
      <c r="D204">
        <f t="shared" si="7"/>
        <v>341</v>
      </c>
    </row>
    <row r="205" spans="1:4">
      <c r="A205">
        <f t="shared" si="6"/>
        <v>203</v>
      </c>
      <c r="B205">
        <v>2030</v>
      </c>
      <c r="C205">
        <v>34133</v>
      </c>
      <c r="D205">
        <f t="shared" si="7"/>
        <v>341.33</v>
      </c>
    </row>
    <row r="206" spans="1:4">
      <c r="A206">
        <f t="shared" si="6"/>
        <v>204</v>
      </c>
      <c r="B206">
        <v>2040</v>
      </c>
      <c r="C206">
        <v>34163</v>
      </c>
      <c r="D206">
        <f t="shared" si="7"/>
        <v>341.63</v>
      </c>
    </row>
    <row r="207" spans="1:4">
      <c r="A207">
        <f t="shared" si="6"/>
        <v>205</v>
      </c>
      <c r="B207">
        <v>2050</v>
      </c>
      <c r="C207">
        <v>34192</v>
      </c>
      <c r="D207">
        <f t="shared" si="7"/>
        <v>341.92</v>
      </c>
    </row>
    <row r="208" spans="1:4">
      <c r="A208">
        <f t="shared" si="6"/>
        <v>206</v>
      </c>
      <c r="B208">
        <v>2060</v>
      </c>
      <c r="C208">
        <v>34218</v>
      </c>
      <c r="D208">
        <f t="shared" si="7"/>
        <v>342.18</v>
      </c>
    </row>
    <row r="209" spans="1:4">
      <c r="A209">
        <f t="shared" si="6"/>
        <v>207</v>
      </c>
      <c r="B209">
        <v>2070</v>
      </c>
      <c r="C209">
        <v>34242</v>
      </c>
      <c r="D209">
        <f t="shared" si="7"/>
        <v>342.42</v>
      </c>
    </row>
    <row r="210" spans="1:4">
      <c r="A210">
        <f t="shared" si="6"/>
        <v>208</v>
      </c>
      <c r="B210">
        <v>2080</v>
      </c>
      <c r="C210">
        <v>34265</v>
      </c>
      <c r="D210">
        <f t="shared" si="7"/>
        <v>342.65</v>
      </c>
    </row>
    <row r="211" spans="1:4">
      <c r="A211">
        <f t="shared" si="6"/>
        <v>209</v>
      </c>
      <c r="B211">
        <v>2090</v>
      </c>
      <c r="C211">
        <v>34286</v>
      </c>
      <c r="D211">
        <f t="shared" si="7"/>
        <v>342.86</v>
      </c>
    </row>
    <row r="212" spans="1:4">
      <c r="A212">
        <f t="shared" si="6"/>
        <v>210</v>
      </c>
      <c r="B212">
        <v>2100</v>
      </c>
      <c r="C212">
        <v>34305</v>
      </c>
      <c r="D212">
        <f t="shared" si="7"/>
        <v>343.05</v>
      </c>
    </row>
    <row r="213" spans="1:4">
      <c r="A213">
        <f t="shared" si="6"/>
        <v>211</v>
      </c>
      <c r="B213">
        <v>2110</v>
      </c>
      <c r="C213">
        <v>34323</v>
      </c>
      <c r="D213">
        <f t="shared" si="7"/>
        <v>343.23</v>
      </c>
    </row>
    <row r="214" spans="1:4">
      <c r="A214">
        <f t="shared" si="6"/>
        <v>212</v>
      </c>
      <c r="B214">
        <v>2120</v>
      </c>
      <c r="C214">
        <v>34339</v>
      </c>
      <c r="D214">
        <f t="shared" si="7"/>
        <v>343.39</v>
      </c>
    </row>
    <row r="215" spans="1:4">
      <c r="A215">
        <f t="shared" si="6"/>
        <v>213</v>
      </c>
      <c r="B215">
        <v>2130</v>
      </c>
      <c r="C215">
        <v>34354</v>
      </c>
      <c r="D215">
        <f t="shared" si="7"/>
        <v>343.54</v>
      </c>
    </row>
    <row r="216" spans="1:4">
      <c r="A216">
        <f t="shared" si="6"/>
        <v>214</v>
      </c>
      <c r="B216">
        <v>2140</v>
      </c>
      <c r="C216">
        <v>34367</v>
      </c>
      <c r="D216">
        <f t="shared" si="7"/>
        <v>343.67</v>
      </c>
    </row>
    <row r="217" spans="1:4">
      <c r="A217">
        <f t="shared" si="6"/>
        <v>215</v>
      </c>
      <c r="B217">
        <v>2150</v>
      </c>
      <c r="C217">
        <v>34379</v>
      </c>
      <c r="D217">
        <f t="shared" si="7"/>
        <v>343.79</v>
      </c>
    </row>
    <row r="218" spans="1:4">
      <c r="A218">
        <f t="shared" si="6"/>
        <v>216</v>
      </c>
      <c r="B218">
        <v>2160</v>
      </c>
      <c r="C218">
        <v>34390</v>
      </c>
      <c r="D218">
        <f t="shared" si="7"/>
        <v>343.9</v>
      </c>
    </row>
    <row r="219" spans="1:4">
      <c r="A219">
        <f t="shared" si="6"/>
        <v>217</v>
      </c>
      <c r="B219">
        <v>2170</v>
      </c>
      <c r="C219">
        <v>34400</v>
      </c>
      <c r="D219">
        <f t="shared" si="7"/>
        <v>344</v>
      </c>
    </row>
    <row r="220" spans="1:4">
      <c r="A220">
        <f t="shared" si="6"/>
        <v>218</v>
      </c>
      <c r="B220">
        <v>2180</v>
      </c>
      <c r="C220">
        <v>34408</v>
      </c>
      <c r="D220">
        <f t="shared" si="7"/>
        <v>344.08</v>
      </c>
    </row>
    <row r="221" spans="1:4">
      <c r="A221">
        <f t="shared" si="6"/>
        <v>219</v>
      </c>
      <c r="B221">
        <v>2190</v>
      </c>
      <c r="C221">
        <v>34416</v>
      </c>
      <c r="D221">
        <f t="shared" si="7"/>
        <v>344.16</v>
      </c>
    </row>
    <row r="222" spans="1:4">
      <c r="A222">
        <f t="shared" si="6"/>
        <v>220</v>
      </c>
      <c r="B222">
        <v>2200</v>
      </c>
      <c r="C222">
        <v>34423</v>
      </c>
      <c r="D222">
        <f t="shared" si="7"/>
        <v>344.23</v>
      </c>
    </row>
    <row r="223" spans="1:4">
      <c r="A223">
        <f t="shared" si="6"/>
        <v>221</v>
      </c>
      <c r="B223">
        <v>2210</v>
      </c>
      <c r="C223">
        <v>34428</v>
      </c>
      <c r="D223">
        <f t="shared" si="7"/>
        <v>344.28</v>
      </c>
    </row>
    <row r="224" spans="1:4">
      <c r="A224">
        <f t="shared" si="6"/>
        <v>222</v>
      </c>
      <c r="B224">
        <v>2220</v>
      </c>
      <c r="C224">
        <v>34433</v>
      </c>
      <c r="D224">
        <f t="shared" si="7"/>
        <v>344.33</v>
      </c>
    </row>
    <row r="225" spans="1:4">
      <c r="A225">
        <f t="shared" si="6"/>
        <v>223</v>
      </c>
      <c r="B225">
        <v>2230</v>
      </c>
      <c r="C225">
        <v>34438</v>
      </c>
      <c r="D225">
        <f t="shared" si="7"/>
        <v>344.38</v>
      </c>
    </row>
    <row r="226" spans="1:4">
      <c r="A226">
        <f t="shared" si="6"/>
        <v>224</v>
      </c>
      <c r="B226">
        <v>2240</v>
      </c>
      <c r="C226">
        <v>34442</v>
      </c>
      <c r="D226">
        <f t="shared" si="7"/>
        <v>344.42</v>
      </c>
    </row>
    <row r="227" spans="1:4">
      <c r="A227">
        <f t="shared" si="6"/>
        <v>225</v>
      </c>
      <c r="B227">
        <v>2250</v>
      </c>
      <c r="C227">
        <v>34445</v>
      </c>
      <c r="D227">
        <f t="shared" si="7"/>
        <v>344.45</v>
      </c>
    </row>
    <row r="228" spans="1:4">
      <c r="A228">
        <f t="shared" si="6"/>
        <v>226</v>
      </c>
      <c r="B228">
        <v>2260</v>
      </c>
      <c r="C228">
        <v>34448</v>
      </c>
      <c r="D228">
        <f t="shared" si="7"/>
        <v>344.48</v>
      </c>
    </row>
    <row r="229" spans="1:4">
      <c r="A229">
        <f t="shared" si="6"/>
        <v>227</v>
      </c>
      <c r="B229">
        <v>2270</v>
      </c>
      <c r="C229">
        <v>34450</v>
      </c>
      <c r="D229">
        <f t="shared" si="7"/>
        <v>344.5</v>
      </c>
    </row>
    <row r="230" spans="1:4">
      <c r="A230">
        <f t="shared" si="6"/>
        <v>228</v>
      </c>
      <c r="B230">
        <v>2280</v>
      </c>
      <c r="C230">
        <v>34452</v>
      </c>
      <c r="D230">
        <f t="shared" si="7"/>
        <v>344.52</v>
      </c>
    </row>
    <row r="231" spans="1:4">
      <c r="A231">
        <f t="shared" si="6"/>
        <v>229</v>
      </c>
      <c r="B231">
        <v>2290</v>
      </c>
      <c r="C231">
        <v>34454</v>
      </c>
      <c r="D231">
        <f t="shared" si="7"/>
        <v>344.54</v>
      </c>
    </row>
    <row r="232" spans="1:4">
      <c r="A232">
        <f t="shared" si="6"/>
        <v>230</v>
      </c>
      <c r="B232">
        <v>2300</v>
      </c>
      <c r="C232">
        <v>34456</v>
      </c>
      <c r="D232">
        <f t="shared" si="7"/>
        <v>344.56</v>
      </c>
    </row>
    <row r="233" spans="1:4">
      <c r="A233">
        <f t="shared" si="6"/>
        <v>231</v>
      </c>
      <c r="B233">
        <v>2310</v>
      </c>
      <c r="C233">
        <v>34458</v>
      </c>
      <c r="D233">
        <f t="shared" si="7"/>
        <v>344.58</v>
      </c>
    </row>
    <row r="234" spans="1:4">
      <c r="A234">
        <f t="shared" si="6"/>
        <v>232</v>
      </c>
      <c r="B234">
        <v>2320</v>
      </c>
      <c r="C234">
        <v>34460</v>
      </c>
      <c r="D234">
        <f t="shared" si="7"/>
        <v>344.6</v>
      </c>
    </row>
    <row r="235" spans="1:4">
      <c r="A235">
        <f t="shared" si="6"/>
        <v>233</v>
      </c>
      <c r="B235">
        <v>2330</v>
      </c>
      <c r="C235">
        <v>34462</v>
      </c>
      <c r="D235">
        <f t="shared" si="7"/>
        <v>344.62</v>
      </c>
    </row>
    <row r="236" spans="1:4">
      <c r="A236">
        <f t="shared" si="6"/>
        <v>234</v>
      </c>
      <c r="B236">
        <v>2340</v>
      </c>
      <c r="C236">
        <v>34464</v>
      </c>
      <c r="D236">
        <f t="shared" si="7"/>
        <v>344.64</v>
      </c>
    </row>
    <row r="237" spans="1:4">
      <c r="A237">
        <f t="shared" si="6"/>
        <v>235</v>
      </c>
      <c r="B237">
        <v>2350</v>
      </c>
      <c r="C237">
        <v>34466</v>
      </c>
      <c r="D237">
        <f t="shared" si="7"/>
        <v>344.66</v>
      </c>
    </row>
    <row r="238" spans="1:4">
      <c r="A238">
        <f t="shared" si="6"/>
        <v>236</v>
      </c>
      <c r="B238">
        <v>2360</v>
      </c>
      <c r="C238">
        <v>34468</v>
      </c>
      <c r="D238">
        <f t="shared" si="7"/>
        <v>344.68</v>
      </c>
    </row>
    <row r="239" spans="1:4">
      <c r="A239">
        <f t="shared" si="6"/>
        <v>237</v>
      </c>
      <c r="B239">
        <v>2370</v>
      </c>
      <c r="C239">
        <v>34470</v>
      </c>
      <c r="D239">
        <f t="shared" si="7"/>
        <v>344.7</v>
      </c>
    </row>
    <row r="240" spans="1:4">
      <c r="A240">
        <f t="shared" si="6"/>
        <v>238</v>
      </c>
      <c r="B240">
        <v>2380</v>
      </c>
      <c r="C240">
        <v>34472</v>
      </c>
      <c r="D240">
        <f t="shared" si="7"/>
        <v>344.72</v>
      </c>
    </row>
    <row r="241" spans="1:4">
      <c r="A241">
        <f t="shared" si="6"/>
        <v>239</v>
      </c>
      <c r="B241">
        <v>2390</v>
      </c>
      <c r="C241">
        <v>34474</v>
      </c>
      <c r="D241">
        <f t="shared" si="7"/>
        <v>344.74</v>
      </c>
    </row>
    <row r="242" spans="1:4">
      <c r="A242">
        <f t="shared" si="6"/>
        <v>240</v>
      </c>
      <c r="B242">
        <v>2400</v>
      </c>
      <c r="C242">
        <v>34476</v>
      </c>
      <c r="D242">
        <f t="shared" si="7"/>
        <v>344.76</v>
      </c>
    </row>
    <row r="243" spans="1:4">
      <c r="A243">
        <f t="shared" si="6"/>
        <v>241</v>
      </c>
      <c r="B243">
        <v>2410</v>
      </c>
      <c r="C243">
        <v>34478</v>
      </c>
      <c r="D243">
        <f t="shared" si="7"/>
        <v>344.78</v>
      </c>
    </row>
    <row r="244" spans="1:4">
      <c r="A244">
        <f t="shared" si="6"/>
        <v>242</v>
      </c>
      <c r="B244">
        <v>2420</v>
      </c>
      <c r="C244">
        <v>34480</v>
      </c>
      <c r="D244">
        <f t="shared" si="7"/>
        <v>344.8</v>
      </c>
    </row>
    <row r="245" spans="1:4">
      <c r="A245">
        <f t="shared" si="6"/>
        <v>243</v>
      </c>
      <c r="B245">
        <v>2430</v>
      </c>
      <c r="C245">
        <v>34482</v>
      </c>
      <c r="D245">
        <f t="shared" si="7"/>
        <v>344.82</v>
      </c>
    </row>
    <row r="246" spans="1:4">
      <c r="A246">
        <f t="shared" si="6"/>
        <v>244</v>
      </c>
      <c r="B246">
        <v>2440</v>
      </c>
      <c r="C246">
        <v>34484</v>
      </c>
      <c r="D246">
        <f t="shared" si="7"/>
        <v>344.84</v>
      </c>
    </row>
    <row r="247" spans="1:4">
      <c r="A247">
        <f t="shared" si="6"/>
        <v>245</v>
      </c>
      <c r="B247">
        <v>2450</v>
      </c>
      <c r="C247">
        <v>34486</v>
      </c>
      <c r="D247">
        <f t="shared" si="7"/>
        <v>344.86</v>
      </c>
    </row>
    <row r="248" spans="1:4">
      <c r="A248">
        <f t="shared" si="6"/>
        <v>246</v>
      </c>
      <c r="B248">
        <v>2460</v>
      </c>
      <c r="C248">
        <v>34488</v>
      </c>
      <c r="D248">
        <f t="shared" si="7"/>
        <v>344.88</v>
      </c>
    </row>
    <row r="249" spans="1:4">
      <c r="A249">
        <f t="shared" si="6"/>
        <v>247</v>
      </c>
      <c r="B249">
        <v>2470</v>
      </c>
      <c r="C249">
        <v>34490</v>
      </c>
      <c r="D249">
        <f t="shared" si="7"/>
        <v>344.9</v>
      </c>
    </row>
    <row r="250" spans="1:4">
      <c r="A250">
        <f t="shared" si="6"/>
        <v>248</v>
      </c>
      <c r="B250">
        <v>2480</v>
      </c>
      <c r="C250">
        <v>34492</v>
      </c>
      <c r="D250">
        <f t="shared" si="7"/>
        <v>344.92</v>
      </c>
    </row>
    <row r="251" spans="1:4">
      <c r="A251">
        <f t="shared" si="6"/>
        <v>249</v>
      </c>
      <c r="B251">
        <v>2490</v>
      </c>
      <c r="C251">
        <v>34494</v>
      </c>
      <c r="D251">
        <f t="shared" si="7"/>
        <v>344.94</v>
      </c>
    </row>
    <row r="252" spans="1:4">
      <c r="A252">
        <f t="shared" si="6"/>
        <v>250</v>
      </c>
      <c r="B252">
        <v>2500</v>
      </c>
      <c r="C252">
        <v>34496</v>
      </c>
      <c r="D252">
        <f t="shared" si="7"/>
        <v>344.96</v>
      </c>
    </row>
    <row r="253" spans="1:4">
      <c r="A253">
        <f t="shared" si="6"/>
        <v>251</v>
      </c>
      <c r="B253">
        <v>2510</v>
      </c>
      <c r="C253">
        <v>34500</v>
      </c>
      <c r="D253">
        <f t="shared" si="7"/>
        <v>345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D544"/>
  <sheetViews>
    <sheetView topLeftCell="A106" workbookViewId="0">
      <selection activeCell="F131" sqref="F131"/>
    </sheetView>
  </sheetViews>
  <sheetFormatPr baseColWidth="10" defaultColWidth="10.3984375" defaultRowHeight="14.25"/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>
        <f>B2/10</f>
        <v>0</v>
      </c>
      <c r="B2">
        <v>0</v>
      </c>
      <c r="C2">
        <v>1155</v>
      </c>
      <c r="D2">
        <f>C2/100</f>
        <v>11.55</v>
      </c>
    </row>
    <row r="3" spans="1:4">
      <c r="A3">
        <f t="shared" ref="A3:A66" si="0">B3/10</f>
        <v>1</v>
      </c>
      <c r="B3">
        <v>10</v>
      </c>
      <c r="C3">
        <v>1217</v>
      </c>
      <c r="D3">
        <f t="shared" ref="D3:D66" si="1">C3/100</f>
        <v>12.17</v>
      </c>
    </row>
    <row r="4" spans="1:4">
      <c r="A4">
        <f t="shared" si="0"/>
        <v>2</v>
      </c>
      <c r="B4">
        <v>20</v>
      </c>
      <c r="C4">
        <v>1278</v>
      </c>
      <c r="D4">
        <f t="shared" si="1"/>
        <v>12.78</v>
      </c>
    </row>
    <row r="5" spans="1:4">
      <c r="A5">
        <f t="shared" si="0"/>
        <v>3</v>
      </c>
      <c r="B5">
        <v>30</v>
      </c>
      <c r="C5">
        <v>1340</v>
      </c>
      <c r="D5">
        <f t="shared" si="1"/>
        <v>13.4</v>
      </c>
    </row>
    <row r="6" spans="1:4">
      <c r="A6">
        <f t="shared" si="0"/>
        <v>4</v>
      </c>
      <c r="B6">
        <v>40</v>
      </c>
      <c r="C6">
        <v>1401</v>
      </c>
      <c r="D6">
        <f t="shared" si="1"/>
        <v>14.01</v>
      </c>
    </row>
    <row r="7" spans="1:4">
      <c r="A7">
        <f t="shared" si="0"/>
        <v>5</v>
      </c>
      <c r="B7">
        <v>50</v>
      </c>
      <c r="C7">
        <v>1463</v>
      </c>
      <c r="D7">
        <f t="shared" si="1"/>
        <v>14.63</v>
      </c>
    </row>
    <row r="8" spans="1:4">
      <c r="A8">
        <f t="shared" si="0"/>
        <v>6</v>
      </c>
      <c r="B8">
        <v>60</v>
      </c>
      <c r="C8">
        <v>1524</v>
      </c>
      <c r="D8">
        <f t="shared" si="1"/>
        <v>15.24</v>
      </c>
    </row>
    <row r="9" spans="1:4">
      <c r="A9">
        <f t="shared" si="0"/>
        <v>7</v>
      </c>
      <c r="B9">
        <v>70</v>
      </c>
      <c r="C9">
        <v>1586</v>
      </c>
      <c r="D9">
        <f t="shared" si="1"/>
        <v>15.86</v>
      </c>
    </row>
    <row r="10" spans="1:4">
      <c r="A10">
        <f t="shared" si="0"/>
        <v>8</v>
      </c>
      <c r="B10">
        <v>80</v>
      </c>
      <c r="C10">
        <v>1647</v>
      </c>
      <c r="D10">
        <f t="shared" si="1"/>
        <v>16.47</v>
      </c>
    </row>
    <row r="11" spans="1:4">
      <c r="A11">
        <f t="shared" si="0"/>
        <v>9</v>
      </c>
      <c r="B11">
        <v>90</v>
      </c>
      <c r="C11">
        <v>1709</v>
      </c>
      <c r="D11">
        <f t="shared" si="1"/>
        <v>17.09</v>
      </c>
    </row>
    <row r="12" spans="1:4">
      <c r="A12">
        <f t="shared" si="0"/>
        <v>10</v>
      </c>
      <c r="B12">
        <v>100</v>
      </c>
      <c r="C12">
        <v>1770</v>
      </c>
      <c r="D12">
        <f t="shared" si="1"/>
        <v>17.7</v>
      </c>
    </row>
    <row r="13" spans="1:4">
      <c r="A13">
        <f t="shared" si="0"/>
        <v>11</v>
      </c>
      <c r="B13">
        <v>110</v>
      </c>
      <c r="C13">
        <v>1831</v>
      </c>
      <c r="D13">
        <f t="shared" si="1"/>
        <v>18.309999999999999</v>
      </c>
    </row>
    <row r="14" spans="1:4">
      <c r="A14">
        <f t="shared" si="0"/>
        <v>12</v>
      </c>
      <c r="B14">
        <v>120</v>
      </c>
      <c r="C14">
        <v>1893</v>
      </c>
      <c r="D14">
        <f t="shared" si="1"/>
        <v>18.93</v>
      </c>
    </row>
    <row r="15" spans="1:4">
      <c r="A15">
        <f t="shared" si="0"/>
        <v>13</v>
      </c>
      <c r="B15">
        <v>130</v>
      </c>
      <c r="C15">
        <v>1954</v>
      </c>
      <c r="D15">
        <f t="shared" si="1"/>
        <v>19.54</v>
      </c>
    </row>
    <row r="16" spans="1:4">
      <c r="A16">
        <f t="shared" si="0"/>
        <v>14</v>
      </c>
      <c r="B16">
        <v>140</v>
      </c>
      <c r="C16">
        <v>2016</v>
      </c>
      <c r="D16">
        <f t="shared" si="1"/>
        <v>20.16</v>
      </c>
    </row>
    <row r="17" spans="1:4">
      <c r="A17">
        <f t="shared" si="0"/>
        <v>15</v>
      </c>
      <c r="B17">
        <v>150</v>
      </c>
      <c r="C17">
        <v>2077</v>
      </c>
      <c r="D17">
        <f t="shared" si="1"/>
        <v>20.77</v>
      </c>
    </row>
    <row r="18" spans="1:4">
      <c r="A18">
        <f t="shared" si="0"/>
        <v>16</v>
      </c>
      <c r="B18">
        <v>160</v>
      </c>
      <c r="C18">
        <v>2139</v>
      </c>
      <c r="D18">
        <f t="shared" si="1"/>
        <v>21.39</v>
      </c>
    </row>
    <row r="19" spans="1:4">
      <c r="A19">
        <f t="shared" si="0"/>
        <v>17</v>
      </c>
      <c r="B19">
        <v>170</v>
      </c>
      <c r="C19">
        <v>2200</v>
      </c>
      <c r="D19">
        <f t="shared" si="1"/>
        <v>22</v>
      </c>
    </row>
    <row r="20" spans="1:4">
      <c r="A20">
        <f t="shared" si="0"/>
        <v>18</v>
      </c>
      <c r="B20">
        <v>180</v>
      </c>
      <c r="C20">
        <v>2262</v>
      </c>
      <c r="D20">
        <f t="shared" si="1"/>
        <v>22.62</v>
      </c>
    </row>
    <row r="21" spans="1:4">
      <c r="A21">
        <f t="shared" si="0"/>
        <v>19</v>
      </c>
      <c r="B21">
        <v>190</v>
      </c>
      <c r="C21">
        <v>2323</v>
      </c>
      <c r="D21">
        <f t="shared" si="1"/>
        <v>23.23</v>
      </c>
    </row>
    <row r="22" spans="1:4">
      <c r="A22">
        <f t="shared" si="0"/>
        <v>20</v>
      </c>
      <c r="B22">
        <v>200</v>
      </c>
      <c r="C22">
        <v>2385</v>
      </c>
      <c r="D22">
        <f t="shared" si="1"/>
        <v>23.85</v>
      </c>
    </row>
    <row r="23" spans="1:4">
      <c r="A23">
        <f t="shared" si="0"/>
        <v>21</v>
      </c>
      <c r="B23">
        <v>210</v>
      </c>
      <c r="C23">
        <v>2446</v>
      </c>
      <c r="D23">
        <f t="shared" si="1"/>
        <v>24.46</v>
      </c>
    </row>
    <row r="24" spans="1:4">
      <c r="A24">
        <f t="shared" si="0"/>
        <v>22</v>
      </c>
      <c r="B24">
        <v>220</v>
      </c>
      <c r="C24">
        <v>2508</v>
      </c>
      <c r="D24">
        <f t="shared" si="1"/>
        <v>25.08</v>
      </c>
    </row>
    <row r="25" spans="1:4">
      <c r="A25">
        <f t="shared" si="0"/>
        <v>23</v>
      </c>
      <c r="B25">
        <v>230</v>
      </c>
      <c r="C25">
        <v>2569</v>
      </c>
      <c r="D25">
        <f t="shared" si="1"/>
        <v>25.69</v>
      </c>
    </row>
    <row r="26" spans="1:4">
      <c r="A26">
        <f t="shared" si="0"/>
        <v>24</v>
      </c>
      <c r="B26">
        <v>240</v>
      </c>
      <c r="C26">
        <v>2631</v>
      </c>
      <c r="D26">
        <f t="shared" si="1"/>
        <v>26.31</v>
      </c>
    </row>
    <row r="27" spans="1:4">
      <c r="A27">
        <f t="shared" si="0"/>
        <v>25</v>
      </c>
      <c r="B27">
        <v>250</v>
      </c>
      <c r="C27">
        <v>2692</v>
      </c>
      <c r="D27">
        <f t="shared" si="1"/>
        <v>26.92</v>
      </c>
    </row>
    <row r="28" spans="1:4">
      <c r="A28">
        <f t="shared" si="0"/>
        <v>26</v>
      </c>
      <c r="B28">
        <v>260</v>
      </c>
      <c r="C28">
        <v>2754</v>
      </c>
      <c r="D28">
        <f t="shared" si="1"/>
        <v>27.54</v>
      </c>
    </row>
    <row r="29" spans="1:4">
      <c r="A29">
        <f t="shared" si="0"/>
        <v>27</v>
      </c>
      <c r="B29">
        <v>270</v>
      </c>
      <c r="C29">
        <v>2815</v>
      </c>
      <c r="D29">
        <f t="shared" si="1"/>
        <v>28.15</v>
      </c>
    </row>
    <row r="30" spans="1:4">
      <c r="A30">
        <f t="shared" si="0"/>
        <v>28</v>
      </c>
      <c r="B30">
        <v>280</v>
      </c>
      <c r="C30">
        <v>2876</v>
      </c>
      <c r="D30">
        <f t="shared" si="1"/>
        <v>28.76</v>
      </c>
    </row>
    <row r="31" spans="1:4">
      <c r="A31">
        <f t="shared" si="0"/>
        <v>29</v>
      </c>
      <c r="B31">
        <v>290</v>
      </c>
      <c r="C31">
        <v>2938</v>
      </c>
      <c r="D31">
        <f t="shared" si="1"/>
        <v>29.38</v>
      </c>
    </row>
    <row r="32" spans="1:4">
      <c r="A32">
        <f t="shared" si="0"/>
        <v>30</v>
      </c>
      <c r="B32">
        <v>300</v>
      </c>
      <c r="C32">
        <v>2999</v>
      </c>
      <c r="D32">
        <f t="shared" si="1"/>
        <v>29.99</v>
      </c>
    </row>
    <row r="33" spans="1:4">
      <c r="A33">
        <f t="shared" si="0"/>
        <v>31</v>
      </c>
      <c r="B33">
        <v>310</v>
      </c>
      <c r="C33">
        <v>3061</v>
      </c>
      <c r="D33">
        <f t="shared" si="1"/>
        <v>30.61</v>
      </c>
    </row>
    <row r="34" spans="1:4">
      <c r="A34">
        <f t="shared" si="0"/>
        <v>32</v>
      </c>
      <c r="B34">
        <v>320</v>
      </c>
      <c r="C34">
        <v>3122</v>
      </c>
      <c r="D34">
        <f t="shared" si="1"/>
        <v>31.22</v>
      </c>
    </row>
    <row r="35" spans="1:4">
      <c r="A35">
        <f t="shared" si="0"/>
        <v>33</v>
      </c>
      <c r="B35">
        <v>330</v>
      </c>
      <c r="C35">
        <v>3184</v>
      </c>
      <c r="D35">
        <f t="shared" si="1"/>
        <v>31.84</v>
      </c>
    </row>
    <row r="36" spans="1:4">
      <c r="A36">
        <f t="shared" si="0"/>
        <v>34</v>
      </c>
      <c r="B36">
        <v>340</v>
      </c>
      <c r="C36">
        <v>3245</v>
      </c>
      <c r="D36">
        <f t="shared" si="1"/>
        <v>32.450000000000003</v>
      </c>
    </row>
    <row r="37" spans="1:4">
      <c r="A37">
        <f t="shared" si="0"/>
        <v>35</v>
      </c>
      <c r="B37">
        <v>350</v>
      </c>
      <c r="C37">
        <v>3307</v>
      </c>
      <c r="D37">
        <f t="shared" si="1"/>
        <v>33.07</v>
      </c>
    </row>
    <row r="38" spans="1:4">
      <c r="A38">
        <f t="shared" si="0"/>
        <v>36</v>
      </c>
      <c r="B38">
        <v>360</v>
      </c>
      <c r="C38">
        <v>3368</v>
      </c>
      <c r="D38">
        <f t="shared" si="1"/>
        <v>33.68</v>
      </c>
    </row>
    <row r="39" spans="1:4">
      <c r="A39">
        <f t="shared" si="0"/>
        <v>37</v>
      </c>
      <c r="B39">
        <v>370</v>
      </c>
      <c r="C39">
        <v>3430</v>
      </c>
      <c r="D39">
        <f t="shared" si="1"/>
        <v>34.299999999999997</v>
      </c>
    </row>
    <row r="40" spans="1:4">
      <c r="A40">
        <f t="shared" si="0"/>
        <v>38</v>
      </c>
      <c r="B40">
        <v>380</v>
      </c>
      <c r="C40">
        <v>3491</v>
      </c>
      <c r="D40">
        <f t="shared" si="1"/>
        <v>34.909999999999997</v>
      </c>
    </row>
    <row r="41" spans="1:4">
      <c r="A41">
        <f t="shared" si="0"/>
        <v>39</v>
      </c>
      <c r="B41">
        <v>390</v>
      </c>
      <c r="C41">
        <v>3553</v>
      </c>
      <c r="D41">
        <f t="shared" si="1"/>
        <v>35.53</v>
      </c>
    </row>
    <row r="42" spans="1:4">
      <c r="A42">
        <f t="shared" si="0"/>
        <v>40</v>
      </c>
      <c r="B42">
        <v>400</v>
      </c>
      <c r="C42">
        <v>3614</v>
      </c>
      <c r="D42">
        <f t="shared" si="1"/>
        <v>36.14</v>
      </c>
    </row>
    <row r="43" spans="1:4">
      <c r="A43">
        <f t="shared" si="0"/>
        <v>41</v>
      </c>
      <c r="B43">
        <v>410</v>
      </c>
      <c r="C43">
        <v>3676</v>
      </c>
      <c r="D43">
        <f t="shared" si="1"/>
        <v>36.76</v>
      </c>
    </row>
    <row r="44" spans="1:4">
      <c r="A44">
        <f t="shared" si="0"/>
        <v>42</v>
      </c>
      <c r="B44">
        <v>420</v>
      </c>
      <c r="C44">
        <v>3737</v>
      </c>
      <c r="D44">
        <f t="shared" si="1"/>
        <v>37.369999999999997</v>
      </c>
    </row>
    <row r="45" spans="1:4">
      <c r="A45">
        <f t="shared" si="0"/>
        <v>43</v>
      </c>
      <c r="B45">
        <v>430</v>
      </c>
      <c r="C45">
        <v>3799</v>
      </c>
      <c r="D45">
        <f t="shared" si="1"/>
        <v>37.99</v>
      </c>
    </row>
    <row r="46" spans="1:4">
      <c r="A46">
        <f t="shared" si="0"/>
        <v>44</v>
      </c>
      <c r="B46">
        <v>440</v>
      </c>
      <c r="C46">
        <v>3860</v>
      </c>
      <c r="D46">
        <f t="shared" si="1"/>
        <v>38.6</v>
      </c>
    </row>
    <row r="47" spans="1:4">
      <c r="A47">
        <f t="shared" si="0"/>
        <v>45</v>
      </c>
      <c r="B47">
        <v>450</v>
      </c>
      <c r="C47">
        <v>3921</v>
      </c>
      <c r="D47">
        <f t="shared" si="1"/>
        <v>39.21</v>
      </c>
    </row>
    <row r="48" spans="1:4">
      <c r="A48">
        <f t="shared" si="0"/>
        <v>46</v>
      </c>
      <c r="B48">
        <v>460</v>
      </c>
      <c r="C48">
        <v>3983</v>
      </c>
      <c r="D48">
        <f t="shared" si="1"/>
        <v>39.83</v>
      </c>
    </row>
    <row r="49" spans="1:4">
      <c r="A49">
        <f t="shared" si="0"/>
        <v>47</v>
      </c>
      <c r="B49">
        <v>470</v>
      </c>
      <c r="C49">
        <v>4044</v>
      </c>
      <c r="D49">
        <f t="shared" si="1"/>
        <v>40.44</v>
      </c>
    </row>
    <row r="50" spans="1:4">
      <c r="A50">
        <f t="shared" si="0"/>
        <v>48</v>
      </c>
      <c r="B50">
        <v>480</v>
      </c>
      <c r="C50">
        <v>4106</v>
      </c>
      <c r="D50">
        <f t="shared" si="1"/>
        <v>41.06</v>
      </c>
    </row>
    <row r="51" spans="1:4">
      <c r="A51">
        <f t="shared" si="0"/>
        <v>49</v>
      </c>
      <c r="B51">
        <v>490</v>
      </c>
      <c r="C51">
        <v>4167</v>
      </c>
      <c r="D51">
        <f t="shared" si="1"/>
        <v>41.67</v>
      </c>
    </row>
    <row r="52" spans="1:4">
      <c r="A52">
        <f t="shared" si="0"/>
        <v>50</v>
      </c>
      <c r="B52">
        <v>500</v>
      </c>
      <c r="C52">
        <v>4229</v>
      </c>
      <c r="D52">
        <f t="shared" si="1"/>
        <v>42.29</v>
      </c>
    </row>
    <row r="53" spans="1:4">
      <c r="A53">
        <f t="shared" si="0"/>
        <v>51</v>
      </c>
      <c r="B53">
        <v>510</v>
      </c>
      <c r="C53">
        <v>4290</v>
      </c>
      <c r="D53">
        <f t="shared" si="1"/>
        <v>42.9</v>
      </c>
    </row>
    <row r="54" spans="1:4">
      <c r="A54">
        <f t="shared" si="0"/>
        <v>52</v>
      </c>
      <c r="B54">
        <v>520</v>
      </c>
      <c r="C54">
        <v>4352</v>
      </c>
      <c r="D54">
        <f t="shared" si="1"/>
        <v>43.52</v>
      </c>
    </row>
    <row r="55" spans="1:4">
      <c r="A55">
        <f t="shared" si="0"/>
        <v>53</v>
      </c>
      <c r="B55">
        <v>530</v>
      </c>
      <c r="C55">
        <v>4413</v>
      </c>
      <c r="D55">
        <f t="shared" si="1"/>
        <v>44.13</v>
      </c>
    </row>
    <row r="56" spans="1:4">
      <c r="A56">
        <f t="shared" si="0"/>
        <v>54</v>
      </c>
      <c r="B56">
        <v>540</v>
      </c>
      <c r="C56">
        <v>4475</v>
      </c>
      <c r="D56">
        <f t="shared" si="1"/>
        <v>44.75</v>
      </c>
    </row>
    <row r="57" spans="1:4">
      <c r="A57">
        <f t="shared" si="0"/>
        <v>55</v>
      </c>
      <c r="B57">
        <v>550</v>
      </c>
      <c r="C57">
        <v>4536</v>
      </c>
      <c r="D57">
        <f t="shared" si="1"/>
        <v>45.36</v>
      </c>
    </row>
    <row r="58" spans="1:4">
      <c r="A58">
        <f t="shared" si="0"/>
        <v>56</v>
      </c>
      <c r="B58">
        <v>560</v>
      </c>
      <c r="C58">
        <v>4598</v>
      </c>
      <c r="D58">
        <f t="shared" si="1"/>
        <v>45.98</v>
      </c>
    </row>
    <row r="59" spans="1:4">
      <c r="A59">
        <f t="shared" si="0"/>
        <v>57</v>
      </c>
      <c r="B59">
        <v>570</v>
      </c>
      <c r="C59">
        <v>4659</v>
      </c>
      <c r="D59">
        <f t="shared" si="1"/>
        <v>46.59</v>
      </c>
    </row>
    <row r="60" spans="1:4">
      <c r="A60">
        <f t="shared" si="0"/>
        <v>58</v>
      </c>
      <c r="B60">
        <v>580</v>
      </c>
      <c r="C60">
        <v>4721</v>
      </c>
      <c r="D60">
        <f t="shared" si="1"/>
        <v>47.21</v>
      </c>
    </row>
    <row r="61" spans="1:4">
      <c r="A61">
        <f t="shared" si="0"/>
        <v>59</v>
      </c>
      <c r="B61">
        <v>590</v>
      </c>
      <c r="C61">
        <v>4782</v>
      </c>
      <c r="D61">
        <f t="shared" si="1"/>
        <v>47.82</v>
      </c>
    </row>
    <row r="62" spans="1:4">
      <c r="A62">
        <f t="shared" si="0"/>
        <v>60</v>
      </c>
      <c r="B62">
        <v>600</v>
      </c>
      <c r="C62">
        <v>4844</v>
      </c>
      <c r="D62">
        <f t="shared" si="1"/>
        <v>48.44</v>
      </c>
    </row>
    <row r="63" spans="1:4">
      <c r="A63">
        <f t="shared" si="0"/>
        <v>61</v>
      </c>
      <c r="B63">
        <v>610</v>
      </c>
      <c r="C63">
        <v>4905</v>
      </c>
      <c r="D63">
        <f t="shared" si="1"/>
        <v>49.05</v>
      </c>
    </row>
    <row r="64" spans="1:4">
      <c r="A64">
        <f t="shared" si="0"/>
        <v>62</v>
      </c>
      <c r="B64">
        <v>620</v>
      </c>
      <c r="C64">
        <v>4966</v>
      </c>
      <c r="D64">
        <f t="shared" si="1"/>
        <v>49.66</v>
      </c>
    </row>
    <row r="65" spans="1:4">
      <c r="A65">
        <f t="shared" si="0"/>
        <v>63</v>
      </c>
      <c r="B65">
        <v>630</v>
      </c>
      <c r="C65">
        <v>5028</v>
      </c>
      <c r="D65">
        <f t="shared" si="1"/>
        <v>50.28</v>
      </c>
    </row>
    <row r="66" spans="1:4">
      <c r="A66">
        <f t="shared" si="0"/>
        <v>64</v>
      </c>
      <c r="B66">
        <v>640</v>
      </c>
      <c r="C66">
        <v>5089</v>
      </c>
      <c r="D66">
        <f t="shared" si="1"/>
        <v>50.89</v>
      </c>
    </row>
    <row r="67" spans="1:4">
      <c r="A67">
        <f t="shared" ref="A67:A130" si="2">B67/10</f>
        <v>65</v>
      </c>
      <c r="B67">
        <v>650</v>
      </c>
      <c r="C67">
        <v>5151</v>
      </c>
      <c r="D67">
        <f t="shared" ref="D67:D130" si="3">C67/100</f>
        <v>51.51</v>
      </c>
    </row>
    <row r="68" spans="1:4">
      <c r="A68">
        <f t="shared" si="2"/>
        <v>66</v>
      </c>
      <c r="B68">
        <v>660</v>
      </c>
      <c r="C68">
        <v>5212</v>
      </c>
      <c r="D68">
        <f t="shared" si="3"/>
        <v>52.12</v>
      </c>
    </row>
    <row r="69" spans="1:4">
      <c r="A69">
        <f t="shared" si="2"/>
        <v>67</v>
      </c>
      <c r="B69">
        <v>670</v>
      </c>
      <c r="C69">
        <v>5274</v>
      </c>
      <c r="D69">
        <f t="shared" si="3"/>
        <v>52.74</v>
      </c>
    </row>
    <row r="70" spans="1:4">
      <c r="A70">
        <f t="shared" si="2"/>
        <v>68</v>
      </c>
      <c r="B70">
        <v>680</v>
      </c>
      <c r="C70">
        <v>5335</v>
      </c>
      <c r="D70">
        <f t="shared" si="3"/>
        <v>53.35</v>
      </c>
    </row>
    <row r="71" spans="1:4">
      <c r="A71">
        <f t="shared" si="2"/>
        <v>69</v>
      </c>
      <c r="B71">
        <v>690</v>
      </c>
      <c r="C71">
        <v>5397</v>
      </c>
      <c r="D71">
        <f t="shared" si="3"/>
        <v>53.97</v>
      </c>
    </row>
    <row r="72" spans="1:4">
      <c r="A72">
        <f t="shared" si="2"/>
        <v>70</v>
      </c>
      <c r="B72">
        <v>700</v>
      </c>
      <c r="C72">
        <v>5458</v>
      </c>
      <c r="D72">
        <f t="shared" si="3"/>
        <v>54.58</v>
      </c>
    </row>
    <row r="73" spans="1:4">
      <c r="A73">
        <f t="shared" si="2"/>
        <v>71</v>
      </c>
      <c r="B73">
        <v>710</v>
      </c>
      <c r="C73">
        <v>5520</v>
      </c>
      <c r="D73">
        <f t="shared" si="3"/>
        <v>55.2</v>
      </c>
    </row>
    <row r="74" spans="1:4">
      <c r="A74">
        <f t="shared" si="2"/>
        <v>72</v>
      </c>
      <c r="B74">
        <v>720</v>
      </c>
      <c r="C74">
        <v>5581</v>
      </c>
      <c r="D74">
        <f t="shared" si="3"/>
        <v>55.81</v>
      </c>
    </row>
    <row r="75" spans="1:4">
      <c r="A75">
        <f t="shared" si="2"/>
        <v>73</v>
      </c>
      <c r="B75">
        <v>730</v>
      </c>
      <c r="C75">
        <v>5643</v>
      </c>
      <c r="D75">
        <f t="shared" si="3"/>
        <v>56.43</v>
      </c>
    </row>
    <row r="76" spans="1:4">
      <c r="A76">
        <f t="shared" si="2"/>
        <v>74</v>
      </c>
      <c r="B76">
        <v>740</v>
      </c>
      <c r="C76">
        <v>5704</v>
      </c>
      <c r="D76">
        <f t="shared" si="3"/>
        <v>57.04</v>
      </c>
    </row>
    <row r="77" spans="1:4">
      <c r="A77">
        <f t="shared" si="2"/>
        <v>75</v>
      </c>
      <c r="B77">
        <v>750</v>
      </c>
      <c r="C77">
        <v>5766</v>
      </c>
      <c r="D77">
        <f t="shared" si="3"/>
        <v>57.66</v>
      </c>
    </row>
    <row r="78" spans="1:4">
      <c r="A78">
        <f t="shared" si="2"/>
        <v>76</v>
      </c>
      <c r="B78">
        <v>760</v>
      </c>
      <c r="C78">
        <v>5827</v>
      </c>
      <c r="D78">
        <f t="shared" si="3"/>
        <v>58.27</v>
      </c>
    </row>
    <row r="79" spans="1:4">
      <c r="A79">
        <f t="shared" si="2"/>
        <v>77</v>
      </c>
      <c r="B79">
        <v>770</v>
      </c>
      <c r="C79">
        <v>5889</v>
      </c>
      <c r="D79">
        <f t="shared" si="3"/>
        <v>58.89</v>
      </c>
    </row>
    <row r="80" spans="1:4">
      <c r="A80">
        <f t="shared" si="2"/>
        <v>78</v>
      </c>
      <c r="B80">
        <v>780</v>
      </c>
      <c r="C80">
        <v>5950</v>
      </c>
      <c r="D80">
        <f t="shared" si="3"/>
        <v>59.5</v>
      </c>
    </row>
    <row r="81" spans="1:4">
      <c r="A81">
        <f t="shared" si="2"/>
        <v>79</v>
      </c>
      <c r="B81">
        <v>790</v>
      </c>
      <c r="C81">
        <v>6011</v>
      </c>
      <c r="D81">
        <f t="shared" si="3"/>
        <v>60.11</v>
      </c>
    </row>
    <row r="82" spans="1:4">
      <c r="A82">
        <f t="shared" si="2"/>
        <v>80</v>
      </c>
      <c r="B82">
        <v>800</v>
      </c>
      <c r="C82">
        <v>6073</v>
      </c>
      <c r="D82">
        <f t="shared" si="3"/>
        <v>60.73</v>
      </c>
    </row>
    <row r="83" spans="1:4">
      <c r="A83">
        <f t="shared" si="2"/>
        <v>81</v>
      </c>
      <c r="B83">
        <v>810</v>
      </c>
      <c r="C83">
        <v>6134</v>
      </c>
      <c r="D83">
        <f t="shared" si="3"/>
        <v>61.34</v>
      </c>
    </row>
    <row r="84" spans="1:4">
      <c r="A84">
        <f t="shared" si="2"/>
        <v>82</v>
      </c>
      <c r="B84">
        <v>820</v>
      </c>
      <c r="C84">
        <v>6196</v>
      </c>
      <c r="D84">
        <f t="shared" si="3"/>
        <v>61.96</v>
      </c>
    </row>
    <row r="85" spans="1:4">
      <c r="A85">
        <f t="shared" si="2"/>
        <v>83</v>
      </c>
      <c r="B85">
        <v>830</v>
      </c>
      <c r="C85">
        <v>6257</v>
      </c>
      <c r="D85">
        <f t="shared" si="3"/>
        <v>62.57</v>
      </c>
    </row>
    <row r="86" spans="1:4">
      <c r="A86">
        <f t="shared" si="2"/>
        <v>84</v>
      </c>
      <c r="B86">
        <v>840</v>
      </c>
      <c r="C86">
        <v>6319</v>
      </c>
      <c r="D86">
        <f t="shared" si="3"/>
        <v>63.19</v>
      </c>
    </row>
    <row r="87" spans="1:4">
      <c r="A87">
        <f t="shared" si="2"/>
        <v>85</v>
      </c>
      <c r="B87">
        <v>850</v>
      </c>
      <c r="C87">
        <v>6380</v>
      </c>
      <c r="D87">
        <f t="shared" si="3"/>
        <v>63.8</v>
      </c>
    </row>
    <row r="88" spans="1:4">
      <c r="A88">
        <f t="shared" si="2"/>
        <v>86</v>
      </c>
      <c r="B88">
        <v>860</v>
      </c>
      <c r="C88">
        <v>6442</v>
      </c>
      <c r="D88">
        <f t="shared" si="3"/>
        <v>64.42</v>
      </c>
    </row>
    <row r="89" spans="1:4">
      <c r="A89">
        <f t="shared" si="2"/>
        <v>87</v>
      </c>
      <c r="B89">
        <v>870</v>
      </c>
      <c r="C89">
        <v>6503</v>
      </c>
      <c r="D89">
        <f t="shared" si="3"/>
        <v>65.03</v>
      </c>
    </row>
    <row r="90" spans="1:4">
      <c r="A90">
        <f t="shared" si="2"/>
        <v>88</v>
      </c>
      <c r="B90">
        <v>880</v>
      </c>
      <c r="C90">
        <v>6565</v>
      </c>
      <c r="D90">
        <f t="shared" si="3"/>
        <v>65.650000000000006</v>
      </c>
    </row>
    <row r="91" spans="1:4">
      <c r="A91">
        <f t="shared" si="2"/>
        <v>89</v>
      </c>
      <c r="B91">
        <v>890</v>
      </c>
      <c r="C91">
        <v>6626</v>
      </c>
      <c r="D91">
        <f t="shared" si="3"/>
        <v>66.260000000000005</v>
      </c>
    </row>
    <row r="92" spans="1:4">
      <c r="A92">
        <f t="shared" si="2"/>
        <v>90</v>
      </c>
      <c r="B92">
        <v>900</v>
      </c>
      <c r="C92">
        <v>6688</v>
      </c>
      <c r="D92">
        <f t="shared" si="3"/>
        <v>66.88</v>
      </c>
    </row>
    <row r="93" spans="1:4">
      <c r="A93">
        <f t="shared" si="2"/>
        <v>91</v>
      </c>
      <c r="B93">
        <v>910</v>
      </c>
      <c r="C93">
        <v>6749</v>
      </c>
      <c r="D93">
        <f t="shared" si="3"/>
        <v>67.489999999999995</v>
      </c>
    </row>
    <row r="94" spans="1:4">
      <c r="A94">
        <f t="shared" si="2"/>
        <v>92</v>
      </c>
      <c r="B94">
        <v>920</v>
      </c>
      <c r="C94">
        <v>6811</v>
      </c>
      <c r="D94">
        <f t="shared" si="3"/>
        <v>68.11</v>
      </c>
    </row>
    <row r="95" spans="1:4">
      <c r="A95">
        <f t="shared" si="2"/>
        <v>93</v>
      </c>
      <c r="B95">
        <v>930</v>
      </c>
      <c r="C95">
        <v>6872</v>
      </c>
      <c r="D95">
        <f t="shared" si="3"/>
        <v>68.72</v>
      </c>
    </row>
    <row r="96" spans="1:4">
      <c r="A96">
        <f t="shared" si="2"/>
        <v>94</v>
      </c>
      <c r="B96">
        <v>940</v>
      </c>
      <c r="C96">
        <v>6934</v>
      </c>
      <c r="D96">
        <f t="shared" si="3"/>
        <v>69.34</v>
      </c>
    </row>
    <row r="97" spans="1:4">
      <c r="A97">
        <f t="shared" si="2"/>
        <v>95</v>
      </c>
      <c r="B97">
        <v>950</v>
      </c>
      <c r="C97">
        <v>6995</v>
      </c>
      <c r="D97">
        <f t="shared" si="3"/>
        <v>69.95</v>
      </c>
    </row>
    <row r="98" spans="1:4">
      <c r="A98">
        <f t="shared" si="2"/>
        <v>96</v>
      </c>
      <c r="B98">
        <v>960</v>
      </c>
      <c r="C98">
        <v>7056</v>
      </c>
      <c r="D98">
        <f t="shared" si="3"/>
        <v>70.56</v>
      </c>
    </row>
    <row r="99" spans="1:4">
      <c r="A99">
        <f t="shared" si="2"/>
        <v>97</v>
      </c>
      <c r="B99">
        <v>970</v>
      </c>
      <c r="C99">
        <v>7118</v>
      </c>
      <c r="D99">
        <f t="shared" si="3"/>
        <v>71.180000000000007</v>
      </c>
    </row>
    <row r="100" spans="1:4">
      <c r="A100">
        <f t="shared" si="2"/>
        <v>98</v>
      </c>
      <c r="B100">
        <v>980</v>
      </c>
      <c r="C100">
        <v>7179</v>
      </c>
      <c r="D100">
        <f t="shared" si="3"/>
        <v>71.790000000000006</v>
      </c>
    </row>
    <row r="101" spans="1:4">
      <c r="A101">
        <f t="shared" si="2"/>
        <v>99</v>
      </c>
      <c r="B101">
        <v>990</v>
      </c>
      <c r="C101">
        <v>7241</v>
      </c>
      <c r="D101">
        <f t="shared" si="3"/>
        <v>72.41</v>
      </c>
    </row>
    <row r="102" spans="1:4">
      <c r="A102">
        <f t="shared" si="2"/>
        <v>100</v>
      </c>
      <c r="B102">
        <v>1000</v>
      </c>
      <c r="C102">
        <v>7302</v>
      </c>
      <c r="D102">
        <f t="shared" si="3"/>
        <v>73.02</v>
      </c>
    </row>
    <row r="103" spans="1:4">
      <c r="A103">
        <f t="shared" si="2"/>
        <v>101</v>
      </c>
      <c r="B103">
        <v>1010</v>
      </c>
      <c r="C103">
        <v>7364</v>
      </c>
      <c r="D103">
        <f t="shared" si="3"/>
        <v>73.64</v>
      </c>
    </row>
    <row r="104" spans="1:4">
      <c r="A104">
        <f t="shared" si="2"/>
        <v>102</v>
      </c>
      <c r="B104">
        <v>1020</v>
      </c>
      <c r="C104">
        <v>7425</v>
      </c>
      <c r="D104">
        <f t="shared" si="3"/>
        <v>74.25</v>
      </c>
    </row>
    <row r="105" spans="1:4">
      <c r="A105">
        <f t="shared" si="2"/>
        <v>103</v>
      </c>
      <c r="B105">
        <v>1030</v>
      </c>
      <c r="C105">
        <v>7487</v>
      </c>
      <c r="D105">
        <f t="shared" si="3"/>
        <v>74.87</v>
      </c>
    </row>
    <row r="106" spans="1:4">
      <c r="A106">
        <f t="shared" si="2"/>
        <v>104</v>
      </c>
      <c r="B106">
        <v>1040</v>
      </c>
      <c r="C106">
        <v>7548</v>
      </c>
      <c r="D106">
        <f t="shared" si="3"/>
        <v>75.48</v>
      </c>
    </row>
    <row r="107" spans="1:4">
      <c r="A107">
        <f t="shared" si="2"/>
        <v>105</v>
      </c>
      <c r="B107">
        <v>1050</v>
      </c>
      <c r="C107">
        <v>7610</v>
      </c>
      <c r="D107">
        <f t="shared" si="3"/>
        <v>76.099999999999994</v>
      </c>
    </row>
    <row r="108" spans="1:4">
      <c r="A108">
        <f t="shared" si="2"/>
        <v>106</v>
      </c>
      <c r="B108">
        <v>1060</v>
      </c>
      <c r="C108">
        <v>7671</v>
      </c>
      <c r="D108">
        <f t="shared" si="3"/>
        <v>76.709999999999994</v>
      </c>
    </row>
    <row r="109" spans="1:4">
      <c r="A109">
        <f t="shared" si="2"/>
        <v>107</v>
      </c>
      <c r="B109">
        <v>1070</v>
      </c>
      <c r="C109">
        <v>7733</v>
      </c>
      <c r="D109">
        <f t="shared" si="3"/>
        <v>77.33</v>
      </c>
    </row>
    <row r="110" spans="1:4">
      <c r="A110">
        <f t="shared" si="2"/>
        <v>108</v>
      </c>
      <c r="B110">
        <v>1080</v>
      </c>
      <c r="C110">
        <v>7794</v>
      </c>
      <c r="D110">
        <f t="shared" si="3"/>
        <v>77.94</v>
      </c>
    </row>
    <row r="111" spans="1:4">
      <c r="A111">
        <f t="shared" si="2"/>
        <v>109</v>
      </c>
      <c r="B111">
        <v>1090</v>
      </c>
      <c r="C111">
        <v>7856</v>
      </c>
      <c r="D111">
        <f t="shared" si="3"/>
        <v>78.56</v>
      </c>
    </row>
    <row r="112" spans="1:4">
      <c r="A112">
        <f t="shared" si="2"/>
        <v>110</v>
      </c>
      <c r="B112">
        <v>1100</v>
      </c>
      <c r="C112">
        <v>7917</v>
      </c>
      <c r="D112">
        <f t="shared" si="3"/>
        <v>79.17</v>
      </c>
    </row>
    <row r="113" spans="1:4">
      <c r="A113">
        <f t="shared" si="2"/>
        <v>111</v>
      </c>
      <c r="B113">
        <v>1110</v>
      </c>
      <c r="C113">
        <v>7978</v>
      </c>
      <c r="D113">
        <f t="shared" si="3"/>
        <v>79.78</v>
      </c>
    </row>
    <row r="114" spans="1:4">
      <c r="A114">
        <f t="shared" si="2"/>
        <v>112</v>
      </c>
      <c r="B114">
        <v>1120</v>
      </c>
      <c r="C114">
        <v>8040</v>
      </c>
      <c r="D114">
        <f t="shared" si="3"/>
        <v>80.400000000000006</v>
      </c>
    </row>
    <row r="115" spans="1:4">
      <c r="A115">
        <f t="shared" si="2"/>
        <v>113</v>
      </c>
      <c r="B115">
        <v>1130</v>
      </c>
      <c r="C115">
        <v>8101</v>
      </c>
      <c r="D115">
        <f t="shared" si="3"/>
        <v>81.010000000000005</v>
      </c>
    </row>
    <row r="116" spans="1:4">
      <c r="A116">
        <f t="shared" si="2"/>
        <v>114</v>
      </c>
      <c r="B116">
        <v>1140</v>
      </c>
      <c r="C116">
        <v>8163</v>
      </c>
      <c r="D116">
        <f t="shared" si="3"/>
        <v>81.63</v>
      </c>
    </row>
    <row r="117" spans="1:4">
      <c r="A117">
        <f t="shared" si="2"/>
        <v>115</v>
      </c>
      <c r="B117">
        <v>1150</v>
      </c>
      <c r="C117">
        <v>8224</v>
      </c>
      <c r="D117">
        <f t="shared" si="3"/>
        <v>82.24</v>
      </c>
    </row>
    <row r="118" spans="1:4">
      <c r="A118">
        <f t="shared" si="2"/>
        <v>116</v>
      </c>
      <c r="B118">
        <v>1160</v>
      </c>
      <c r="C118">
        <v>8286</v>
      </c>
      <c r="D118">
        <f t="shared" si="3"/>
        <v>82.86</v>
      </c>
    </row>
    <row r="119" spans="1:4">
      <c r="A119">
        <f t="shared" si="2"/>
        <v>117</v>
      </c>
      <c r="B119">
        <v>1170</v>
      </c>
      <c r="C119">
        <v>8347</v>
      </c>
      <c r="D119">
        <f t="shared" si="3"/>
        <v>83.47</v>
      </c>
    </row>
    <row r="120" spans="1:4">
      <c r="A120">
        <f t="shared" si="2"/>
        <v>118</v>
      </c>
      <c r="B120">
        <v>1180</v>
      </c>
      <c r="C120">
        <v>8409</v>
      </c>
      <c r="D120">
        <f t="shared" si="3"/>
        <v>84.09</v>
      </c>
    </row>
    <row r="121" spans="1:4">
      <c r="A121">
        <f t="shared" si="2"/>
        <v>119</v>
      </c>
      <c r="B121">
        <v>1190</v>
      </c>
      <c r="C121">
        <v>8470</v>
      </c>
      <c r="D121">
        <f t="shared" si="3"/>
        <v>84.7</v>
      </c>
    </row>
    <row r="122" spans="1:4">
      <c r="A122">
        <f t="shared" si="2"/>
        <v>120</v>
      </c>
      <c r="B122">
        <v>1200</v>
      </c>
      <c r="C122">
        <v>8532</v>
      </c>
      <c r="D122">
        <f t="shared" si="3"/>
        <v>85.32</v>
      </c>
    </row>
    <row r="123" spans="1:4">
      <c r="A123">
        <f t="shared" si="2"/>
        <v>121</v>
      </c>
      <c r="B123">
        <v>1210</v>
      </c>
      <c r="C123">
        <v>8593</v>
      </c>
      <c r="D123">
        <f t="shared" si="3"/>
        <v>85.93</v>
      </c>
    </row>
    <row r="124" spans="1:4">
      <c r="A124">
        <f t="shared" si="2"/>
        <v>122</v>
      </c>
      <c r="B124">
        <v>1220</v>
      </c>
      <c r="C124">
        <v>8655</v>
      </c>
      <c r="D124">
        <f t="shared" si="3"/>
        <v>86.55</v>
      </c>
    </row>
    <row r="125" spans="1:4">
      <c r="A125">
        <f t="shared" si="2"/>
        <v>123</v>
      </c>
      <c r="B125">
        <v>1230</v>
      </c>
      <c r="C125">
        <v>8716</v>
      </c>
      <c r="D125">
        <f t="shared" si="3"/>
        <v>87.16</v>
      </c>
    </row>
    <row r="126" spans="1:4">
      <c r="A126">
        <f t="shared" si="2"/>
        <v>124</v>
      </c>
      <c r="B126">
        <v>1240</v>
      </c>
      <c r="C126">
        <v>8778</v>
      </c>
      <c r="D126">
        <f t="shared" si="3"/>
        <v>87.78</v>
      </c>
    </row>
    <row r="127" spans="1:4">
      <c r="A127">
        <f t="shared" si="2"/>
        <v>125</v>
      </c>
      <c r="B127">
        <v>1250</v>
      </c>
      <c r="C127">
        <v>8839</v>
      </c>
      <c r="D127">
        <f t="shared" si="3"/>
        <v>88.39</v>
      </c>
    </row>
    <row r="128" spans="1:4">
      <c r="A128">
        <f t="shared" si="2"/>
        <v>126</v>
      </c>
      <c r="B128">
        <v>1260</v>
      </c>
      <c r="C128">
        <v>8901</v>
      </c>
      <c r="D128">
        <f t="shared" si="3"/>
        <v>89.01</v>
      </c>
    </row>
    <row r="129" spans="1:4">
      <c r="A129">
        <f t="shared" si="2"/>
        <v>127</v>
      </c>
      <c r="B129">
        <v>1270</v>
      </c>
      <c r="C129">
        <v>8962</v>
      </c>
      <c r="D129">
        <f t="shared" si="3"/>
        <v>89.62</v>
      </c>
    </row>
    <row r="130" spans="1:4">
      <c r="A130">
        <f t="shared" si="2"/>
        <v>128</v>
      </c>
      <c r="B130">
        <v>1280</v>
      </c>
      <c r="C130">
        <v>9023</v>
      </c>
      <c r="D130">
        <f t="shared" si="3"/>
        <v>90.23</v>
      </c>
    </row>
    <row r="131" spans="1:4">
      <c r="A131">
        <f t="shared" ref="A131:A194" si="4">B131/10</f>
        <v>129</v>
      </c>
      <c r="B131">
        <v>1290</v>
      </c>
      <c r="C131">
        <v>9085</v>
      </c>
      <c r="D131">
        <f t="shared" ref="D131:D194" si="5">C131/100</f>
        <v>90.85</v>
      </c>
    </row>
    <row r="132" spans="1:4">
      <c r="A132">
        <f t="shared" si="4"/>
        <v>130</v>
      </c>
      <c r="B132">
        <v>1300</v>
      </c>
      <c r="C132">
        <v>9146</v>
      </c>
      <c r="D132">
        <f t="shared" si="5"/>
        <v>91.46</v>
      </c>
    </row>
    <row r="133" spans="1:4">
      <c r="A133">
        <f t="shared" si="4"/>
        <v>131</v>
      </c>
      <c r="B133">
        <v>1310</v>
      </c>
      <c r="C133">
        <v>9208</v>
      </c>
      <c r="D133">
        <f t="shared" si="5"/>
        <v>92.08</v>
      </c>
    </row>
    <row r="134" spans="1:4">
      <c r="A134">
        <f t="shared" si="4"/>
        <v>132</v>
      </c>
      <c r="B134">
        <v>1320</v>
      </c>
      <c r="C134">
        <v>9269</v>
      </c>
      <c r="D134">
        <f t="shared" si="5"/>
        <v>92.69</v>
      </c>
    </row>
    <row r="135" spans="1:4">
      <c r="A135">
        <f t="shared" si="4"/>
        <v>133</v>
      </c>
      <c r="B135">
        <v>1330</v>
      </c>
      <c r="C135">
        <v>9331</v>
      </c>
      <c r="D135">
        <f t="shared" si="5"/>
        <v>93.31</v>
      </c>
    </row>
    <row r="136" spans="1:4">
      <c r="A136">
        <f t="shared" si="4"/>
        <v>134</v>
      </c>
      <c r="B136">
        <v>1340</v>
      </c>
      <c r="C136">
        <v>9392</v>
      </c>
      <c r="D136">
        <f t="shared" si="5"/>
        <v>93.92</v>
      </c>
    </row>
    <row r="137" spans="1:4">
      <c r="A137">
        <f t="shared" si="4"/>
        <v>135</v>
      </c>
      <c r="B137">
        <v>1350</v>
      </c>
      <c r="C137">
        <v>9454</v>
      </c>
      <c r="D137">
        <f t="shared" si="5"/>
        <v>94.54</v>
      </c>
    </row>
    <row r="138" spans="1:4">
      <c r="A138">
        <f t="shared" si="4"/>
        <v>136</v>
      </c>
      <c r="B138">
        <v>1360</v>
      </c>
      <c r="C138">
        <v>9515</v>
      </c>
      <c r="D138">
        <f t="shared" si="5"/>
        <v>95.15</v>
      </c>
    </row>
    <row r="139" spans="1:4">
      <c r="A139">
        <f t="shared" si="4"/>
        <v>137</v>
      </c>
      <c r="B139">
        <v>1370</v>
      </c>
      <c r="C139">
        <v>9577</v>
      </c>
      <c r="D139">
        <f t="shared" si="5"/>
        <v>95.77</v>
      </c>
    </row>
    <row r="140" spans="1:4">
      <c r="A140">
        <f t="shared" si="4"/>
        <v>138</v>
      </c>
      <c r="B140">
        <v>1380</v>
      </c>
      <c r="C140">
        <v>9638</v>
      </c>
      <c r="D140">
        <f t="shared" si="5"/>
        <v>96.38</v>
      </c>
    </row>
    <row r="141" spans="1:4">
      <c r="A141">
        <f t="shared" si="4"/>
        <v>139</v>
      </c>
      <c r="B141">
        <v>1390</v>
      </c>
      <c r="C141">
        <v>9700</v>
      </c>
      <c r="D141">
        <f t="shared" si="5"/>
        <v>97</v>
      </c>
    </row>
    <row r="142" spans="1:4">
      <c r="A142">
        <f t="shared" si="4"/>
        <v>140</v>
      </c>
      <c r="B142">
        <v>1400</v>
      </c>
      <c r="C142">
        <v>9761.1200000000081</v>
      </c>
      <c r="D142">
        <f t="shared" si="5"/>
        <v>97.611200000000082</v>
      </c>
    </row>
    <row r="143" spans="1:4">
      <c r="A143">
        <f t="shared" si="4"/>
        <v>141</v>
      </c>
      <c r="B143">
        <v>1410</v>
      </c>
      <c r="C143">
        <v>9822.5900000000074</v>
      </c>
      <c r="D143">
        <f t="shared" si="5"/>
        <v>98.225900000000081</v>
      </c>
    </row>
    <row r="144" spans="1:4">
      <c r="A144">
        <f t="shared" si="4"/>
        <v>142</v>
      </c>
      <c r="B144">
        <v>1420</v>
      </c>
      <c r="C144">
        <v>9884</v>
      </c>
      <c r="D144">
        <f t="shared" si="5"/>
        <v>98.84</v>
      </c>
    </row>
    <row r="145" spans="1:4">
      <c r="A145">
        <f t="shared" si="4"/>
        <v>143</v>
      </c>
      <c r="B145">
        <v>1430</v>
      </c>
      <c r="C145">
        <v>9946</v>
      </c>
      <c r="D145">
        <f t="shared" si="5"/>
        <v>99.46</v>
      </c>
    </row>
    <row r="146" spans="1:4">
      <c r="A146">
        <f t="shared" si="4"/>
        <v>144</v>
      </c>
      <c r="B146">
        <v>1440</v>
      </c>
      <c r="C146">
        <v>10007</v>
      </c>
      <c r="D146">
        <f t="shared" si="5"/>
        <v>100.07</v>
      </c>
    </row>
    <row r="147" spans="1:4">
      <c r="A147">
        <f t="shared" si="4"/>
        <v>145</v>
      </c>
      <c r="B147">
        <v>1450</v>
      </c>
      <c r="C147">
        <v>10068</v>
      </c>
      <c r="D147">
        <f t="shared" si="5"/>
        <v>100.68</v>
      </c>
    </row>
    <row r="148" spans="1:4">
      <c r="A148">
        <f t="shared" si="4"/>
        <v>146</v>
      </c>
      <c r="B148">
        <v>1460</v>
      </c>
      <c r="C148">
        <v>10130</v>
      </c>
      <c r="D148">
        <f t="shared" si="5"/>
        <v>101.3</v>
      </c>
    </row>
    <row r="149" spans="1:4">
      <c r="A149">
        <f t="shared" si="4"/>
        <v>147</v>
      </c>
      <c r="B149">
        <v>1470</v>
      </c>
      <c r="C149">
        <v>10191</v>
      </c>
      <c r="D149">
        <f t="shared" si="5"/>
        <v>101.91</v>
      </c>
    </row>
    <row r="150" spans="1:4">
      <c r="A150">
        <f t="shared" si="4"/>
        <v>148</v>
      </c>
      <c r="B150">
        <v>1480</v>
      </c>
      <c r="C150">
        <v>10253</v>
      </c>
      <c r="D150">
        <f t="shared" si="5"/>
        <v>102.53</v>
      </c>
    </row>
    <row r="151" spans="1:4">
      <c r="A151">
        <f t="shared" si="4"/>
        <v>149</v>
      </c>
      <c r="B151">
        <v>1490</v>
      </c>
      <c r="C151">
        <v>10314</v>
      </c>
      <c r="D151">
        <f t="shared" si="5"/>
        <v>103.14</v>
      </c>
    </row>
    <row r="152" spans="1:4">
      <c r="A152">
        <f t="shared" si="4"/>
        <v>150</v>
      </c>
      <c r="B152">
        <v>1500</v>
      </c>
      <c r="C152">
        <v>10376</v>
      </c>
      <c r="D152">
        <f t="shared" si="5"/>
        <v>103.76</v>
      </c>
    </row>
    <row r="153" spans="1:4">
      <c r="A153">
        <f t="shared" si="4"/>
        <v>151</v>
      </c>
      <c r="B153">
        <v>1510</v>
      </c>
      <c r="C153">
        <v>10437</v>
      </c>
      <c r="D153">
        <f t="shared" si="5"/>
        <v>104.37</v>
      </c>
    </row>
    <row r="154" spans="1:4">
      <c r="A154">
        <f t="shared" si="4"/>
        <v>152</v>
      </c>
      <c r="B154">
        <v>1520</v>
      </c>
      <c r="C154">
        <v>10499</v>
      </c>
      <c r="D154">
        <f t="shared" si="5"/>
        <v>104.99</v>
      </c>
    </row>
    <row r="155" spans="1:4">
      <c r="A155">
        <f t="shared" si="4"/>
        <v>153</v>
      </c>
      <c r="B155">
        <v>1530</v>
      </c>
      <c r="C155">
        <v>10560</v>
      </c>
      <c r="D155">
        <f t="shared" si="5"/>
        <v>105.6</v>
      </c>
    </row>
    <row r="156" spans="1:4">
      <c r="A156">
        <f t="shared" si="4"/>
        <v>154</v>
      </c>
      <c r="B156">
        <v>1540</v>
      </c>
      <c r="C156">
        <v>10622</v>
      </c>
      <c r="D156">
        <f t="shared" si="5"/>
        <v>106.22</v>
      </c>
    </row>
    <row r="157" spans="1:4">
      <c r="A157">
        <f t="shared" si="4"/>
        <v>155</v>
      </c>
      <c r="B157">
        <v>1550</v>
      </c>
      <c r="C157">
        <v>10683</v>
      </c>
      <c r="D157">
        <f t="shared" si="5"/>
        <v>106.83</v>
      </c>
    </row>
    <row r="158" spans="1:4">
      <c r="A158">
        <f t="shared" si="4"/>
        <v>156</v>
      </c>
      <c r="B158">
        <v>1560</v>
      </c>
      <c r="C158">
        <v>10745</v>
      </c>
      <c r="D158">
        <f t="shared" si="5"/>
        <v>107.45</v>
      </c>
    </row>
    <row r="159" spans="1:4">
      <c r="A159">
        <f t="shared" si="4"/>
        <v>157</v>
      </c>
      <c r="B159">
        <v>1570</v>
      </c>
      <c r="C159">
        <v>10806</v>
      </c>
      <c r="D159">
        <f t="shared" si="5"/>
        <v>108.06</v>
      </c>
    </row>
    <row r="160" spans="1:4">
      <c r="A160">
        <f t="shared" si="4"/>
        <v>158</v>
      </c>
      <c r="B160">
        <v>1580</v>
      </c>
      <c r="C160">
        <v>10868</v>
      </c>
      <c r="D160">
        <f t="shared" si="5"/>
        <v>108.68</v>
      </c>
    </row>
    <row r="161" spans="1:4">
      <c r="A161">
        <f t="shared" si="4"/>
        <v>159</v>
      </c>
      <c r="B161">
        <v>1590</v>
      </c>
      <c r="C161">
        <v>10929</v>
      </c>
      <c r="D161">
        <f t="shared" si="5"/>
        <v>109.29</v>
      </c>
    </row>
    <row r="162" spans="1:4">
      <c r="A162">
        <f t="shared" si="4"/>
        <v>160</v>
      </c>
      <c r="B162">
        <v>1600</v>
      </c>
      <c r="C162">
        <v>10991</v>
      </c>
      <c r="D162">
        <f t="shared" si="5"/>
        <v>109.91</v>
      </c>
    </row>
    <row r="163" spans="1:4">
      <c r="A163">
        <f t="shared" si="4"/>
        <v>161</v>
      </c>
      <c r="B163">
        <v>1610</v>
      </c>
      <c r="C163">
        <v>11052</v>
      </c>
      <c r="D163">
        <f t="shared" si="5"/>
        <v>110.52</v>
      </c>
    </row>
    <row r="164" spans="1:4">
      <c r="A164">
        <f t="shared" si="4"/>
        <v>162</v>
      </c>
      <c r="B164">
        <v>1620</v>
      </c>
      <c r="C164">
        <v>11113</v>
      </c>
      <c r="D164">
        <f t="shared" si="5"/>
        <v>111.13</v>
      </c>
    </row>
    <row r="165" spans="1:4">
      <c r="A165">
        <f t="shared" si="4"/>
        <v>163</v>
      </c>
      <c r="B165">
        <v>1630</v>
      </c>
      <c r="C165">
        <v>11175</v>
      </c>
      <c r="D165">
        <f t="shared" si="5"/>
        <v>111.75</v>
      </c>
    </row>
    <row r="166" spans="1:4">
      <c r="A166">
        <f t="shared" si="4"/>
        <v>164</v>
      </c>
      <c r="B166">
        <v>1640</v>
      </c>
      <c r="C166">
        <v>11236</v>
      </c>
      <c r="D166">
        <f t="shared" si="5"/>
        <v>112.36</v>
      </c>
    </row>
    <row r="167" spans="1:4">
      <c r="A167">
        <f t="shared" si="4"/>
        <v>165</v>
      </c>
      <c r="B167">
        <v>1650</v>
      </c>
      <c r="C167">
        <v>11298</v>
      </c>
      <c r="D167">
        <f t="shared" si="5"/>
        <v>112.98</v>
      </c>
    </row>
    <row r="168" spans="1:4">
      <c r="A168">
        <f t="shared" si="4"/>
        <v>166</v>
      </c>
      <c r="B168">
        <v>1660</v>
      </c>
      <c r="C168">
        <v>11359</v>
      </c>
      <c r="D168">
        <f t="shared" si="5"/>
        <v>113.59</v>
      </c>
    </row>
    <row r="169" spans="1:4">
      <c r="A169">
        <f t="shared" si="4"/>
        <v>167</v>
      </c>
      <c r="B169">
        <v>1670</v>
      </c>
      <c r="C169">
        <v>11421</v>
      </c>
      <c r="D169">
        <f t="shared" si="5"/>
        <v>114.21</v>
      </c>
    </row>
    <row r="170" spans="1:4">
      <c r="A170">
        <f t="shared" si="4"/>
        <v>168</v>
      </c>
      <c r="B170">
        <v>1680</v>
      </c>
      <c r="C170">
        <v>11482</v>
      </c>
      <c r="D170">
        <f t="shared" si="5"/>
        <v>114.82</v>
      </c>
    </row>
    <row r="171" spans="1:4">
      <c r="A171">
        <f t="shared" si="4"/>
        <v>169</v>
      </c>
      <c r="B171">
        <v>1690</v>
      </c>
      <c r="C171">
        <v>11544</v>
      </c>
      <c r="D171">
        <f t="shared" si="5"/>
        <v>115.44</v>
      </c>
    </row>
    <row r="172" spans="1:4">
      <c r="A172">
        <f t="shared" si="4"/>
        <v>170</v>
      </c>
      <c r="B172">
        <v>1700</v>
      </c>
      <c r="C172">
        <v>11605</v>
      </c>
      <c r="D172">
        <f t="shared" si="5"/>
        <v>116.05</v>
      </c>
    </row>
    <row r="173" spans="1:4">
      <c r="A173">
        <f t="shared" si="4"/>
        <v>171</v>
      </c>
      <c r="B173">
        <v>1710</v>
      </c>
      <c r="C173">
        <v>11667</v>
      </c>
      <c r="D173">
        <f t="shared" si="5"/>
        <v>116.67</v>
      </c>
    </row>
    <row r="174" spans="1:4">
      <c r="A174">
        <f t="shared" si="4"/>
        <v>172</v>
      </c>
      <c r="B174">
        <v>1720</v>
      </c>
      <c r="C174">
        <v>11728</v>
      </c>
      <c r="D174">
        <f t="shared" si="5"/>
        <v>117.28</v>
      </c>
    </row>
    <row r="175" spans="1:4">
      <c r="A175">
        <f t="shared" si="4"/>
        <v>173</v>
      </c>
      <c r="B175">
        <v>1730</v>
      </c>
      <c r="C175">
        <v>11790</v>
      </c>
      <c r="D175">
        <f t="shared" si="5"/>
        <v>117.9</v>
      </c>
    </row>
    <row r="176" spans="1:4">
      <c r="A176">
        <f t="shared" si="4"/>
        <v>174</v>
      </c>
      <c r="B176">
        <v>1740</v>
      </c>
      <c r="C176">
        <v>11851</v>
      </c>
      <c r="D176">
        <f t="shared" si="5"/>
        <v>118.51</v>
      </c>
    </row>
    <row r="177" spans="1:4">
      <c r="A177">
        <f t="shared" si="4"/>
        <v>175</v>
      </c>
      <c r="B177">
        <v>1750</v>
      </c>
      <c r="C177">
        <v>11913</v>
      </c>
      <c r="D177">
        <f t="shared" si="5"/>
        <v>119.13</v>
      </c>
    </row>
    <row r="178" spans="1:4">
      <c r="A178">
        <f t="shared" si="4"/>
        <v>176</v>
      </c>
      <c r="B178">
        <v>1760</v>
      </c>
      <c r="C178">
        <v>11974</v>
      </c>
      <c r="D178">
        <f t="shared" si="5"/>
        <v>119.74</v>
      </c>
    </row>
    <row r="179" spans="1:4">
      <c r="A179">
        <f t="shared" si="4"/>
        <v>177</v>
      </c>
      <c r="B179">
        <v>1770</v>
      </c>
      <c r="C179">
        <v>12036</v>
      </c>
      <c r="D179">
        <f t="shared" si="5"/>
        <v>120.36</v>
      </c>
    </row>
    <row r="180" spans="1:4">
      <c r="A180">
        <f t="shared" si="4"/>
        <v>178</v>
      </c>
      <c r="B180">
        <v>1780</v>
      </c>
      <c r="C180">
        <v>12097</v>
      </c>
      <c r="D180">
        <f t="shared" si="5"/>
        <v>120.97</v>
      </c>
    </row>
    <row r="181" spans="1:4">
      <c r="A181">
        <f t="shared" si="4"/>
        <v>179</v>
      </c>
      <c r="B181">
        <v>1790</v>
      </c>
      <c r="C181">
        <v>12158</v>
      </c>
      <c r="D181">
        <f t="shared" si="5"/>
        <v>121.58</v>
      </c>
    </row>
    <row r="182" spans="1:4">
      <c r="A182">
        <f t="shared" si="4"/>
        <v>180</v>
      </c>
      <c r="B182">
        <v>1800</v>
      </c>
      <c r="C182">
        <v>12220</v>
      </c>
      <c r="D182">
        <f t="shared" si="5"/>
        <v>122.2</v>
      </c>
    </row>
    <row r="183" spans="1:4">
      <c r="A183">
        <f t="shared" si="4"/>
        <v>181</v>
      </c>
      <c r="B183">
        <v>1810</v>
      </c>
      <c r="C183">
        <v>12281</v>
      </c>
      <c r="D183">
        <f t="shared" si="5"/>
        <v>122.81</v>
      </c>
    </row>
    <row r="184" spans="1:4">
      <c r="A184">
        <f t="shared" si="4"/>
        <v>182</v>
      </c>
      <c r="B184">
        <v>1820</v>
      </c>
      <c r="C184">
        <v>12343</v>
      </c>
      <c r="D184">
        <f t="shared" si="5"/>
        <v>123.43</v>
      </c>
    </row>
    <row r="185" spans="1:4">
      <c r="A185">
        <f t="shared" si="4"/>
        <v>183</v>
      </c>
      <c r="B185">
        <v>1830</v>
      </c>
      <c r="C185">
        <v>12404</v>
      </c>
      <c r="D185">
        <f t="shared" si="5"/>
        <v>124.04</v>
      </c>
    </row>
    <row r="186" spans="1:4">
      <c r="A186">
        <f t="shared" si="4"/>
        <v>184</v>
      </c>
      <c r="B186">
        <v>1840</v>
      </c>
      <c r="C186">
        <v>12466</v>
      </c>
      <c r="D186">
        <f t="shared" si="5"/>
        <v>124.66</v>
      </c>
    </row>
    <row r="187" spans="1:4">
      <c r="A187">
        <f t="shared" si="4"/>
        <v>185</v>
      </c>
      <c r="B187">
        <v>1850</v>
      </c>
      <c r="C187">
        <v>12527</v>
      </c>
      <c r="D187">
        <f t="shared" si="5"/>
        <v>125.27</v>
      </c>
    </row>
    <row r="188" spans="1:4">
      <c r="A188">
        <f t="shared" si="4"/>
        <v>186</v>
      </c>
      <c r="B188">
        <v>1860</v>
      </c>
      <c r="C188">
        <v>12589</v>
      </c>
      <c r="D188">
        <f t="shared" si="5"/>
        <v>125.89</v>
      </c>
    </row>
    <row r="189" spans="1:4">
      <c r="A189">
        <f t="shared" si="4"/>
        <v>187</v>
      </c>
      <c r="B189">
        <v>1870</v>
      </c>
      <c r="C189">
        <v>12650</v>
      </c>
      <c r="D189">
        <f t="shared" si="5"/>
        <v>126.5</v>
      </c>
    </row>
    <row r="190" spans="1:4">
      <c r="A190">
        <f t="shared" si="4"/>
        <v>188</v>
      </c>
      <c r="B190">
        <v>1880</v>
      </c>
      <c r="C190">
        <v>12712</v>
      </c>
      <c r="D190">
        <f t="shared" si="5"/>
        <v>127.12</v>
      </c>
    </row>
    <row r="191" spans="1:4">
      <c r="A191">
        <f t="shared" si="4"/>
        <v>189</v>
      </c>
      <c r="B191">
        <v>1890</v>
      </c>
      <c r="C191">
        <v>12773</v>
      </c>
      <c r="D191">
        <f t="shared" si="5"/>
        <v>127.73</v>
      </c>
    </row>
    <row r="192" spans="1:4">
      <c r="A192">
        <f t="shared" si="4"/>
        <v>190</v>
      </c>
      <c r="B192">
        <v>1900</v>
      </c>
      <c r="C192">
        <v>12835</v>
      </c>
      <c r="D192">
        <f t="shared" si="5"/>
        <v>128.35</v>
      </c>
    </row>
    <row r="193" spans="1:4">
      <c r="A193">
        <f t="shared" si="4"/>
        <v>191</v>
      </c>
      <c r="B193">
        <v>1910</v>
      </c>
      <c r="C193">
        <v>12896</v>
      </c>
      <c r="D193">
        <f t="shared" si="5"/>
        <v>128.96</v>
      </c>
    </row>
    <row r="194" spans="1:4">
      <c r="A194">
        <f t="shared" si="4"/>
        <v>192</v>
      </c>
      <c r="B194">
        <v>1920</v>
      </c>
      <c r="C194">
        <v>12958</v>
      </c>
      <c r="D194">
        <f t="shared" si="5"/>
        <v>129.58000000000001</v>
      </c>
    </row>
    <row r="195" spans="1:4">
      <c r="A195">
        <f t="shared" ref="A195:A258" si="6">B195/10</f>
        <v>193</v>
      </c>
      <c r="B195">
        <v>1930</v>
      </c>
      <c r="C195">
        <v>13019</v>
      </c>
      <c r="D195">
        <f t="shared" ref="D195:D258" si="7">C195/100</f>
        <v>130.19</v>
      </c>
    </row>
    <row r="196" spans="1:4">
      <c r="A196">
        <f t="shared" si="6"/>
        <v>194</v>
      </c>
      <c r="B196">
        <v>1940</v>
      </c>
      <c r="C196">
        <v>13081</v>
      </c>
      <c r="D196">
        <f t="shared" si="7"/>
        <v>130.81</v>
      </c>
    </row>
    <row r="197" spans="1:4">
      <c r="A197">
        <f t="shared" si="6"/>
        <v>195</v>
      </c>
      <c r="B197">
        <v>1950</v>
      </c>
      <c r="C197">
        <v>13142</v>
      </c>
      <c r="D197">
        <f t="shared" si="7"/>
        <v>131.41999999999999</v>
      </c>
    </row>
    <row r="198" spans="1:4">
      <c r="A198">
        <f t="shared" si="6"/>
        <v>196</v>
      </c>
      <c r="B198">
        <v>1960</v>
      </c>
      <c r="C198">
        <v>13203</v>
      </c>
      <c r="D198">
        <f t="shared" si="7"/>
        <v>132.03</v>
      </c>
    </row>
    <row r="199" spans="1:4">
      <c r="A199">
        <f t="shared" si="6"/>
        <v>197</v>
      </c>
      <c r="B199">
        <v>1970</v>
      </c>
      <c r="C199">
        <v>13265</v>
      </c>
      <c r="D199">
        <f t="shared" si="7"/>
        <v>132.65</v>
      </c>
    </row>
    <row r="200" spans="1:4">
      <c r="A200">
        <f t="shared" si="6"/>
        <v>198</v>
      </c>
      <c r="B200">
        <v>1980</v>
      </c>
      <c r="C200">
        <v>13326</v>
      </c>
      <c r="D200">
        <f t="shared" si="7"/>
        <v>133.26</v>
      </c>
    </row>
    <row r="201" spans="1:4">
      <c r="A201">
        <f t="shared" si="6"/>
        <v>199</v>
      </c>
      <c r="B201">
        <v>1990</v>
      </c>
      <c r="C201">
        <v>13388</v>
      </c>
      <c r="D201">
        <f t="shared" si="7"/>
        <v>133.88</v>
      </c>
    </row>
    <row r="202" spans="1:4">
      <c r="A202">
        <f t="shared" si="6"/>
        <v>200</v>
      </c>
      <c r="B202">
        <v>2000</v>
      </c>
      <c r="C202">
        <v>13449</v>
      </c>
      <c r="D202">
        <f t="shared" si="7"/>
        <v>134.49</v>
      </c>
    </row>
    <row r="203" spans="1:4">
      <c r="A203">
        <f t="shared" si="6"/>
        <v>201</v>
      </c>
      <c r="B203">
        <v>2010</v>
      </c>
      <c r="C203">
        <v>13511</v>
      </c>
      <c r="D203">
        <f t="shared" si="7"/>
        <v>135.11000000000001</v>
      </c>
    </row>
    <row r="204" spans="1:4">
      <c r="A204">
        <f t="shared" si="6"/>
        <v>202</v>
      </c>
      <c r="B204">
        <v>2020</v>
      </c>
      <c r="C204">
        <v>13572</v>
      </c>
      <c r="D204">
        <f t="shared" si="7"/>
        <v>135.72</v>
      </c>
    </row>
    <row r="205" spans="1:4">
      <c r="A205">
        <f t="shared" si="6"/>
        <v>203</v>
      </c>
      <c r="B205">
        <v>2030</v>
      </c>
      <c r="C205">
        <v>13634</v>
      </c>
      <c r="D205">
        <f t="shared" si="7"/>
        <v>136.34</v>
      </c>
    </row>
    <row r="206" spans="1:4">
      <c r="A206">
        <f t="shared" si="6"/>
        <v>204</v>
      </c>
      <c r="B206">
        <v>2040</v>
      </c>
      <c r="C206">
        <v>13695</v>
      </c>
      <c r="D206">
        <f t="shared" si="7"/>
        <v>136.94999999999999</v>
      </c>
    </row>
    <row r="207" spans="1:4">
      <c r="A207">
        <f t="shared" si="6"/>
        <v>205</v>
      </c>
      <c r="B207">
        <v>2050</v>
      </c>
      <c r="C207">
        <v>13757</v>
      </c>
      <c r="D207">
        <f t="shared" si="7"/>
        <v>137.57</v>
      </c>
    </row>
    <row r="208" spans="1:4">
      <c r="A208">
        <f t="shared" si="6"/>
        <v>206</v>
      </c>
      <c r="B208">
        <v>2060</v>
      </c>
      <c r="C208">
        <v>13818</v>
      </c>
      <c r="D208">
        <f t="shared" si="7"/>
        <v>138.18</v>
      </c>
    </row>
    <row r="209" spans="1:4">
      <c r="A209">
        <f t="shared" si="6"/>
        <v>207</v>
      </c>
      <c r="B209">
        <v>2070</v>
      </c>
      <c r="C209">
        <v>13880</v>
      </c>
      <c r="D209">
        <f t="shared" si="7"/>
        <v>138.80000000000001</v>
      </c>
    </row>
    <row r="210" spans="1:4">
      <c r="A210">
        <f t="shared" si="6"/>
        <v>208</v>
      </c>
      <c r="B210">
        <v>2080</v>
      </c>
      <c r="C210">
        <v>13941</v>
      </c>
      <c r="D210">
        <f t="shared" si="7"/>
        <v>139.41</v>
      </c>
    </row>
    <row r="211" spans="1:4">
      <c r="A211">
        <f t="shared" si="6"/>
        <v>209</v>
      </c>
      <c r="B211">
        <v>2090</v>
      </c>
      <c r="C211">
        <v>14003</v>
      </c>
      <c r="D211">
        <f t="shared" si="7"/>
        <v>140.03</v>
      </c>
    </row>
    <row r="212" spans="1:4">
      <c r="A212">
        <f t="shared" si="6"/>
        <v>210</v>
      </c>
      <c r="B212">
        <v>2100</v>
      </c>
      <c r="C212">
        <v>14064</v>
      </c>
      <c r="D212">
        <f t="shared" si="7"/>
        <v>140.63999999999999</v>
      </c>
    </row>
    <row r="213" spans="1:4">
      <c r="A213">
        <f t="shared" si="6"/>
        <v>211</v>
      </c>
      <c r="B213">
        <v>2110</v>
      </c>
      <c r="C213">
        <v>14125</v>
      </c>
      <c r="D213">
        <f t="shared" si="7"/>
        <v>141.25</v>
      </c>
    </row>
    <row r="214" spans="1:4">
      <c r="A214">
        <f t="shared" si="6"/>
        <v>212</v>
      </c>
      <c r="B214">
        <v>2120</v>
      </c>
      <c r="C214">
        <v>14187</v>
      </c>
      <c r="D214">
        <f t="shared" si="7"/>
        <v>141.87</v>
      </c>
    </row>
    <row r="215" spans="1:4">
      <c r="A215">
        <f t="shared" si="6"/>
        <v>213</v>
      </c>
      <c r="B215">
        <v>2130</v>
      </c>
      <c r="C215">
        <v>14248</v>
      </c>
      <c r="D215">
        <f t="shared" si="7"/>
        <v>142.47999999999999</v>
      </c>
    </row>
    <row r="216" spans="1:4">
      <c r="A216">
        <f t="shared" si="6"/>
        <v>214</v>
      </c>
      <c r="B216">
        <v>2140</v>
      </c>
      <c r="C216">
        <v>14310</v>
      </c>
      <c r="D216">
        <f t="shared" si="7"/>
        <v>143.1</v>
      </c>
    </row>
    <row r="217" spans="1:4">
      <c r="A217">
        <f t="shared" si="6"/>
        <v>215</v>
      </c>
      <c r="B217">
        <v>2150</v>
      </c>
      <c r="C217">
        <v>14371</v>
      </c>
      <c r="D217">
        <f t="shared" si="7"/>
        <v>143.71</v>
      </c>
    </row>
    <row r="218" spans="1:4">
      <c r="A218">
        <f t="shared" si="6"/>
        <v>216</v>
      </c>
      <c r="B218">
        <v>2160</v>
      </c>
      <c r="C218">
        <v>14433</v>
      </c>
      <c r="D218">
        <f t="shared" si="7"/>
        <v>144.33000000000001</v>
      </c>
    </row>
    <row r="219" spans="1:4">
      <c r="A219">
        <f t="shared" si="6"/>
        <v>217</v>
      </c>
      <c r="B219">
        <v>2170</v>
      </c>
      <c r="C219">
        <v>14494</v>
      </c>
      <c r="D219">
        <f t="shared" si="7"/>
        <v>144.94</v>
      </c>
    </row>
    <row r="220" spans="1:4">
      <c r="A220">
        <f t="shared" si="6"/>
        <v>218</v>
      </c>
      <c r="B220">
        <v>2180</v>
      </c>
      <c r="C220">
        <v>14556</v>
      </c>
      <c r="D220">
        <f t="shared" si="7"/>
        <v>145.56</v>
      </c>
    </row>
    <row r="221" spans="1:4">
      <c r="A221">
        <f t="shared" si="6"/>
        <v>219</v>
      </c>
      <c r="B221">
        <v>2190</v>
      </c>
      <c r="C221">
        <v>14617</v>
      </c>
      <c r="D221">
        <f t="shared" si="7"/>
        <v>146.16999999999999</v>
      </c>
    </row>
    <row r="222" spans="1:4">
      <c r="A222">
        <f t="shared" si="6"/>
        <v>220</v>
      </c>
      <c r="B222">
        <v>2200</v>
      </c>
      <c r="C222">
        <v>14679</v>
      </c>
      <c r="D222">
        <f t="shared" si="7"/>
        <v>146.79</v>
      </c>
    </row>
    <row r="223" spans="1:4">
      <c r="A223">
        <f t="shared" si="6"/>
        <v>221</v>
      </c>
      <c r="B223">
        <v>2210</v>
      </c>
      <c r="C223">
        <v>14740</v>
      </c>
      <c r="D223">
        <f t="shared" si="7"/>
        <v>147.4</v>
      </c>
    </row>
    <row r="224" spans="1:4">
      <c r="A224">
        <f t="shared" si="6"/>
        <v>222</v>
      </c>
      <c r="B224">
        <v>2220</v>
      </c>
      <c r="C224">
        <v>14802</v>
      </c>
      <c r="D224">
        <f t="shared" si="7"/>
        <v>148.02000000000001</v>
      </c>
    </row>
    <row r="225" spans="1:4">
      <c r="A225">
        <f t="shared" si="6"/>
        <v>223</v>
      </c>
      <c r="B225">
        <v>2230</v>
      </c>
      <c r="C225">
        <v>14863</v>
      </c>
      <c r="D225">
        <f t="shared" si="7"/>
        <v>148.63</v>
      </c>
    </row>
    <row r="226" spans="1:4">
      <c r="A226">
        <f t="shared" si="6"/>
        <v>224</v>
      </c>
      <c r="B226">
        <v>2240</v>
      </c>
      <c r="C226">
        <v>14925</v>
      </c>
      <c r="D226">
        <f t="shared" si="7"/>
        <v>149.25</v>
      </c>
    </row>
    <row r="227" spans="1:4">
      <c r="A227">
        <f t="shared" si="6"/>
        <v>225</v>
      </c>
      <c r="B227">
        <v>2250</v>
      </c>
      <c r="C227">
        <v>14986</v>
      </c>
      <c r="D227">
        <f t="shared" si="7"/>
        <v>149.86000000000001</v>
      </c>
    </row>
    <row r="228" spans="1:4">
      <c r="A228">
        <f t="shared" si="6"/>
        <v>226</v>
      </c>
      <c r="B228">
        <v>2260</v>
      </c>
      <c r="C228">
        <v>15048</v>
      </c>
      <c r="D228">
        <f t="shared" si="7"/>
        <v>150.47999999999999</v>
      </c>
    </row>
    <row r="229" spans="1:4">
      <c r="A229">
        <f t="shared" si="6"/>
        <v>227</v>
      </c>
      <c r="B229">
        <v>2270</v>
      </c>
      <c r="C229">
        <v>15109</v>
      </c>
      <c r="D229">
        <f t="shared" si="7"/>
        <v>151.09</v>
      </c>
    </row>
    <row r="230" spans="1:4">
      <c r="A230">
        <f t="shared" si="6"/>
        <v>228</v>
      </c>
      <c r="B230">
        <v>2280</v>
      </c>
      <c r="C230">
        <v>15170</v>
      </c>
      <c r="D230">
        <f t="shared" si="7"/>
        <v>151.69999999999999</v>
      </c>
    </row>
    <row r="231" spans="1:4">
      <c r="A231">
        <f t="shared" si="6"/>
        <v>229</v>
      </c>
      <c r="B231">
        <v>2290</v>
      </c>
      <c r="C231">
        <v>15232</v>
      </c>
      <c r="D231">
        <f t="shared" si="7"/>
        <v>152.32</v>
      </c>
    </row>
    <row r="232" spans="1:4">
      <c r="A232">
        <f t="shared" si="6"/>
        <v>230</v>
      </c>
      <c r="B232">
        <v>2300</v>
      </c>
      <c r="C232">
        <v>15293</v>
      </c>
      <c r="D232">
        <f t="shared" si="7"/>
        <v>152.93</v>
      </c>
    </row>
    <row r="233" spans="1:4">
      <c r="A233">
        <f t="shared" si="6"/>
        <v>231</v>
      </c>
      <c r="B233">
        <v>2310</v>
      </c>
      <c r="C233">
        <v>15355</v>
      </c>
      <c r="D233">
        <f t="shared" si="7"/>
        <v>153.55000000000001</v>
      </c>
    </row>
    <row r="234" spans="1:4">
      <c r="A234">
        <f t="shared" si="6"/>
        <v>232</v>
      </c>
      <c r="B234">
        <v>2320</v>
      </c>
      <c r="C234">
        <v>15416</v>
      </c>
      <c r="D234">
        <f t="shared" si="7"/>
        <v>154.16</v>
      </c>
    </row>
    <row r="235" spans="1:4">
      <c r="A235">
        <f t="shared" si="6"/>
        <v>233</v>
      </c>
      <c r="B235">
        <v>2330</v>
      </c>
      <c r="C235">
        <v>15478</v>
      </c>
      <c r="D235">
        <f t="shared" si="7"/>
        <v>154.78</v>
      </c>
    </row>
    <row r="236" spans="1:4">
      <c r="A236">
        <f t="shared" si="6"/>
        <v>234</v>
      </c>
      <c r="B236">
        <v>2340</v>
      </c>
      <c r="C236">
        <v>15539</v>
      </c>
      <c r="D236">
        <f t="shared" si="7"/>
        <v>155.38999999999999</v>
      </c>
    </row>
    <row r="237" spans="1:4">
      <c r="A237">
        <f t="shared" si="6"/>
        <v>235</v>
      </c>
      <c r="B237">
        <v>2350</v>
      </c>
      <c r="C237">
        <v>15601</v>
      </c>
      <c r="D237">
        <f t="shared" si="7"/>
        <v>156.01</v>
      </c>
    </row>
    <row r="238" spans="1:4">
      <c r="A238">
        <f t="shared" si="6"/>
        <v>236</v>
      </c>
      <c r="B238">
        <v>2360</v>
      </c>
      <c r="C238">
        <v>15662</v>
      </c>
      <c r="D238">
        <f t="shared" si="7"/>
        <v>156.62</v>
      </c>
    </row>
    <row r="239" spans="1:4">
      <c r="A239">
        <f t="shared" si="6"/>
        <v>237</v>
      </c>
      <c r="B239">
        <v>2370</v>
      </c>
      <c r="C239">
        <v>15724</v>
      </c>
      <c r="D239">
        <f t="shared" si="7"/>
        <v>157.24</v>
      </c>
    </row>
    <row r="240" spans="1:4">
      <c r="A240">
        <f t="shared" si="6"/>
        <v>238</v>
      </c>
      <c r="B240">
        <v>2380</v>
      </c>
      <c r="C240">
        <v>15785</v>
      </c>
      <c r="D240">
        <f t="shared" si="7"/>
        <v>157.85</v>
      </c>
    </row>
    <row r="241" spans="1:4">
      <c r="A241">
        <f t="shared" si="6"/>
        <v>239</v>
      </c>
      <c r="B241">
        <v>2390</v>
      </c>
      <c r="C241">
        <v>15847</v>
      </c>
      <c r="D241">
        <f t="shared" si="7"/>
        <v>158.47</v>
      </c>
    </row>
    <row r="242" spans="1:4">
      <c r="A242">
        <f t="shared" si="6"/>
        <v>240</v>
      </c>
      <c r="B242">
        <v>2400</v>
      </c>
      <c r="C242">
        <v>15908</v>
      </c>
      <c r="D242">
        <f t="shared" si="7"/>
        <v>159.08000000000001</v>
      </c>
    </row>
    <row r="243" spans="1:4">
      <c r="A243">
        <f t="shared" si="6"/>
        <v>241</v>
      </c>
      <c r="B243">
        <v>2410</v>
      </c>
      <c r="C243">
        <v>15970</v>
      </c>
      <c r="D243">
        <f t="shared" si="7"/>
        <v>159.69999999999999</v>
      </c>
    </row>
    <row r="244" spans="1:4">
      <c r="A244">
        <f t="shared" si="6"/>
        <v>242</v>
      </c>
      <c r="B244">
        <v>2420</v>
      </c>
      <c r="C244">
        <v>16031</v>
      </c>
      <c r="D244">
        <f t="shared" si="7"/>
        <v>160.31</v>
      </c>
    </row>
    <row r="245" spans="1:4">
      <c r="A245">
        <f t="shared" si="6"/>
        <v>243</v>
      </c>
      <c r="B245">
        <v>2430</v>
      </c>
      <c r="C245">
        <v>16093</v>
      </c>
      <c r="D245">
        <f t="shared" si="7"/>
        <v>160.93</v>
      </c>
    </row>
    <row r="246" spans="1:4">
      <c r="A246">
        <f t="shared" si="6"/>
        <v>244</v>
      </c>
      <c r="B246">
        <v>2440</v>
      </c>
      <c r="C246">
        <v>16154</v>
      </c>
      <c r="D246">
        <f t="shared" si="7"/>
        <v>161.54</v>
      </c>
    </row>
    <row r="247" spans="1:4">
      <c r="A247">
        <f t="shared" si="6"/>
        <v>245</v>
      </c>
      <c r="B247">
        <v>2450</v>
      </c>
      <c r="C247">
        <v>16215</v>
      </c>
      <c r="D247">
        <f t="shared" si="7"/>
        <v>162.15</v>
      </c>
    </row>
    <row r="248" spans="1:4">
      <c r="A248">
        <f t="shared" si="6"/>
        <v>246</v>
      </c>
      <c r="B248">
        <v>2460</v>
      </c>
      <c r="C248">
        <v>16277</v>
      </c>
      <c r="D248">
        <f t="shared" si="7"/>
        <v>162.77000000000001</v>
      </c>
    </row>
    <row r="249" spans="1:4">
      <c r="A249">
        <f t="shared" si="6"/>
        <v>247</v>
      </c>
      <c r="B249">
        <v>2470</v>
      </c>
      <c r="C249">
        <v>16338</v>
      </c>
      <c r="D249">
        <f t="shared" si="7"/>
        <v>163.38</v>
      </c>
    </row>
    <row r="250" spans="1:4">
      <c r="A250">
        <f t="shared" si="6"/>
        <v>248</v>
      </c>
      <c r="B250">
        <v>2480</v>
      </c>
      <c r="C250">
        <v>16400</v>
      </c>
      <c r="D250">
        <f t="shared" si="7"/>
        <v>164</v>
      </c>
    </row>
    <row r="251" spans="1:4">
      <c r="A251">
        <f t="shared" si="6"/>
        <v>249</v>
      </c>
      <c r="B251">
        <v>2490</v>
      </c>
      <c r="C251">
        <v>16461</v>
      </c>
      <c r="D251">
        <f t="shared" si="7"/>
        <v>164.61</v>
      </c>
    </row>
    <row r="252" spans="1:4">
      <c r="A252">
        <f t="shared" si="6"/>
        <v>250</v>
      </c>
      <c r="B252">
        <v>2500</v>
      </c>
      <c r="C252">
        <v>16523</v>
      </c>
      <c r="D252">
        <f t="shared" si="7"/>
        <v>165.23</v>
      </c>
    </row>
    <row r="253" spans="1:4">
      <c r="A253">
        <f t="shared" si="6"/>
        <v>251</v>
      </c>
      <c r="B253">
        <v>2510</v>
      </c>
      <c r="C253">
        <v>16584</v>
      </c>
      <c r="D253">
        <f t="shared" si="7"/>
        <v>165.84</v>
      </c>
    </row>
    <row r="254" spans="1:4">
      <c r="A254">
        <f t="shared" si="6"/>
        <v>252</v>
      </c>
      <c r="B254">
        <v>2520</v>
      </c>
      <c r="C254">
        <v>16646</v>
      </c>
      <c r="D254">
        <f t="shared" si="7"/>
        <v>166.46</v>
      </c>
    </row>
    <row r="255" spans="1:4">
      <c r="A255">
        <f t="shared" si="6"/>
        <v>253</v>
      </c>
      <c r="B255">
        <v>2530</v>
      </c>
      <c r="C255">
        <v>16707</v>
      </c>
      <c r="D255">
        <f t="shared" si="7"/>
        <v>167.07</v>
      </c>
    </row>
    <row r="256" spans="1:4">
      <c r="A256">
        <f t="shared" si="6"/>
        <v>254</v>
      </c>
      <c r="B256">
        <v>2540</v>
      </c>
      <c r="C256">
        <v>16769</v>
      </c>
      <c r="D256">
        <f t="shared" si="7"/>
        <v>167.69</v>
      </c>
    </row>
    <row r="257" spans="1:4">
      <c r="A257">
        <f t="shared" si="6"/>
        <v>255</v>
      </c>
      <c r="B257">
        <v>2550</v>
      </c>
      <c r="C257">
        <v>16830</v>
      </c>
      <c r="D257">
        <f t="shared" si="7"/>
        <v>168.3</v>
      </c>
    </row>
    <row r="258" spans="1:4">
      <c r="A258">
        <f t="shared" si="6"/>
        <v>256</v>
      </c>
      <c r="B258">
        <v>2560</v>
      </c>
      <c r="C258">
        <v>16892</v>
      </c>
      <c r="D258">
        <f t="shared" si="7"/>
        <v>168.92</v>
      </c>
    </row>
    <row r="259" spans="1:4">
      <c r="A259">
        <f t="shared" ref="A259:A322" si="8">B259/10</f>
        <v>257</v>
      </c>
      <c r="B259">
        <v>2570</v>
      </c>
      <c r="C259">
        <v>16953</v>
      </c>
      <c r="D259">
        <f t="shared" ref="D259:D322" si="9">C259/100</f>
        <v>169.53</v>
      </c>
    </row>
    <row r="260" spans="1:4">
      <c r="A260">
        <f t="shared" si="8"/>
        <v>258</v>
      </c>
      <c r="B260">
        <v>2580</v>
      </c>
      <c r="C260">
        <v>17015</v>
      </c>
      <c r="D260">
        <f t="shared" si="9"/>
        <v>170.15</v>
      </c>
    </row>
    <row r="261" spans="1:4">
      <c r="A261">
        <f t="shared" si="8"/>
        <v>259</v>
      </c>
      <c r="B261">
        <v>2590</v>
      </c>
      <c r="C261">
        <v>17076</v>
      </c>
      <c r="D261">
        <f t="shared" si="9"/>
        <v>170.76</v>
      </c>
    </row>
    <row r="262" spans="1:4">
      <c r="A262">
        <f t="shared" si="8"/>
        <v>260</v>
      </c>
      <c r="B262">
        <v>2600</v>
      </c>
      <c r="C262">
        <v>17138</v>
      </c>
      <c r="D262">
        <f t="shared" si="9"/>
        <v>171.38</v>
      </c>
    </row>
    <row r="263" spans="1:4">
      <c r="A263">
        <f t="shared" si="8"/>
        <v>261</v>
      </c>
      <c r="B263">
        <v>2610</v>
      </c>
      <c r="C263">
        <v>17199</v>
      </c>
      <c r="D263">
        <f t="shared" si="9"/>
        <v>171.99</v>
      </c>
    </row>
    <row r="264" spans="1:4">
      <c r="A264">
        <f t="shared" si="8"/>
        <v>262</v>
      </c>
      <c r="B264">
        <v>2620</v>
      </c>
      <c r="C264">
        <v>17260</v>
      </c>
      <c r="D264">
        <f t="shared" si="9"/>
        <v>172.6</v>
      </c>
    </row>
    <row r="265" spans="1:4">
      <c r="A265">
        <f t="shared" si="8"/>
        <v>263</v>
      </c>
      <c r="B265">
        <v>2630</v>
      </c>
      <c r="C265">
        <v>17322</v>
      </c>
      <c r="D265">
        <f t="shared" si="9"/>
        <v>173.22</v>
      </c>
    </row>
    <row r="266" spans="1:4">
      <c r="A266">
        <f t="shared" si="8"/>
        <v>264</v>
      </c>
      <c r="B266">
        <v>2640</v>
      </c>
      <c r="C266">
        <v>17383</v>
      </c>
      <c r="D266">
        <f t="shared" si="9"/>
        <v>173.83</v>
      </c>
    </row>
    <row r="267" spans="1:4">
      <c r="A267">
        <f t="shared" si="8"/>
        <v>265</v>
      </c>
      <c r="B267">
        <v>2650</v>
      </c>
      <c r="C267">
        <v>17445</v>
      </c>
      <c r="D267">
        <f t="shared" si="9"/>
        <v>174.45</v>
      </c>
    </row>
    <row r="268" spans="1:4">
      <c r="A268">
        <f t="shared" si="8"/>
        <v>266</v>
      </c>
      <c r="B268">
        <v>2660</v>
      </c>
      <c r="C268">
        <v>17506</v>
      </c>
      <c r="D268">
        <f t="shared" si="9"/>
        <v>175.06</v>
      </c>
    </row>
    <row r="269" spans="1:4">
      <c r="A269">
        <f t="shared" si="8"/>
        <v>267</v>
      </c>
      <c r="B269">
        <v>2670</v>
      </c>
      <c r="C269">
        <v>17568</v>
      </c>
      <c r="D269">
        <f t="shared" si="9"/>
        <v>175.68</v>
      </c>
    </row>
    <row r="270" spans="1:4">
      <c r="A270">
        <f t="shared" si="8"/>
        <v>268</v>
      </c>
      <c r="B270">
        <v>2680</v>
      </c>
      <c r="C270">
        <v>17629</v>
      </c>
      <c r="D270">
        <f t="shared" si="9"/>
        <v>176.29</v>
      </c>
    </row>
    <row r="271" spans="1:4">
      <c r="A271">
        <f t="shared" si="8"/>
        <v>269</v>
      </c>
      <c r="B271">
        <v>2690</v>
      </c>
      <c r="C271">
        <v>17691</v>
      </c>
      <c r="D271">
        <f t="shared" si="9"/>
        <v>176.91</v>
      </c>
    </row>
    <row r="272" spans="1:4">
      <c r="A272">
        <f t="shared" si="8"/>
        <v>270</v>
      </c>
      <c r="B272">
        <v>2700</v>
      </c>
      <c r="C272">
        <v>17752</v>
      </c>
      <c r="D272">
        <f t="shared" si="9"/>
        <v>177.52</v>
      </c>
    </row>
    <row r="273" spans="1:4">
      <c r="A273">
        <f t="shared" si="8"/>
        <v>271</v>
      </c>
      <c r="B273">
        <v>2710</v>
      </c>
      <c r="C273">
        <v>17814</v>
      </c>
      <c r="D273">
        <f t="shared" si="9"/>
        <v>178.14</v>
      </c>
    </row>
    <row r="274" spans="1:4">
      <c r="A274">
        <f t="shared" si="8"/>
        <v>272</v>
      </c>
      <c r="B274">
        <v>2720</v>
      </c>
      <c r="C274">
        <v>17875</v>
      </c>
      <c r="D274">
        <f t="shared" si="9"/>
        <v>178.75</v>
      </c>
    </row>
    <row r="275" spans="1:4">
      <c r="A275">
        <f t="shared" si="8"/>
        <v>273</v>
      </c>
      <c r="B275">
        <v>2730</v>
      </c>
      <c r="C275">
        <v>17937</v>
      </c>
      <c r="D275">
        <f t="shared" si="9"/>
        <v>179.37</v>
      </c>
    </row>
    <row r="276" spans="1:4">
      <c r="A276">
        <f t="shared" si="8"/>
        <v>274</v>
      </c>
      <c r="B276">
        <v>2740</v>
      </c>
      <c r="C276">
        <v>17998</v>
      </c>
      <c r="D276">
        <f t="shared" si="9"/>
        <v>179.98</v>
      </c>
    </row>
    <row r="277" spans="1:4">
      <c r="A277">
        <f t="shared" si="8"/>
        <v>275</v>
      </c>
      <c r="B277">
        <v>2750</v>
      </c>
      <c r="C277">
        <v>18060</v>
      </c>
      <c r="D277">
        <f t="shared" si="9"/>
        <v>180.6</v>
      </c>
    </row>
    <row r="278" spans="1:4">
      <c r="A278">
        <f t="shared" si="8"/>
        <v>276</v>
      </c>
      <c r="B278">
        <v>2760</v>
      </c>
      <c r="C278">
        <v>18121</v>
      </c>
      <c r="D278">
        <f t="shared" si="9"/>
        <v>181.21</v>
      </c>
    </row>
    <row r="279" spans="1:4">
      <c r="A279">
        <f t="shared" si="8"/>
        <v>277</v>
      </c>
      <c r="B279">
        <v>2770</v>
      </c>
      <c r="C279">
        <v>18183</v>
      </c>
      <c r="D279">
        <f t="shared" si="9"/>
        <v>181.83</v>
      </c>
    </row>
    <row r="280" spans="1:4">
      <c r="A280">
        <f t="shared" si="8"/>
        <v>278</v>
      </c>
      <c r="B280">
        <v>2780</v>
      </c>
      <c r="C280">
        <v>18244</v>
      </c>
      <c r="D280">
        <f t="shared" si="9"/>
        <v>182.44</v>
      </c>
    </row>
    <row r="281" spans="1:4">
      <c r="A281">
        <f t="shared" si="8"/>
        <v>279</v>
      </c>
      <c r="B281">
        <v>2790</v>
      </c>
      <c r="C281">
        <v>18305</v>
      </c>
      <c r="D281">
        <f t="shared" si="9"/>
        <v>183.05</v>
      </c>
    </row>
    <row r="282" spans="1:4">
      <c r="A282">
        <f t="shared" si="8"/>
        <v>280</v>
      </c>
      <c r="B282">
        <v>2800</v>
      </c>
      <c r="C282">
        <v>18367</v>
      </c>
      <c r="D282">
        <f t="shared" si="9"/>
        <v>183.67</v>
      </c>
    </row>
    <row r="283" spans="1:4">
      <c r="A283">
        <f t="shared" si="8"/>
        <v>281</v>
      </c>
      <c r="B283">
        <v>2810</v>
      </c>
      <c r="C283">
        <v>18428</v>
      </c>
      <c r="D283">
        <f t="shared" si="9"/>
        <v>184.28</v>
      </c>
    </row>
    <row r="284" spans="1:4">
      <c r="A284">
        <f t="shared" si="8"/>
        <v>282</v>
      </c>
      <c r="B284">
        <v>2820</v>
      </c>
      <c r="C284">
        <v>18490</v>
      </c>
      <c r="D284">
        <f t="shared" si="9"/>
        <v>184.9</v>
      </c>
    </row>
    <row r="285" spans="1:4">
      <c r="A285">
        <f t="shared" si="8"/>
        <v>283</v>
      </c>
      <c r="B285">
        <v>2830</v>
      </c>
      <c r="C285">
        <v>18551</v>
      </c>
      <c r="D285">
        <f t="shared" si="9"/>
        <v>185.51</v>
      </c>
    </row>
    <row r="286" spans="1:4">
      <c r="A286">
        <f t="shared" si="8"/>
        <v>284</v>
      </c>
      <c r="B286">
        <v>2840</v>
      </c>
      <c r="C286">
        <v>18613</v>
      </c>
      <c r="D286">
        <f t="shared" si="9"/>
        <v>186.13</v>
      </c>
    </row>
    <row r="287" spans="1:4">
      <c r="A287">
        <f t="shared" si="8"/>
        <v>285</v>
      </c>
      <c r="B287">
        <v>2850</v>
      </c>
      <c r="C287">
        <v>18674</v>
      </c>
      <c r="D287">
        <f t="shared" si="9"/>
        <v>186.74</v>
      </c>
    </row>
    <row r="288" spans="1:4">
      <c r="A288">
        <f t="shared" si="8"/>
        <v>286</v>
      </c>
      <c r="B288">
        <v>2860</v>
      </c>
      <c r="C288">
        <v>18736</v>
      </c>
      <c r="D288">
        <f t="shared" si="9"/>
        <v>187.36</v>
      </c>
    </row>
    <row r="289" spans="1:4">
      <c r="A289">
        <f t="shared" si="8"/>
        <v>287</v>
      </c>
      <c r="B289">
        <v>2870</v>
      </c>
      <c r="C289">
        <v>18797</v>
      </c>
      <c r="D289">
        <f t="shared" si="9"/>
        <v>187.97</v>
      </c>
    </row>
    <row r="290" spans="1:4">
      <c r="A290">
        <f t="shared" si="8"/>
        <v>288</v>
      </c>
      <c r="B290">
        <v>2880</v>
      </c>
      <c r="C290">
        <v>18859</v>
      </c>
      <c r="D290">
        <f t="shared" si="9"/>
        <v>188.59</v>
      </c>
    </row>
    <row r="291" spans="1:4">
      <c r="A291">
        <f t="shared" si="8"/>
        <v>289</v>
      </c>
      <c r="B291">
        <v>2890</v>
      </c>
      <c r="C291">
        <v>18920</v>
      </c>
      <c r="D291">
        <f t="shared" si="9"/>
        <v>189.2</v>
      </c>
    </row>
    <row r="292" spans="1:4">
      <c r="A292">
        <f t="shared" si="8"/>
        <v>290</v>
      </c>
      <c r="B292">
        <v>2900</v>
      </c>
      <c r="C292">
        <v>18982</v>
      </c>
      <c r="D292">
        <f t="shared" si="9"/>
        <v>189.82</v>
      </c>
    </row>
    <row r="293" spans="1:4">
      <c r="A293">
        <f t="shared" si="8"/>
        <v>291</v>
      </c>
      <c r="B293">
        <v>2910</v>
      </c>
      <c r="C293">
        <v>19043</v>
      </c>
      <c r="D293">
        <f t="shared" si="9"/>
        <v>190.43</v>
      </c>
    </row>
    <row r="294" spans="1:4">
      <c r="A294">
        <f t="shared" si="8"/>
        <v>292</v>
      </c>
      <c r="B294">
        <v>2920</v>
      </c>
      <c r="C294">
        <v>19105</v>
      </c>
      <c r="D294">
        <f t="shared" si="9"/>
        <v>191.05</v>
      </c>
    </row>
    <row r="295" spans="1:4">
      <c r="A295">
        <f t="shared" si="8"/>
        <v>293</v>
      </c>
      <c r="B295">
        <v>2930</v>
      </c>
      <c r="C295">
        <v>19166</v>
      </c>
      <c r="D295">
        <f t="shared" si="9"/>
        <v>191.66</v>
      </c>
    </row>
    <row r="296" spans="1:4">
      <c r="A296">
        <f t="shared" si="8"/>
        <v>294</v>
      </c>
      <c r="B296">
        <v>2940</v>
      </c>
      <c r="C296">
        <v>19228</v>
      </c>
      <c r="D296">
        <f t="shared" si="9"/>
        <v>192.28</v>
      </c>
    </row>
    <row r="297" spans="1:4">
      <c r="A297">
        <f t="shared" si="8"/>
        <v>295</v>
      </c>
      <c r="B297">
        <v>2950</v>
      </c>
      <c r="C297">
        <v>19289</v>
      </c>
      <c r="D297">
        <f t="shared" si="9"/>
        <v>192.89</v>
      </c>
    </row>
    <row r="298" spans="1:4">
      <c r="A298">
        <f t="shared" si="8"/>
        <v>296</v>
      </c>
      <c r="B298">
        <v>2960</v>
      </c>
      <c r="C298">
        <v>19350</v>
      </c>
      <c r="D298">
        <f t="shared" si="9"/>
        <v>193.5</v>
      </c>
    </row>
    <row r="299" spans="1:4">
      <c r="A299">
        <f t="shared" si="8"/>
        <v>297</v>
      </c>
      <c r="B299">
        <v>2970</v>
      </c>
      <c r="C299">
        <v>19412</v>
      </c>
      <c r="D299">
        <f t="shared" si="9"/>
        <v>194.12</v>
      </c>
    </row>
    <row r="300" spans="1:4">
      <c r="A300">
        <f t="shared" si="8"/>
        <v>298</v>
      </c>
      <c r="B300">
        <v>2980</v>
      </c>
      <c r="C300">
        <v>19473</v>
      </c>
      <c r="D300">
        <f t="shared" si="9"/>
        <v>194.73</v>
      </c>
    </row>
    <row r="301" spans="1:4">
      <c r="A301">
        <f t="shared" si="8"/>
        <v>299</v>
      </c>
      <c r="B301">
        <v>2990</v>
      </c>
      <c r="C301">
        <v>19535</v>
      </c>
      <c r="D301">
        <f t="shared" si="9"/>
        <v>195.35</v>
      </c>
    </row>
    <row r="302" spans="1:4">
      <c r="A302">
        <f t="shared" si="8"/>
        <v>300</v>
      </c>
      <c r="B302">
        <v>3000</v>
      </c>
      <c r="C302">
        <v>19596</v>
      </c>
      <c r="D302">
        <f t="shared" si="9"/>
        <v>195.96</v>
      </c>
    </row>
    <row r="303" spans="1:4">
      <c r="A303">
        <f t="shared" si="8"/>
        <v>301</v>
      </c>
      <c r="B303">
        <v>3010</v>
      </c>
      <c r="C303">
        <v>19658</v>
      </c>
      <c r="D303">
        <f t="shared" si="9"/>
        <v>196.58</v>
      </c>
    </row>
    <row r="304" spans="1:4">
      <c r="A304">
        <f t="shared" si="8"/>
        <v>302</v>
      </c>
      <c r="B304">
        <v>3020</v>
      </c>
      <c r="C304">
        <v>19719</v>
      </c>
      <c r="D304">
        <f t="shared" si="9"/>
        <v>197.19</v>
      </c>
    </row>
    <row r="305" spans="1:4">
      <c r="A305">
        <f t="shared" si="8"/>
        <v>303</v>
      </c>
      <c r="B305">
        <v>3030</v>
      </c>
      <c r="C305">
        <v>19781</v>
      </c>
      <c r="D305">
        <f t="shared" si="9"/>
        <v>197.81</v>
      </c>
    </row>
    <row r="306" spans="1:4">
      <c r="A306">
        <f t="shared" si="8"/>
        <v>304</v>
      </c>
      <c r="B306">
        <v>3040</v>
      </c>
      <c r="C306">
        <v>19842</v>
      </c>
      <c r="D306">
        <f t="shared" si="9"/>
        <v>198.42</v>
      </c>
    </row>
    <row r="307" spans="1:4">
      <c r="A307">
        <f t="shared" si="8"/>
        <v>305</v>
      </c>
      <c r="B307">
        <v>3050</v>
      </c>
      <c r="C307">
        <v>19904</v>
      </c>
      <c r="D307">
        <f t="shared" si="9"/>
        <v>199.04</v>
      </c>
    </row>
    <row r="308" spans="1:4">
      <c r="A308">
        <f t="shared" si="8"/>
        <v>306</v>
      </c>
      <c r="B308">
        <v>3060</v>
      </c>
      <c r="C308">
        <v>19965</v>
      </c>
      <c r="D308">
        <f t="shared" si="9"/>
        <v>199.65</v>
      </c>
    </row>
    <row r="309" spans="1:4">
      <c r="A309">
        <f t="shared" si="8"/>
        <v>307</v>
      </c>
      <c r="B309">
        <v>3070</v>
      </c>
      <c r="C309">
        <v>20027</v>
      </c>
      <c r="D309">
        <f t="shared" si="9"/>
        <v>200.27</v>
      </c>
    </row>
    <row r="310" spans="1:4">
      <c r="A310">
        <f t="shared" si="8"/>
        <v>308</v>
      </c>
      <c r="B310">
        <v>3080</v>
      </c>
      <c r="C310">
        <v>20088</v>
      </c>
      <c r="D310">
        <f t="shared" si="9"/>
        <v>200.88</v>
      </c>
    </row>
    <row r="311" spans="1:4">
      <c r="A311">
        <f t="shared" si="8"/>
        <v>309</v>
      </c>
      <c r="B311">
        <v>3090</v>
      </c>
      <c r="C311">
        <v>20150</v>
      </c>
      <c r="D311">
        <f t="shared" si="9"/>
        <v>201.5</v>
      </c>
    </row>
    <row r="312" spans="1:4">
      <c r="A312">
        <f t="shared" si="8"/>
        <v>310</v>
      </c>
      <c r="B312">
        <v>3100</v>
      </c>
      <c r="C312">
        <v>20211</v>
      </c>
      <c r="D312">
        <f t="shared" si="9"/>
        <v>202.11</v>
      </c>
    </row>
    <row r="313" spans="1:4">
      <c r="A313">
        <f t="shared" si="8"/>
        <v>311</v>
      </c>
      <c r="B313">
        <v>3110</v>
      </c>
      <c r="C313">
        <v>20272</v>
      </c>
      <c r="D313">
        <f t="shared" si="9"/>
        <v>202.72</v>
      </c>
    </row>
    <row r="314" spans="1:4">
      <c r="A314">
        <f t="shared" si="8"/>
        <v>312</v>
      </c>
      <c r="B314">
        <v>3120</v>
      </c>
      <c r="C314">
        <v>20334</v>
      </c>
      <c r="D314">
        <f t="shared" si="9"/>
        <v>203.34</v>
      </c>
    </row>
    <row r="315" spans="1:4">
      <c r="A315">
        <f t="shared" si="8"/>
        <v>313</v>
      </c>
      <c r="B315">
        <v>3130</v>
      </c>
      <c r="C315">
        <v>20395</v>
      </c>
      <c r="D315">
        <f t="shared" si="9"/>
        <v>203.95</v>
      </c>
    </row>
    <row r="316" spans="1:4">
      <c r="A316">
        <f t="shared" si="8"/>
        <v>314</v>
      </c>
      <c r="B316">
        <v>3140</v>
      </c>
      <c r="C316">
        <v>20457</v>
      </c>
      <c r="D316">
        <f t="shared" si="9"/>
        <v>204.57</v>
      </c>
    </row>
    <row r="317" spans="1:4">
      <c r="A317">
        <f t="shared" si="8"/>
        <v>315</v>
      </c>
      <c r="B317">
        <v>3150</v>
      </c>
      <c r="C317">
        <v>20518</v>
      </c>
      <c r="D317">
        <f t="shared" si="9"/>
        <v>205.18</v>
      </c>
    </row>
    <row r="318" spans="1:4">
      <c r="A318">
        <f t="shared" si="8"/>
        <v>316</v>
      </c>
      <c r="B318">
        <v>3160</v>
      </c>
      <c r="C318">
        <v>20580</v>
      </c>
      <c r="D318">
        <f t="shared" si="9"/>
        <v>205.8</v>
      </c>
    </row>
    <row r="319" spans="1:4">
      <c r="A319">
        <f t="shared" si="8"/>
        <v>317</v>
      </c>
      <c r="B319">
        <v>3170</v>
      </c>
      <c r="C319">
        <v>20641</v>
      </c>
      <c r="D319">
        <f t="shared" si="9"/>
        <v>206.41</v>
      </c>
    </row>
    <row r="320" spans="1:4">
      <c r="A320">
        <f t="shared" si="8"/>
        <v>318</v>
      </c>
      <c r="B320">
        <v>3180</v>
      </c>
      <c r="C320">
        <v>20703</v>
      </c>
      <c r="D320">
        <f t="shared" si="9"/>
        <v>207.03</v>
      </c>
    </row>
    <row r="321" spans="1:4">
      <c r="A321">
        <f t="shared" si="8"/>
        <v>319</v>
      </c>
      <c r="B321">
        <v>3190</v>
      </c>
      <c r="C321">
        <v>20764</v>
      </c>
      <c r="D321">
        <f t="shared" si="9"/>
        <v>207.64</v>
      </c>
    </row>
    <row r="322" spans="1:4">
      <c r="A322">
        <f t="shared" si="8"/>
        <v>320</v>
      </c>
      <c r="B322">
        <v>3200</v>
      </c>
      <c r="C322">
        <v>20826</v>
      </c>
      <c r="D322">
        <f t="shared" si="9"/>
        <v>208.26</v>
      </c>
    </row>
    <row r="323" spans="1:4">
      <c r="A323">
        <f t="shared" ref="A323:A386" si="10">B323/10</f>
        <v>321</v>
      </c>
      <c r="B323">
        <v>3210</v>
      </c>
      <c r="C323">
        <v>20887</v>
      </c>
      <c r="D323">
        <f t="shared" ref="D323:D386" si="11">C323/100</f>
        <v>208.87</v>
      </c>
    </row>
    <row r="324" spans="1:4">
      <c r="A324">
        <f t="shared" si="10"/>
        <v>322</v>
      </c>
      <c r="B324">
        <v>3220</v>
      </c>
      <c r="C324">
        <v>20949</v>
      </c>
      <c r="D324">
        <f t="shared" si="11"/>
        <v>209.49</v>
      </c>
    </row>
    <row r="325" spans="1:4">
      <c r="A325">
        <f t="shared" si="10"/>
        <v>323</v>
      </c>
      <c r="B325">
        <v>3230</v>
      </c>
      <c r="C325">
        <v>21010</v>
      </c>
      <c r="D325">
        <f t="shared" si="11"/>
        <v>210.1</v>
      </c>
    </row>
    <row r="326" spans="1:4">
      <c r="A326">
        <f t="shared" si="10"/>
        <v>324</v>
      </c>
      <c r="B326">
        <v>3240</v>
      </c>
      <c r="C326">
        <v>21072</v>
      </c>
      <c r="D326">
        <f t="shared" si="11"/>
        <v>210.72</v>
      </c>
    </row>
    <row r="327" spans="1:4">
      <c r="A327">
        <f t="shared" si="10"/>
        <v>325</v>
      </c>
      <c r="B327">
        <v>3250</v>
      </c>
      <c r="C327">
        <v>21133</v>
      </c>
      <c r="D327">
        <f t="shared" si="11"/>
        <v>211.33</v>
      </c>
    </row>
    <row r="328" spans="1:4">
      <c r="A328">
        <f t="shared" si="10"/>
        <v>326</v>
      </c>
      <c r="B328">
        <v>3260</v>
      </c>
      <c r="C328">
        <v>21195</v>
      </c>
      <c r="D328">
        <f t="shared" si="11"/>
        <v>211.95</v>
      </c>
    </row>
    <row r="329" spans="1:4">
      <c r="A329">
        <f t="shared" si="10"/>
        <v>327</v>
      </c>
      <c r="B329">
        <v>3270</v>
      </c>
      <c r="C329">
        <v>21256</v>
      </c>
      <c r="D329">
        <f t="shared" si="11"/>
        <v>212.56</v>
      </c>
    </row>
    <row r="330" spans="1:4">
      <c r="A330">
        <f t="shared" si="10"/>
        <v>328</v>
      </c>
      <c r="B330">
        <v>3280</v>
      </c>
      <c r="C330">
        <v>21317</v>
      </c>
      <c r="D330">
        <f t="shared" si="11"/>
        <v>213.17</v>
      </c>
    </row>
    <row r="331" spans="1:4">
      <c r="A331">
        <f t="shared" si="10"/>
        <v>329</v>
      </c>
      <c r="B331">
        <v>3290</v>
      </c>
      <c r="C331">
        <v>21379</v>
      </c>
      <c r="D331">
        <f t="shared" si="11"/>
        <v>213.79</v>
      </c>
    </row>
    <row r="332" spans="1:4">
      <c r="A332">
        <f t="shared" si="10"/>
        <v>330</v>
      </c>
      <c r="B332">
        <v>3300</v>
      </c>
      <c r="C332">
        <v>21440</v>
      </c>
      <c r="D332">
        <f t="shared" si="11"/>
        <v>214.4</v>
      </c>
    </row>
    <row r="333" spans="1:4">
      <c r="A333">
        <f t="shared" si="10"/>
        <v>331</v>
      </c>
      <c r="B333">
        <v>3310</v>
      </c>
      <c r="C333">
        <v>21502</v>
      </c>
      <c r="D333">
        <f t="shared" si="11"/>
        <v>215.02</v>
      </c>
    </row>
    <row r="334" spans="1:4">
      <c r="A334">
        <f t="shared" si="10"/>
        <v>332</v>
      </c>
      <c r="B334">
        <v>3320</v>
      </c>
      <c r="C334">
        <v>21563</v>
      </c>
      <c r="D334">
        <f t="shared" si="11"/>
        <v>215.63</v>
      </c>
    </row>
    <row r="335" spans="1:4">
      <c r="A335">
        <f t="shared" si="10"/>
        <v>333</v>
      </c>
      <c r="B335">
        <v>3330</v>
      </c>
      <c r="C335">
        <v>21625</v>
      </c>
      <c r="D335">
        <f t="shared" si="11"/>
        <v>216.25</v>
      </c>
    </row>
    <row r="336" spans="1:4">
      <c r="A336">
        <f t="shared" si="10"/>
        <v>334</v>
      </c>
      <c r="B336">
        <v>3340</v>
      </c>
      <c r="C336">
        <v>21686</v>
      </c>
      <c r="D336">
        <f t="shared" si="11"/>
        <v>216.86</v>
      </c>
    </row>
    <row r="337" spans="1:4">
      <c r="A337">
        <f t="shared" si="10"/>
        <v>335</v>
      </c>
      <c r="B337">
        <v>3350</v>
      </c>
      <c r="C337">
        <v>21748</v>
      </c>
      <c r="D337">
        <f t="shared" si="11"/>
        <v>217.48</v>
      </c>
    </row>
    <row r="338" spans="1:4">
      <c r="A338">
        <f t="shared" si="10"/>
        <v>336</v>
      </c>
      <c r="B338">
        <v>3360</v>
      </c>
      <c r="C338">
        <v>21809</v>
      </c>
      <c r="D338">
        <f t="shared" si="11"/>
        <v>218.09</v>
      </c>
    </row>
    <row r="339" spans="1:4">
      <c r="A339">
        <f t="shared" si="10"/>
        <v>337</v>
      </c>
      <c r="B339">
        <v>3370</v>
      </c>
      <c r="C339">
        <v>21871</v>
      </c>
      <c r="D339">
        <f t="shared" si="11"/>
        <v>218.71</v>
      </c>
    </row>
    <row r="340" spans="1:4">
      <c r="A340">
        <f t="shared" si="10"/>
        <v>338</v>
      </c>
      <c r="B340">
        <v>3380</v>
      </c>
      <c r="C340">
        <v>21932</v>
      </c>
      <c r="D340">
        <f t="shared" si="11"/>
        <v>219.32</v>
      </c>
    </row>
    <row r="341" spans="1:4">
      <c r="A341">
        <f t="shared" si="10"/>
        <v>339</v>
      </c>
      <c r="B341">
        <v>3390</v>
      </c>
      <c r="C341">
        <v>21994</v>
      </c>
      <c r="D341">
        <f t="shared" si="11"/>
        <v>219.94</v>
      </c>
    </row>
    <row r="342" spans="1:4">
      <c r="A342">
        <f t="shared" si="10"/>
        <v>340</v>
      </c>
      <c r="B342">
        <v>3400</v>
      </c>
      <c r="C342">
        <v>22055</v>
      </c>
      <c r="D342">
        <f t="shared" si="11"/>
        <v>220.55</v>
      </c>
    </row>
    <row r="343" spans="1:4">
      <c r="A343">
        <f t="shared" si="10"/>
        <v>341</v>
      </c>
      <c r="B343">
        <v>3410</v>
      </c>
      <c r="C343">
        <v>22117</v>
      </c>
      <c r="D343">
        <f t="shared" si="11"/>
        <v>221.17</v>
      </c>
    </row>
    <row r="344" spans="1:4">
      <c r="A344">
        <f t="shared" si="10"/>
        <v>342</v>
      </c>
      <c r="B344">
        <v>3420</v>
      </c>
      <c r="C344">
        <v>22178</v>
      </c>
      <c r="D344">
        <f t="shared" si="11"/>
        <v>221.78</v>
      </c>
    </row>
    <row r="345" spans="1:4">
      <c r="A345">
        <f t="shared" si="10"/>
        <v>343</v>
      </c>
      <c r="B345">
        <v>3430</v>
      </c>
      <c r="C345">
        <v>22240</v>
      </c>
      <c r="D345">
        <f t="shared" si="11"/>
        <v>222.4</v>
      </c>
    </row>
    <row r="346" spans="1:4">
      <c r="A346">
        <f t="shared" si="10"/>
        <v>344</v>
      </c>
      <c r="B346">
        <v>3440</v>
      </c>
      <c r="C346">
        <v>22301</v>
      </c>
      <c r="D346">
        <f t="shared" si="11"/>
        <v>223.01</v>
      </c>
    </row>
    <row r="347" spans="1:4">
      <c r="A347">
        <f t="shared" si="10"/>
        <v>345</v>
      </c>
      <c r="B347">
        <v>3450</v>
      </c>
      <c r="C347">
        <v>22362</v>
      </c>
      <c r="D347">
        <f t="shared" si="11"/>
        <v>223.62</v>
      </c>
    </row>
    <row r="348" spans="1:4">
      <c r="A348">
        <f t="shared" si="10"/>
        <v>346</v>
      </c>
      <c r="B348">
        <v>3460</v>
      </c>
      <c r="C348">
        <v>22424</v>
      </c>
      <c r="D348">
        <f t="shared" si="11"/>
        <v>224.24</v>
      </c>
    </row>
    <row r="349" spans="1:4">
      <c r="A349">
        <f t="shared" si="10"/>
        <v>347</v>
      </c>
      <c r="B349">
        <v>3470</v>
      </c>
      <c r="C349">
        <v>22485</v>
      </c>
      <c r="D349">
        <f t="shared" si="11"/>
        <v>224.85</v>
      </c>
    </row>
    <row r="350" spans="1:4">
      <c r="A350">
        <f t="shared" si="10"/>
        <v>348</v>
      </c>
      <c r="B350">
        <v>3480</v>
      </c>
      <c r="C350">
        <v>22547</v>
      </c>
      <c r="D350">
        <f t="shared" si="11"/>
        <v>225.47</v>
      </c>
    </row>
    <row r="351" spans="1:4">
      <c r="A351">
        <f t="shared" si="10"/>
        <v>349</v>
      </c>
      <c r="B351">
        <v>3490</v>
      </c>
      <c r="C351">
        <v>22608</v>
      </c>
      <c r="D351">
        <f t="shared" si="11"/>
        <v>226.08</v>
      </c>
    </row>
    <row r="352" spans="1:4">
      <c r="A352">
        <f t="shared" si="10"/>
        <v>350</v>
      </c>
      <c r="B352">
        <v>3500</v>
      </c>
      <c r="C352">
        <v>22670</v>
      </c>
      <c r="D352">
        <f t="shared" si="11"/>
        <v>226.7</v>
      </c>
    </row>
    <row r="353" spans="1:4">
      <c r="A353">
        <f t="shared" si="10"/>
        <v>351</v>
      </c>
      <c r="B353">
        <v>3510</v>
      </c>
      <c r="C353">
        <v>22731</v>
      </c>
      <c r="D353">
        <f t="shared" si="11"/>
        <v>227.31</v>
      </c>
    </row>
    <row r="354" spans="1:4">
      <c r="A354">
        <f t="shared" si="10"/>
        <v>352</v>
      </c>
      <c r="B354">
        <v>3520</v>
      </c>
      <c r="C354">
        <v>22793</v>
      </c>
      <c r="D354">
        <f t="shared" si="11"/>
        <v>227.93</v>
      </c>
    </row>
    <row r="355" spans="1:4">
      <c r="A355">
        <f t="shared" si="10"/>
        <v>353</v>
      </c>
      <c r="B355">
        <v>3530</v>
      </c>
      <c r="C355">
        <v>22854</v>
      </c>
      <c r="D355">
        <f t="shared" si="11"/>
        <v>228.54</v>
      </c>
    </row>
    <row r="356" spans="1:4">
      <c r="A356">
        <f t="shared" si="10"/>
        <v>354</v>
      </c>
      <c r="B356">
        <v>3540</v>
      </c>
      <c r="C356">
        <v>22916</v>
      </c>
      <c r="D356">
        <f t="shared" si="11"/>
        <v>229.16</v>
      </c>
    </row>
    <row r="357" spans="1:4">
      <c r="A357">
        <f t="shared" si="10"/>
        <v>355</v>
      </c>
      <c r="B357">
        <v>3550</v>
      </c>
      <c r="C357">
        <v>22977</v>
      </c>
      <c r="D357">
        <f t="shared" si="11"/>
        <v>229.77</v>
      </c>
    </row>
    <row r="358" spans="1:4">
      <c r="A358">
        <f t="shared" si="10"/>
        <v>356</v>
      </c>
      <c r="B358">
        <v>3560</v>
      </c>
      <c r="C358">
        <v>23039</v>
      </c>
      <c r="D358">
        <f t="shared" si="11"/>
        <v>230.39</v>
      </c>
    </row>
    <row r="359" spans="1:4">
      <c r="A359">
        <f t="shared" si="10"/>
        <v>357</v>
      </c>
      <c r="B359">
        <v>3570</v>
      </c>
      <c r="C359">
        <v>23100</v>
      </c>
      <c r="D359">
        <f t="shared" si="11"/>
        <v>231</v>
      </c>
    </row>
    <row r="360" spans="1:4">
      <c r="A360">
        <f t="shared" si="10"/>
        <v>358</v>
      </c>
      <c r="B360">
        <v>3580</v>
      </c>
      <c r="C360">
        <v>23162</v>
      </c>
      <c r="D360">
        <f t="shared" si="11"/>
        <v>231.62</v>
      </c>
    </row>
    <row r="361" spans="1:4">
      <c r="A361">
        <f t="shared" si="10"/>
        <v>359</v>
      </c>
      <c r="B361">
        <v>3590</v>
      </c>
      <c r="C361">
        <v>23223</v>
      </c>
      <c r="D361">
        <f t="shared" si="11"/>
        <v>232.23</v>
      </c>
    </row>
    <row r="362" spans="1:4">
      <c r="A362">
        <f t="shared" si="10"/>
        <v>360</v>
      </c>
      <c r="B362">
        <v>3600</v>
      </c>
      <c r="C362">
        <v>23285</v>
      </c>
      <c r="D362">
        <f t="shared" si="11"/>
        <v>232.85</v>
      </c>
    </row>
    <row r="363" spans="1:4">
      <c r="A363">
        <f t="shared" si="10"/>
        <v>361</v>
      </c>
      <c r="B363">
        <v>3610</v>
      </c>
      <c r="C363">
        <v>23346</v>
      </c>
      <c r="D363">
        <f t="shared" si="11"/>
        <v>233.46</v>
      </c>
    </row>
    <row r="364" spans="1:4">
      <c r="A364">
        <f t="shared" si="10"/>
        <v>362</v>
      </c>
      <c r="B364">
        <v>3620</v>
      </c>
      <c r="C364">
        <v>23407</v>
      </c>
      <c r="D364">
        <f t="shared" si="11"/>
        <v>234.07</v>
      </c>
    </row>
    <row r="365" spans="1:4">
      <c r="A365">
        <f t="shared" si="10"/>
        <v>363</v>
      </c>
      <c r="B365">
        <v>3630</v>
      </c>
      <c r="C365">
        <v>23469</v>
      </c>
      <c r="D365">
        <f t="shared" si="11"/>
        <v>234.69</v>
      </c>
    </row>
    <row r="366" spans="1:4">
      <c r="A366">
        <f t="shared" si="10"/>
        <v>364</v>
      </c>
      <c r="B366">
        <v>3640</v>
      </c>
      <c r="C366">
        <v>23530</v>
      </c>
      <c r="D366">
        <f t="shared" si="11"/>
        <v>235.3</v>
      </c>
    </row>
    <row r="367" spans="1:4">
      <c r="A367">
        <f t="shared" si="10"/>
        <v>365</v>
      </c>
      <c r="B367">
        <v>3650</v>
      </c>
      <c r="C367">
        <v>23592</v>
      </c>
      <c r="D367">
        <f t="shared" si="11"/>
        <v>235.92</v>
      </c>
    </row>
    <row r="368" spans="1:4">
      <c r="A368">
        <f t="shared" si="10"/>
        <v>366</v>
      </c>
      <c r="B368">
        <v>3660</v>
      </c>
      <c r="C368">
        <v>23653</v>
      </c>
      <c r="D368">
        <f t="shared" si="11"/>
        <v>236.53</v>
      </c>
    </row>
    <row r="369" spans="1:4">
      <c r="A369">
        <f t="shared" si="10"/>
        <v>367</v>
      </c>
      <c r="B369">
        <v>3670</v>
      </c>
      <c r="C369">
        <v>23715</v>
      </c>
      <c r="D369">
        <f t="shared" si="11"/>
        <v>237.15</v>
      </c>
    </row>
    <row r="370" spans="1:4">
      <c r="A370">
        <f t="shared" si="10"/>
        <v>368</v>
      </c>
      <c r="B370">
        <v>3680</v>
      </c>
      <c r="C370">
        <v>23776</v>
      </c>
      <c r="D370">
        <f t="shared" si="11"/>
        <v>237.76</v>
      </c>
    </row>
    <row r="371" spans="1:4">
      <c r="A371">
        <f t="shared" si="10"/>
        <v>369</v>
      </c>
      <c r="B371">
        <v>3690</v>
      </c>
      <c r="C371">
        <v>23838</v>
      </c>
      <c r="D371">
        <f t="shared" si="11"/>
        <v>238.38</v>
      </c>
    </row>
    <row r="372" spans="1:4">
      <c r="A372">
        <f t="shared" si="10"/>
        <v>370</v>
      </c>
      <c r="B372">
        <v>3700</v>
      </c>
      <c r="C372">
        <v>23899</v>
      </c>
      <c r="D372">
        <f t="shared" si="11"/>
        <v>238.99</v>
      </c>
    </row>
    <row r="373" spans="1:4">
      <c r="A373">
        <f t="shared" si="10"/>
        <v>371</v>
      </c>
      <c r="B373">
        <v>3710</v>
      </c>
      <c r="C373">
        <v>23961</v>
      </c>
      <c r="D373">
        <f t="shared" si="11"/>
        <v>239.61</v>
      </c>
    </row>
    <row r="374" spans="1:4">
      <c r="A374">
        <f t="shared" si="10"/>
        <v>372</v>
      </c>
      <c r="B374">
        <v>3720</v>
      </c>
      <c r="C374">
        <v>24022</v>
      </c>
      <c r="D374">
        <f t="shared" si="11"/>
        <v>240.22</v>
      </c>
    </row>
    <row r="375" spans="1:4">
      <c r="A375">
        <f t="shared" si="10"/>
        <v>373</v>
      </c>
      <c r="B375">
        <v>3730</v>
      </c>
      <c r="C375">
        <v>24084</v>
      </c>
      <c r="D375">
        <f t="shared" si="11"/>
        <v>240.84</v>
      </c>
    </row>
    <row r="376" spans="1:4">
      <c r="A376">
        <f t="shared" si="10"/>
        <v>374</v>
      </c>
      <c r="B376">
        <v>3740</v>
      </c>
      <c r="C376">
        <v>24145</v>
      </c>
      <c r="D376">
        <f t="shared" si="11"/>
        <v>241.45</v>
      </c>
    </row>
    <row r="377" spans="1:4">
      <c r="A377">
        <f t="shared" si="10"/>
        <v>375</v>
      </c>
      <c r="B377">
        <v>3750</v>
      </c>
      <c r="C377">
        <v>24207</v>
      </c>
      <c r="D377">
        <f t="shared" si="11"/>
        <v>242.07</v>
      </c>
    </row>
    <row r="378" spans="1:4">
      <c r="A378">
        <f t="shared" si="10"/>
        <v>376</v>
      </c>
      <c r="B378">
        <v>3760</v>
      </c>
      <c r="C378">
        <v>24268</v>
      </c>
      <c r="D378">
        <f t="shared" si="11"/>
        <v>242.68</v>
      </c>
    </row>
    <row r="379" spans="1:4">
      <c r="A379">
        <f t="shared" si="10"/>
        <v>377</v>
      </c>
      <c r="B379">
        <v>3770</v>
      </c>
      <c r="C379">
        <v>24330</v>
      </c>
      <c r="D379">
        <f t="shared" si="11"/>
        <v>243.3</v>
      </c>
    </row>
    <row r="380" spans="1:4">
      <c r="A380">
        <f t="shared" si="10"/>
        <v>378</v>
      </c>
      <c r="B380">
        <v>3780</v>
      </c>
      <c r="C380">
        <v>24391</v>
      </c>
      <c r="D380">
        <f t="shared" si="11"/>
        <v>243.91</v>
      </c>
    </row>
    <row r="381" spans="1:4">
      <c r="A381">
        <f t="shared" si="10"/>
        <v>379</v>
      </c>
      <c r="B381">
        <v>3790</v>
      </c>
      <c r="C381">
        <v>24452</v>
      </c>
      <c r="D381">
        <f t="shared" si="11"/>
        <v>244.52</v>
      </c>
    </row>
    <row r="382" spans="1:4">
      <c r="A382">
        <f t="shared" si="10"/>
        <v>380</v>
      </c>
      <c r="B382">
        <v>3800</v>
      </c>
      <c r="C382">
        <v>24514</v>
      </c>
      <c r="D382">
        <f t="shared" si="11"/>
        <v>245.14</v>
      </c>
    </row>
    <row r="383" spans="1:4">
      <c r="A383">
        <f t="shared" si="10"/>
        <v>381</v>
      </c>
      <c r="B383">
        <v>3810</v>
      </c>
      <c r="C383">
        <v>24575</v>
      </c>
      <c r="D383">
        <f t="shared" si="11"/>
        <v>245.75</v>
      </c>
    </row>
    <row r="384" spans="1:4">
      <c r="A384">
        <f t="shared" si="10"/>
        <v>382</v>
      </c>
      <c r="B384">
        <v>3820</v>
      </c>
      <c r="C384">
        <v>24637</v>
      </c>
      <c r="D384">
        <f t="shared" si="11"/>
        <v>246.37</v>
      </c>
    </row>
    <row r="385" spans="1:4">
      <c r="A385">
        <f t="shared" si="10"/>
        <v>383</v>
      </c>
      <c r="B385">
        <v>3830</v>
      </c>
      <c r="C385">
        <v>24698</v>
      </c>
      <c r="D385">
        <f t="shared" si="11"/>
        <v>246.98</v>
      </c>
    </row>
    <row r="386" spans="1:4">
      <c r="A386">
        <f t="shared" si="10"/>
        <v>384</v>
      </c>
      <c r="B386">
        <v>3840</v>
      </c>
      <c r="C386">
        <v>24760</v>
      </c>
      <c r="D386">
        <f t="shared" si="11"/>
        <v>247.6</v>
      </c>
    </row>
    <row r="387" spans="1:4">
      <c r="A387">
        <f t="shared" ref="A387:A450" si="12">B387/10</f>
        <v>385</v>
      </c>
      <c r="B387">
        <v>3850</v>
      </c>
      <c r="C387">
        <v>24821</v>
      </c>
      <c r="D387">
        <f t="shared" ref="D387:D450" si="13">C387/100</f>
        <v>248.21</v>
      </c>
    </row>
    <row r="388" spans="1:4">
      <c r="A388">
        <f t="shared" si="12"/>
        <v>386</v>
      </c>
      <c r="B388">
        <v>3860</v>
      </c>
      <c r="C388">
        <v>24883</v>
      </c>
      <c r="D388">
        <f t="shared" si="13"/>
        <v>248.83</v>
      </c>
    </row>
    <row r="389" spans="1:4">
      <c r="A389">
        <f t="shared" si="12"/>
        <v>387</v>
      </c>
      <c r="B389">
        <v>3870</v>
      </c>
      <c r="C389">
        <v>24944</v>
      </c>
      <c r="D389">
        <f t="shared" si="13"/>
        <v>249.44</v>
      </c>
    </row>
    <row r="390" spans="1:4">
      <c r="A390">
        <f t="shared" si="12"/>
        <v>388</v>
      </c>
      <c r="B390">
        <v>3880</v>
      </c>
      <c r="C390">
        <v>25006</v>
      </c>
      <c r="D390">
        <f t="shared" si="13"/>
        <v>250.06</v>
      </c>
    </row>
    <row r="391" spans="1:4">
      <c r="A391">
        <f t="shared" si="12"/>
        <v>389</v>
      </c>
      <c r="B391">
        <v>3890</v>
      </c>
      <c r="C391">
        <v>25067</v>
      </c>
      <c r="D391">
        <f t="shared" si="13"/>
        <v>250.67</v>
      </c>
    </row>
    <row r="392" spans="1:4">
      <c r="A392">
        <f t="shared" si="12"/>
        <v>390</v>
      </c>
      <c r="B392">
        <v>3900</v>
      </c>
      <c r="C392">
        <v>25129</v>
      </c>
      <c r="D392">
        <f t="shared" si="13"/>
        <v>251.29</v>
      </c>
    </row>
    <row r="393" spans="1:4">
      <c r="A393">
        <f t="shared" si="12"/>
        <v>391</v>
      </c>
      <c r="B393">
        <v>3910</v>
      </c>
      <c r="C393">
        <v>25190</v>
      </c>
      <c r="D393">
        <f t="shared" si="13"/>
        <v>251.9</v>
      </c>
    </row>
    <row r="394" spans="1:4">
      <c r="A394">
        <f t="shared" si="12"/>
        <v>392</v>
      </c>
      <c r="B394">
        <v>3920</v>
      </c>
      <c r="C394">
        <v>25252</v>
      </c>
      <c r="D394">
        <f t="shared" si="13"/>
        <v>252.52</v>
      </c>
    </row>
    <row r="395" spans="1:4">
      <c r="A395">
        <f t="shared" si="12"/>
        <v>393</v>
      </c>
      <c r="B395">
        <v>3930</v>
      </c>
      <c r="C395">
        <v>25313</v>
      </c>
      <c r="D395">
        <f t="shared" si="13"/>
        <v>253.13</v>
      </c>
    </row>
    <row r="396" spans="1:4">
      <c r="A396">
        <f t="shared" si="12"/>
        <v>394</v>
      </c>
      <c r="B396">
        <v>3940</v>
      </c>
      <c r="C396">
        <v>25375</v>
      </c>
      <c r="D396">
        <f t="shared" si="13"/>
        <v>253.75</v>
      </c>
    </row>
    <row r="397" spans="1:4">
      <c r="A397">
        <f t="shared" si="12"/>
        <v>395</v>
      </c>
      <c r="B397">
        <v>3950</v>
      </c>
      <c r="C397">
        <v>25436</v>
      </c>
      <c r="D397">
        <f t="shared" si="13"/>
        <v>254.36</v>
      </c>
    </row>
    <row r="398" spans="1:4">
      <c r="A398">
        <f t="shared" si="12"/>
        <v>396</v>
      </c>
      <c r="B398">
        <v>3960</v>
      </c>
      <c r="C398">
        <v>25497</v>
      </c>
      <c r="D398">
        <f t="shared" si="13"/>
        <v>254.97</v>
      </c>
    </row>
    <row r="399" spans="1:4">
      <c r="A399">
        <f t="shared" si="12"/>
        <v>397</v>
      </c>
      <c r="B399">
        <v>3970</v>
      </c>
      <c r="C399">
        <v>25559</v>
      </c>
      <c r="D399">
        <f t="shared" si="13"/>
        <v>255.59</v>
      </c>
    </row>
    <row r="400" spans="1:4">
      <c r="A400">
        <f t="shared" si="12"/>
        <v>398</v>
      </c>
      <c r="B400">
        <v>3980</v>
      </c>
      <c r="C400">
        <v>25620</v>
      </c>
      <c r="D400">
        <f t="shared" si="13"/>
        <v>256.2</v>
      </c>
    </row>
    <row r="401" spans="1:4">
      <c r="A401">
        <f t="shared" si="12"/>
        <v>399</v>
      </c>
      <c r="B401">
        <v>3990</v>
      </c>
      <c r="C401">
        <v>25682</v>
      </c>
      <c r="D401">
        <f t="shared" si="13"/>
        <v>256.82</v>
      </c>
    </row>
    <row r="402" spans="1:4">
      <c r="A402">
        <f t="shared" si="12"/>
        <v>400</v>
      </c>
      <c r="B402">
        <v>4000</v>
      </c>
      <c r="C402">
        <v>25743</v>
      </c>
      <c r="D402">
        <f t="shared" si="13"/>
        <v>257.43</v>
      </c>
    </row>
    <row r="403" spans="1:4">
      <c r="A403">
        <f t="shared" si="12"/>
        <v>401</v>
      </c>
      <c r="B403">
        <v>4010</v>
      </c>
      <c r="C403">
        <v>25805</v>
      </c>
      <c r="D403">
        <f t="shared" si="13"/>
        <v>258.05</v>
      </c>
    </row>
    <row r="404" spans="1:4">
      <c r="A404">
        <f t="shared" si="12"/>
        <v>402</v>
      </c>
      <c r="B404">
        <v>4020</v>
      </c>
      <c r="C404">
        <v>25866</v>
      </c>
      <c r="D404">
        <f t="shared" si="13"/>
        <v>258.66000000000003</v>
      </c>
    </row>
    <row r="405" spans="1:4">
      <c r="A405">
        <f t="shared" si="12"/>
        <v>403</v>
      </c>
      <c r="B405">
        <v>4030</v>
      </c>
      <c r="C405">
        <v>25928</v>
      </c>
      <c r="D405">
        <f t="shared" si="13"/>
        <v>259.27999999999997</v>
      </c>
    </row>
    <row r="406" spans="1:4">
      <c r="A406">
        <f t="shared" si="12"/>
        <v>404</v>
      </c>
      <c r="B406">
        <v>4040</v>
      </c>
      <c r="C406">
        <v>25989</v>
      </c>
      <c r="D406">
        <f t="shared" si="13"/>
        <v>259.89</v>
      </c>
    </row>
    <row r="407" spans="1:4">
      <c r="A407">
        <f t="shared" si="12"/>
        <v>405</v>
      </c>
      <c r="B407">
        <v>4050</v>
      </c>
      <c r="C407">
        <v>26051</v>
      </c>
      <c r="D407">
        <f t="shared" si="13"/>
        <v>260.51</v>
      </c>
    </row>
    <row r="408" spans="1:4">
      <c r="A408">
        <f t="shared" si="12"/>
        <v>406</v>
      </c>
      <c r="B408">
        <v>4060</v>
      </c>
      <c r="C408">
        <v>26112</v>
      </c>
      <c r="D408">
        <f t="shared" si="13"/>
        <v>261.12</v>
      </c>
    </row>
    <row r="409" spans="1:4">
      <c r="A409">
        <f t="shared" si="12"/>
        <v>407</v>
      </c>
      <c r="B409">
        <v>4070</v>
      </c>
      <c r="C409">
        <v>26174</v>
      </c>
      <c r="D409">
        <f t="shared" si="13"/>
        <v>261.74</v>
      </c>
    </row>
    <row r="410" spans="1:4">
      <c r="A410">
        <f t="shared" si="12"/>
        <v>408</v>
      </c>
      <c r="B410">
        <v>4080</v>
      </c>
      <c r="C410">
        <v>26235</v>
      </c>
      <c r="D410">
        <f t="shared" si="13"/>
        <v>262.35000000000002</v>
      </c>
    </row>
    <row r="411" spans="1:4">
      <c r="A411">
        <f t="shared" si="12"/>
        <v>409</v>
      </c>
      <c r="B411">
        <v>4090</v>
      </c>
      <c r="C411">
        <v>26297</v>
      </c>
      <c r="D411">
        <f t="shared" si="13"/>
        <v>262.97000000000003</v>
      </c>
    </row>
    <row r="412" spans="1:4">
      <c r="A412">
        <f t="shared" si="12"/>
        <v>410</v>
      </c>
      <c r="B412">
        <v>4100</v>
      </c>
      <c r="C412">
        <v>26358</v>
      </c>
      <c r="D412">
        <f t="shared" si="13"/>
        <v>263.58</v>
      </c>
    </row>
    <row r="413" spans="1:4">
      <c r="A413">
        <f t="shared" si="12"/>
        <v>411</v>
      </c>
      <c r="B413">
        <v>4110</v>
      </c>
      <c r="C413">
        <v>26419</v>
      </c>
      <c r="D413">
        <f t="shared" si="13"/>
        <v>264.19</v>
      </c>
    </row>
    <row r="414" spans="1:4">
      <c r="A414">
        <f t="shared" si="12"/>
        <v>412</v>
      </c>
      <c r="B414">
        <v>4120</v>
      </c>
      <c r="C414">
        <v>26481</v>
      </c>
      <c r="D414">
        <f t="shared" si="13"/>
        <v>264.81</v>
      </c>
    </row>
    <row r="415" spans="1:4">
      <c r="A415">
        <f t="shared" si="12"/>
        <v>413</v>
      </c>
      <c r="B415">
        <v>4130</v>
      </c>
      <c r="C415">
        <v>26542</v>
      </c>
      <c r="D415">
        <f t="shared" si="13"/>
        <v>265.42</v>
      </c>
    </row>
    <row r="416" spans="1:4">
      <c r="A416">
        <f t="shared" si="12"/>
        <v>414</v>
      </c>
      <c r="B416">
        <v>4140</v>
      </c>
      <c r="C416">
        <v>26604</v>
      </c>
      <c r="D416">
        <f t="shared" si="13"/>
        <v>266.04000000000002</v>
      </c>
    </row>
    <row r="417" spans="1:4">
      <c r="A417">
        <f t="shared" si="12"/>
        <v>415</v>
      </c>
      <c r="B417">
        <v>4150</v>
      </c>
      <c r="C417">
        <v>26665</v>
      </c>
      <c r="D417">
        <f t="shared" si="13"/>
        <v>266.64999999999998</v>
      </c>
    </row>
    <row r="418" spans="1:4">
      <c r="A418">
        <f t="shared" si="12"/>
        <v>416</v>
      </c>
      <c r="B418">
        <v>4160</v>
      </c>
      <c r="C418">
        <v>26727</v>
      </c>
      <c r="D418">
        <f t="shared" si="13"/>
        <v>267.27</v>
      </c>
    </row>
    <row r="419" spans="1:4">
      <c r="A419">
        <f t="shared" si="12"/>
        <v>417</v>
      </c>
      <c r="B419">
        <v>4170</v>
      </c>
      <c r="C419">
        <v>26788</v>
      </c>
      <c r="D419">
        <f t="shared" si="13"/>
        <v>267.88</v>
      </c>
    </row>
    <row r="420" spans="1:4">
      <c r="A420">
        <f t="shared" si="12"/>
        <v>418</v>
      </c>
      <c r="B420">
        <v>4180</v>
      </c>
      <c r="C420">
        <v>26850</v>
      </c>
      <c r="D420">
        <f t="shared" si="13"/>
        <v>268.5</v>
      </c>
    </row>
    <row r="421" spans="1:4">
      <c r="A421">
        <f t="shared" si="12"/>
        <v>419</v>
      </c>
      <c r="B421">
        <v>4190</v>
      </c>
      <c r="C421">
        <v>26911</v>
      </c>
      <c r="D421">
        <f t="shared" si="13"/>
        <v>269.11</v>
      </c>
    </row>
    <row r="422" spans="1:4">
      <c r="A422">
        <f t="shared" si="12"/>
        <v>420</v>
      </c>
      <c r="B422">
        <v>4200</v>
      </c>
      <c r="C422">
        <v>26973</v>
      </c>
      <c r="D422">
        <f t="shared" si="13"/>
        <v>269.73</v>
      </c>
    </row>
    <row r="423" spans="1:4">
      <c r="A423">
        <f t="shared" si="12"/>
        <v>421</v>
      </c>
      <c r="B423">
        <v>4210</v>
      </c>
      <c r="C423">
        <v>27034</v>
      </c>
      <c r="D423">
        <f t="shared" si="13"/>
        <v>270.33999999999997</v>
      </c>
    </row>
    <row r="424" spans="1:4">
      <c r="A424">
        <f t="shared" si="12"/>
        <v>422</v>
      </c>
      <c r="B424">
        <v>4220</v>
      </c>
      <c r="C424">
        <v>27096</v>
      </c>
      <c r="D424">
        <f t="shared" si="13"/>
        <v>270.95999999999998</v>
      </c>
    </row>
    <row r="425" spans="1:4">
      <c r="A425">
        <f t="shared" si="12"/>
        <v>423</v>
      </c>
      <c r="B425">
        <v>4230</v>
      </c>
      <c r="C425">
        <v>27157</v>
      </c>
      <c r="D425">
        <f t="shared" si="13"/>
        <v>271.57</v>
      </c>
    </row>
    <row r="426" spans="1:4">
      <c r="A426">
        <f t="shared" si="12"/>
        <v>424</v>
      </c>
      <c r="B426">
        <v>4240</v>
      </c>
      <c r="C426">
        <v>27219</v>
      </c>
      <c r="D426">
        <f t="shared" si="13"/>
        <v>272.19</v>
      </c>
    </row>
    <row r="427" spans="1:4">
      <c r="A427">
        <f t="shared" si="12"/>
        <v>425</v>
      </c>
      <c r="B427">
        <v>4250</v>
      </c>
      <c r="C427">
        <v>27280</v>
      </c>
      <c r="D427">
        <f t="shared" si="13"/>
        <v>272.8</v>
      </c>
    </row>
    <row r="428" spans="1:4">
      <c r="A428">
        <f t="shared" si="12"/>
        <v>426</v>
      </c>
      <c r="B428">
        <v>4260</v>
      </c>
      <c r="C428">
        <v>27342</v>
      </c>
      <c r="D428">
        <f t="shared" si="13"/>
        <v>273.42</v>
      </c>
    </row>
    <row r="429" spans="1:4">
      <c r="A429">
        <f t="shared" si="12"/>
        <v>427</v>
      </c>
      <c r="B429">
        <v>4270</v>
      </c>
      <c r="C429">
        <v>27403</v>
      </c>
      <c r="D429">
        <f t="shared" si="13"/>
        <v>274.02999999999997</v>
      </c>
    </row>
    <row r="430" spans="1:4">
      <c r="A430">
        <f t="shared" si="12"/>
        <v>428</v>
      </c>
      <c r="B430">
        <v>4280</v>
      </c>
      <c r="C430">
        <v>27464</v>
      </c>
      <c r="D430">
        <f t="shared" si="13"/>
        <v>274.64</v>
      </c>
    </row>
    <row r="431" spans="1:4">
      <c r="A431">
        <f t="shared" si="12"/>
        <v>429</v>
      </c>
      <c r="B431">
        <v>4290</v>
      </c>
      <c r="C431">
        <v>27526</v>
      </c>
      <c r="D431">
        <f t="shared" si="13"/>
        <v>275.26</v>
      </c>
    </row>
    <row r="432" spans="1:4">
      <c r="A432">
        <f t="shared" si="12"/>
        <v>430</v>
      </c>
      <c r="B432">
        <v>4300</v>
      </c>
      <c r="C432">
        <v>27587</v>
      </c>
      <c r="D432">
        <f t="shared" si="13"/>
        <v>275.87</v>
      </c>
    </row>
    <row r="433" spans="1:4">
      <c r="A433">
        <f t="shared" si="12"/>
        <v>431</v>
      </c>
      <c r="B433">
        <v>4310</v>
      </c>
      <c r="C433">
        <v>27649</v>
      </c>
      <c r="D433">
        <f t="shared" si="13"/>
        <v>276.49</v>
      </c>
    </row>
    <row r="434" spans="1:4">
      <c r="A434">
        <f t="shared" si="12"/>
        <v>432</v>
      </c>
      <c r="B434">
        <v>4320</v>
      </c>
      <c r="C434">
        <v>27710</v>
      </c>
      <c r="D434">
        <f t="shared" si="13"/>
        <v>277.10000000000002</v>
      </c>
    </row>
    <row r="435" spans="1:4">
      <c r="A435">
        <f t="shared" si="12"/>
        <v>433</v>
      </c>
      <c r="B435">
        <v>4330</v>
      </c>
      <c r="C435">
        <v>27772</v>
      </c>
      <c r="D435">
        <f t="shared" si="13"/>
        <v>277.72000000000003</v>
      </c>
    </row>
    <row r="436" spans="1:4">
      <c r="A436">
        <f t="shared" si="12"/>
        <v>434</v>
      </c>
      <c r="B436">
        <v>4340</v>
      </c>
      <c r="C436">
        <v>27833</v>
      </c>
      <c r="D436">
        <f t="shared" si="13"/>
        <v>278.33</v>
      </c>
    </row>
    <row r="437" spans="1:4">
      <c r="A437">
        <f t="shared" si="12"/>
        <v>435</v>
      </c>
      <c r="B437">
        <v>4350</v>
      </c>
      <c r="C437">
        <v>27895</v>
      </c>
      <c r="D437">
        <f t="shared" si="13"/>
        <v>278.95</v>
      </c>
    </row>
    <row r="438" spans="1:4">
      <c r="A438">
        <f t="shared" si="12"/>
        <v>436</v>
      </c>
      <c r="B438">
        <v>4360</v>
      </c>
      <c r="C438">
        <v>27956</v>
      </c>
      <c r="D438">
        <f t="shared" si="13"/>
        <v>279.56</v>
      </c>
    </row>
    <row r="439" spans="1:4">
      <c r="A439">
        <f t="shared" si="12"/>
        <v>437</v>
      </c>
      <c r="B439">
        <v>4370</v>
      </c>
      <c r="C439">
        <v>28018</v>
      </c>
      <c r="D439">
        <f t="shared" si="13"/>
        <v>280.18</v>
      </c>
    </row>
    <row r="440" spans="1:4">
      <c r="A440">
        <f t="shared" si="12"/>
        <v>438</v>
      </c>
      <c r="B440">
        <v>4380</v>
      </c>
      <c r="C440">
        <v>28079</v>
      </c>
      <c r="D440">
        <f t="shared" si="13"/>
        <v>280.79000000000002</v>
      </c>
    </row>
    <row r="441" spans="1:4">
      <c r="A441">
        <f t="shared" si="12"/>
        <v>439</v>
      </c>
      <c r="B441">
        <v>4390</v>
      </c>
      <c r="C441">
        <v>28141</v>
      </c>
      <c r="D441">
        <f t="shared" si="13"/>
        <v>281.41000000000003</v>
      </c>
    </row>
    <row r="442" spans="1:4">
      <c r="A442">
        <f t="shared" si="12"/>
        <v>440</v>
      </c>
      <c r="B442">
        <v>4400</v>
      </c>
      <c r="C442">
        <v>28202</v>
      </c>
      <c r="D442">
        <f t="shared" si="13"/>
        <v>282.02</v>
      </c>
    </row>
    <row r="443" spans="1:4">
      <c r="A443">
        <f t="shared" si="12"/>
        <v>441</v>
      </c>
      <c r="B443">
        <v>4410</v>
      </c>
      <c r="C443">
        <v>28264</v>
      </c>
      <c r="D443">
        <f t="shared" si="13"/>
        <v>282.64</v>
      </c>
    </row>
    <row r="444" spans="1:4">
      <c r="A444">
        <f t="shared" si="12"/>
        <v>442</v>
      </c>
      <c r="B444">
        <v>4420</v>
      </c>
      <c r="C444">
        <v>28325</v>
      </c>
      <c r="D444">
        <f t="shared" si="13"/>
        <v>283.25</v>
      </c>
    </row>
    <row r="445" spans="1:4">
      <c r="A445">
        <f t="shared" si="12"/>
        <v>443</v>
      </c>
      <c r="B445">
        <v>4430</v>
      </c>
      <c r="C445">
        <v>28387</v>
      </c>
      <c r="D445">
        <f t="shared" si="13"/>
        <v>283.87</v>
      </c>
    </row>
    <row r="446" spans="1:4">
      <c r="A446">
        <f t="shared" si="12"/>
        <v>444</v>
      </c>
      <c r="B446">
        <v>4440</v>
      </c>
      <c r="C446">
        <v>28448</v>
      </c>
      <c r="D446">
        <f t="shared" si="13"/>
        <v>284.48</v>
      </c>
    </row>
    <row r="447" spans="1:4">
      <c r="A447">
        <f t="shared" si="12"/>
        <v>445</v>
      </c>
      <c r="B447">
        <v>4450</v>
      </c>
      <c r="C447">
        <v>28509</v>
      </c>
      <c r="D447">
        <f t="shared" si="13"/>
        <v>285.08999999999997</v>
      </c>
    </row>
    <row r="448" spans="1:4">
      <c r="A448">
        <f t="shared" si="12"/>
        <v>446</v>
      </c>
      <c r="B448">
        <v>4460</v>
      </c>
      <c r="C448">
        <v>28571</v>
      </c>
      <c r="D448">
        <f t="shared" si="13"/>
        <v>285.70999999999998</v>
      </c>
    </row>
    <row r="449" spans="1:4">
      <c r="A449">
        <f t="shared" si="12"/>
        <v>447</v>
      </c>
      <c r="B449">
        <v>4470</v>
      </c>
      <c r="C449">
        <v>28632</v>
      </c>
      <c r="D449">
        <f t="shared" si="13"/>
        <v>286.32</v>
      </c>
    </row>
    <row r="450" spans="1:4">
      <c r="A450">
        <f t="shared" si="12"/>
        <v>448</v>
      </c>
      <c r="B450">
        <v>4480</v>
      </c>
      <c r="C450">
        <v>28694</v>
      </c>
      <c r="D450">
        <f t="shared" si="13"/>
        <v>286.94</v>
      </c>
    </row>
    <row r="451" spans="1:4">
      <c r="A451">
        <f t="shared" ref="A451:A514" si="14">B451/10</f>
        <v>449</v>
      </c>
      <c r="B451">
        <v>4490</v>
      </c>
      <c r="C451">
        <v>28755</v>
      </c>
      <c r="D451">
        <f t="shared" ref="D451:D514" si="15">C451/100</f>
        <v>287.55</v>
      </c>
    </row>
    <row r="452" spans="1:4">
      <c r="A452">
        <f t="shared" si="14"/>
        <v>450</v>
      </c>
      <c r="B452">
        <v>4500</v>
      </c>
      <c r="C452">
        <v>28817</v>
      </c>
      <c r="D452">
        <f t="shared" si="15"/>
        <v>288.17</v>
      </c>
    </row>
    <row r="453" spans="1:4">
      <c r="A453">
        <f t="shared" si="14"/>
        <v>451</v>
      </c>
      <c r="B453">
        <v>4510</v>
      </c>
      <c r="C453">
        <v>28878</v>
      </c>
      <c r="D453">
        <f t="shared" si="15"/>
        <v>288.77999999999997</v>
      </c>
    </row>
    <row r="454" spans="1:4">
      <c r="A454">
        <f t="shared" si="14"/>
        <v>452</v>
      </c>
      <c r="B454">
        <v>4520</v>
      </c>
      <c r="C454">
        <v>28940</v>
      </c>
      <c r="D454">
        <f t="shared" si="15"/>
        <v>289.39999999999998</v>
      </c>
    </row>
    <row r="455" spans="1:4">
      <c r="A455">
        <f t="shared" si="14"/>
        <v>453</v>
      </c>
      <c r="B455">
        <v>4530</v>
      </c>
      <c r="C455">
        <v>29001</v>
      </c>
      <c r="D455">
        <f t="shared" si="15"/>
        <v>290.01</v>
      </c>
    </row>
    <row r="456" spans="1:4">
      <c r="A456">
        <f t="shared" si="14"/>
        <v>454</v>
      </c>
      <c r="B456">
        <v>4540</v>
      </c>
      <c r="C456">
        <v>29063</v>
      </c>
      <c r="D456">
        <f t="shared" si="15"/>
        <v>290.63</v>
      </c>
    </row>
    <row r="457" spans="1:4">
      <c r="A457">
        <f t="shared" si="14"/>
        <v>455</v>
      </c>
      <c r="B457">
        <v>4550</v>
      </c>
      <c r="C457">
        <v>29124</v>
      </c>
      <c r="D457">
        <f t="shared" si="15"/>
        <v>291.24</v>
      </c>
    </row>
    <row r="458" spans="1:4">
      <c r="A458">
        <f t="shared" si="14"/>
        <v>456</v>
      </c>
      <c r="B458">
        <v>4560</v>
      </c>
      <c r="C458">
        <v>29182</v>
      </c>
      <c r="D458">
        <f t="shared" si="15"/>
        <v>291.82</v>
      </c>
    </row>
    <row r="459" spans="1:4">
      <c r="A459">
        <f t="shared" si="14"/>
        <v>457</v>
      </c>
      <c r="B459">
        <v>4570</v>
      </c>
      <c r="C459">
        <v>29244</v>
      </c>
      <c r="D459">
        <f t="shared" si="15"/>
        <v>292.44</v>
      </c>
    </row>
    <row r="460" spans="1:4">
      <c r="A460">
        <f t="shared" si="14"/>
        <v>458</v>
      </c>
      <c r="B460">
        <v>4580</v>
      </c>
      <c r="C460">
        <v>29304</v>
      </c>
      <c r="D460">
        <f t="shared" si="15"/>
        <v>293.04000000000002</v>
      </c>
    </row>
    <row r="461" spans="1:4">
      <c r="A461">
        <f t="shared" si="14"/>
        <v>459</v>
      </c>
      <c r="B461">
        <v>4590</v>
      </c>
      <c r="C461">
        <v>29361</v>
      </c>
      <c r="D461">
        <f t="shared" si="15"/>
        <v>293.61</v>
      </c>
    </row>
    <row r="462" spans="1:4">
      <c r="A462">
        <f t="shared" si="14"/>
        <v>460</v>
      </c>
      <c r="B462">
        <v>4600</v>
      </c>
      <c r="C462">
        <v>29415</v>
      </c>
      <c r="D462">
        <f t="shared" si="15"/>
        <v>294.14999999999998</v>
      </c>
    </row>
    <row r="463" spans="1:4">
      <c r="A463">
        <f t="shared" si="14"/>
        <v>461</v>
      </c>
      <c r="B463">
        <v>4610</v>
      </c>
      <c r="C463">
        <v>29466</v>
      </c>
      <c r="D463">
        <f t="shared" si="15"/>
        <v>294.66000000000003</v>
      </c>
    </row>
    <row r="464" spans="1:4">
      <c r="A464">
        <f t="shared" si="14"/>
        <v>462</v>
      </c>
      <c r="B464">
        <v>4620</v>
      </c>
      <c r="C464">
        <v>29514</v>
      </c>
      <c r="D464">
        <f t="shared" si="15"/>
        <v>295.14</v>
      </c>
    </row>
    <row r="465" spans="1:4">
      <c r="A465">
        <f t="shared" si="14"/>
        <v>463</v>
      </c>
      <c r="B465">
        <v>4630</v>
      </c>
      <c r="C465">
        <v>29559</v>
      </c>
      <c r="D465">
        <f t="shared" si="15"/>
        <v>295.58999999999997</v>
      </c>
    </row>
    <row r="466" spans="1:4">
      <c r="A466">
        <f t="shared" si="14"/>
        <v>464</v>
      </c>
      <c r="B466">
        <v>4640</v>
      </c>
      <c r="C466">
        <v>29602</v>
      </c>
      <c r="D466">
        <f t="shared" si="15"/>
        <v>296.02</v>
      </c>
    </row>
    <row r="467" spans="1:4">
      <c r="A467">
        <f t="shared" si="14"/>
        <v>465</v>
      </c>
      <c r="B467">
        <v>4650</v>
      </c>
      <c r="C467">
        <v>29641</v>
      </c>
      <c r="D467">
        <f t="shared" si="15"/>
        <v>296.41000000000003</v>
      </c>
    </row>
    <row r="468" spans="1:4">
      <c r="A468">
        <f t="shared" si="14"/>
        <v>466</v>
      </c>
      <c r="B468">
        <v>4660</v>
      </c>
      <c r="C468">
        <v>29979</v>
      </c>
      <c r="D468">
        <f t="shared" si="15"/>
        <v>299.79000000000002</v>
      </c>
    </row>
    <row r="469" spans="1:4">
      <c r="A469">
        <f t="shared" si="14"/>
        <v>467</v>
      </c>
      <c r="B469">
        <v>4670</v>
      </c>
      <c r="C469">
        <v>29713</v>
      </c>
      <c r="D469">
        <f t="shared" si="15"/>
        <v>297.13</v>
      </c>
    </row>
    <row r="470" spans="1:4">
      <c r="A470">
        <f t="shared" si="14"/>
        <v>468</v>
      </c>
      <c r="B470">
        <v>4680</v>
      </c>
      <c r="C470">
        <v>29745</v>
      </c>
      <c r="D470">
        <f t="shared" si="15"/>
        <v>297.45</v>
      </c>
    </row>
    <row r="471" spans="1:4">
      <c r="A471">
        <f t="shared" si="14"/>
        <v>469</v>
      </c>
      <c r="B471">
        <v>4690</v>
      </c>
      <c r="C471">
        <v>29775</v>
      </c>
      <c r="D471">
        <f t="shared" si="15"/>
        <v>297.75</v>
      </c>
    </row>
    <row r="472" spans="1:4">
      <c r="A472">
        <f t="shared" si="14"/>
        <v>470</v>
      </c>
      <c r="B472">
        <v>4700</v>
      </c>
      <c r="C472">
        <v>29803</v>
      </c>
      <c r="D472">
        <f t="shared" si="15"/>
        <v>298.02999999999997</v>
      </c>
    </row>
    <row r="473" spans="1:4">
      <c r="A473">
        <f t="shared" si="14"/>
        <v>471</v>
      </c>
      <c r="B473">
        <v>4710</v>
      </c>
      <c r="C473">
        <v>29828</v>
      </c>
      <c r="D473">
        <f t="shared" si="15"/>
        <v>298.27999999999997</v>
      </c>
    </row>
    <row r="474" spans="1:4">
      <c r="A474">
        <f t="shared" si="14"/>
        <v>472</v>
      </c>
      <c r="B474">
        <v>4720</v>
      </c>
      <c r="C474">
        <v>29852</v>
      </c>
      <c r="D474">
        <f t="shared" si="15"/>
        <v>298.52</v>
      </c>
    </row>
    <row r="475" spans="1:4">
      <c r="A475">
        <f t="shared" si="14"/>
        <v>473</v>
      </c>
      <c r="B475">
        <v>4730</v>
      </c>
      <c r="C475">
        <v>29873</v>
      </c>
      <c r="D475">
        <f t="shared" si="15"/>
        <v>298.73</v>
      </c>
    </row>
    <row r="476" spans="1:4">
      <c r="A476">
        <f t="shared" si="14"/>
        <v>474</v>
      </c>
      <c r="B476">
        <v>4740</v>
      </c>
      <c r="C476">
        <v>29893</v>
      </c>
      <c r="D476">
        <f t="shared" si="15"/>
        <v>298.93</v>
      </c>
    </row>
    <row r="477" spans="1:4">
      <c r="A477">
        <f t="shared" si="14"/>
        <v>475</v>
      </c>
      <c r="B477">
        <v>4750</v>
      </c>
      <c r="C477">
        <v>29910</v>
      </c>
      <c r="D477">
        <f t="shared" si="15"/>
        <v>299.10000000000002</v>
      </c>
    </row>
    <row r="478" spans="1:4">
      <c r="A478">
        <f t="shared" si="14"/>
        <v>476</v>
      </c>
      <c r="B478">
        <v>4760</v>
      </c>
      <c r="C478">
        <v>29926</v>
      </c>
      <c r="D478">
        <f t="shared" si="15"/>
        <v>299.26</v>
      </c>
    </row>
    <row r="479" spans="1:4">
      <c r="A479">
        <f t="shared" si="14"/>
        <v>477</v>
      </c>
      <c r="B479">
        <v>4770</v>
      </c>
      <c r="C479">
        <v>29941</v>
      </c>
      <c r="D479">
        <f t="shared" si="15"/>
        <v>299.41000000000003</v>
      </c>
    </row>
    <row r="480" spans="1:4">
      <c r="A480">
        <f t="shared" si="14"/>
        <v>478</v>
      </c>
      <c r="B480">
        <v>4780</v>
      </c>
      <c r="C480">
        <v>29954</v>
      </c>
      <c r="D480">
        <f t="shared" si="15"/>
        <v>299.54000000000002</v>
      </c>
    </row>
    <row r="481" spans="1:4">
      <c r="A481">
        <f t="shared" si="14"/>
        <v>479</v>
      </c>
      <c r="B481">
        <v>4790</v>
      </c>
      <c r="C481">
        <v>29966</v>
      </c>
      <c r="D481">
        <f t="shared" si="15"/>
        <v>299.66000000000003</v>
      </c>
    </row>
    <row r="482" spans="1:4">
      <c r="A482">
        <f t="shared" si="14"/>
        <v>480</v>
      </c>
      <c r="B482">
        <v>4800</v>
      </c>
      <c r="C482">
        <v>29976</v>
      </c>
      <c r="D482">
        <f t="shared" si="15"/>
        <v>299.76</v>
      </c>
    </row>
    <row r="483" spans="1:4">
      <c r="A483">
        <f t="shared" si="14"/>
        <v>481</v>
      </c>
      <c r="B483">
        <v>4810</v>
      </c>
      <c r="C483">
        <v>29986</v>
      </c>
      <c r="D483">
        <f t="shared" si="15"/>
        <v>299.86</v>
      </c>
    </row>
    <row r="484" spans="1:4">
      <c r="A484">
        <f t="shared" si="14"/>
        <v>482</v>
      </c>
      <c r="B484">
        <v>4820</v>
      </c>
      <c r="C484">
        <v>29993</v>
      </c>
      <c r="D484">
        <f t="shared" si="15"/>
        <v>299.93</v>
      </c>
    </row>
    <row r="485" spans="1:4">
      <c r="A485">
        <f t="shared" si="14"/>
        <v>483</v>
      </c>
      <c r="B485">
        <v>4830</v>
      </c>
      <c r="C485">
        <v>30000</v>
      </c>
      <c r="D485">
        <f t="shared" si="15"/>
        <v>300</v>
      </c>
    </row>
    <row r="486" spans="1:4">
      <c r="A486">
        <f t="shared" si="14"/>
        <v>484</v>
      </c>
      <c r="B486">
        <v>4840</v>
      </c>
      <c r="C486">
        <v>30007</v>
      </c>
      <c r="D486">
        <f t="shared" si="15"/>
        <v>300.07</v>
      </c>
    </row>
    <row r="487" spans="1:4">
      <c r="A487">
        <f t="shared" si="14"/>
        <v>485</v>
      </c>
      <c r="B487">
        <v>4850</v>
      </c>
      <c r="C487">
        <v>30012</v>
      </c>
      <c r="D487">
        <f t="shared" si="15"/>
        <v>300.12</v>
      </c>
    </row>
    <row r="488" spans="1:4">
      <c r="A488">
        <f t="shared" si="14"/>
        <v>486</v>
      </c>
      <c r="B488">
        <v>4860</v>
      </c>
      <c r="C488">
        <v>30016</v>
      </c>
      <c r="D488">
        <f t="shared" si="15"/>
        <v>300.16000000000003</v>
      </c>
    </row>
    <row r="489" spans="1:4">
      <c r="A489">
        <f t="shared" si="14"/>
        <v>487</v>
      </c>
      <c r="B489">
        <v>4870</v>
      </c>
      <c r="C489">
        <v>30020</v>
      </c>
      <c r="D489">
        <f t="shared" si="15"/>
        <v>300.2</v>
      </c>
    </row>
    <row r="490" spans="1:4">
      <c r="A490">
        <f t="shared" si="14"/>
        <v>488</v>
      </c>
      <c r="B490">
        <v>4880</v>
      </c>
      <c r="C490">
        <v>30024</v>
      </c>
      <c r="D490">
        <f t="shared" si="15"/>
        <v>300.24</v>
      </c>
    </row>
    <row r="491" spans="1:4">
      <c r="A491">
        <f t="shared" si="14"/>
        <v>489</v>
      </c>
      <c r="B491">
        <v>4890</v>
      </c>
      <c r="C491">
        <v>30026</v>
      </c>
      <c r="D491">
        <f t="shared" si="15"/>
        <v>300.26</v>
      </c>
    </row>
    <row r="492" spans="1:4">
      <c r="A492">
        <f t="shared" si="14"/>
        <v>490</v>
      </c>
      <c r="B492">
        <v>4900</v>
      </c>
      <c r="C492">
        <v>30029</v>
      </c>
      <c r="D492">
        <f t="shared" si="15"/>
        <v>300.29000000000002</v>
      </c>
    </row>
    <row r="493" spans="1:4">
      <c r="A493">
        <f t="shared" si="14"/>
        <v>491</v>
      </c>
      <c r="B493">
        <v>4910</v>
      </c>
      <c r="C493">
        <v>30031</v>
      </c>
      <c r="D493">
        <f t="shared" si="15"/>
        <v>300.31</v>
      </c>
    </row>
    <row r="494" spans="1:4">
      <c r="A494">
        <f t="shared" si="14"/>
        <v>492</v>
      </c>
      <c r="B494">
        <v>4920</v>
      </c>
      <c r="C494">
        <v>30033</v>
      </c>
      <c r="D494">
        <f t="shared" si="15"/>
        <v>300.33</v>
      </c>
    </row>
    <row r="495" spans="1:4">
      <c r="A495">
        <f t="shared" si="14"/>
        <v>493</v>
      </c>
      <c r="B495">
        <v>4930</v>
      </c>
      <c r="C495">
        <v>30035</v>
      </c>
      <c r="D495">
        <f t="shared" si="15"/>
        <v>300.35000000000002</v>
      </c>
    </row>
    <row r="496" spans="1:4">
      <c r="A496">
        <f t="shared" si="14"/>
        <v>494</v>
      </c>
      <c r="B496">
        <v>4940</v>
      </c>
      <c r="C496">
        <v>30037</v>
      </c>
      <c r="D496">
        <f t="shared" si="15"/>
        <v>300.37</v>
      </c>
    </row>
    <row r="497" spans="1:4">
      <c r="A497">
        <f t="shared" si="14"/>
        <v>495</v>
      </c>
      <c r="B497">
        <v>4950</v>
      </c>
      <c r="C497">
        <v>30039</v>
      </c>
      <c r="D497">
        <f t="shared" si="15"/>
        <v>300.39</v>
      </c>
    </row>
    <row r="498" spans="1:4">
      <c r="A498">
        <f t="shared" si="14"/>
        <v>496</v>
      </c>
      <c r="B498">
        <v>4960</v>
      </c>
      <c r="C498">
        <v>30041</v>
      </c>
      <c r="D498">
        <f t="shared" si="15"/>
        <v>300.41000000000003</v>
      </c>
    </row>
    <row r="499" spans="1:4">
      <c r="A499">
        <f t="shared" si="14"/>
        <v>497</v>
      </c>
      <c r="B499">
        <v>4970</v>
      </c>
      <c r="C499">
        <v>30043</v>
      </c>
      <c r="D499">
        <f t="shared" si="15"/>
        <v>300.43</v>
      </c>
    </row>
    <row r="500" spans="1:4">
      <c r="A500">
        <f t="shared" si="14"/>
        <v>498</v>
      </c>
      <c r="B500">
        <v>4980</v>
      </c>
      <c r="C500">
        <v>30045</v>
      </c>
      <c r="D500">
        <f t="shared" si="15"/>
        <v>300.45</v>
      </c>
    </row>
    <row r="501" spans="1:4">
      <c r="A501">
        <f t="shared" si="14"/>
        <v>499</v>
      </c>
      <c r="B501">
        <v>4990</v>
      </c>
      <c r="C501">
        <v>30047</v>
      </c>
      <c r="D501">
        <f t="shared" si="15"/>
        <v>300.47000000000003</v>
      </c>
    </row>
    <row r="502" spans="1:4">
      <c r="A502">
        <f t="shared" si="14"/>
        <v>500</v>
      </c>
      <c r="B502">
        <v>5000</v>
      </c>
      <c r="C502">
        <v>30049</v>
      </c>
      <c r="D502">
        <f t="shared" si="15"/>
        <v>300.49</v>
      </c>
    </row>
    <row r="503" spans="1:4">
      <c r="A503">
        <f t="shared" si="14"/>
        <v>501</v>
      </c>
      <c r="B503">
        <v>5010</v>
      </c>
      <c r="C503">
        <v>30051</v>
      </c>
      <c r="D503">
        <f t="shared" si="15"/>
        <v>300.51</v>
      </c>
    </row>
    <row r="504" spans="1:4">
      <c r="A504">
        <f t="shared" si="14"/>
        <v>502</v>
      </c>
      <c r="B504">
        <v>5020</v>
      </c>
      <c r="C504">
        <v>30053</v>
      </c>
      <c r="D504">
        <f t="shared" si="15"/>
        <v>300.52999999999997</v>
      </c>
    </row>
    <row r="505" spans="1:4">
      <c r="A505">
        <f t="shared" si="14"/>
        <v>503</v>
      </c>
      <c r="B505">
        <v>5030</v>
      </c>
      <c r="C505">
        <v>30055</v>
      </c>
      <c r="D505">
        <f t="shared" si="15"/>
        <v>300.55</v>
      </c>
    </row>
    <row r="506" spans="1:4">
      <c r="A506">
        <f t="shared" si="14"/>
        <v>504</v>
      </c>
      <c r="B506">
        <v>5040</v>
      </c>
      <c r="C506">
        <v>30057</v>
      </c>
      <c r="D506">
        <f t="shared" si="15"/>
        <v>300.57</v>
      </c>
    </row>
    <row r="507" spans="1:4">
      <c r="A507">
        <f t="shared" si="14"/>
        <v>505</v>
      </c>
      <c r="B507">
        <v>5050</v>
      </c>
      <c r="C507">
        <v>30059</v>
      </c>
      <c r="D507">
        <f t="shared" si="15"/>
        <v>300.58999999999997</v>
      </c>
    </row>
    <row r="508" spans="1:4">
      <c r="A508">
        <f t="shared" si="14"/>
        <v>506</v>
      </c>
      <c r="B508">
        <v>5060</v>
      </c>
      <c r="C508">
        <v>30061</v>
      </c>
      <c r="D508">
        <f t="shared" si="15"/>
        <v>300.61</v>
      </c>
    </row>
    <row r="509" spans="1:4">
      <c r="A509">
        <f t="shared" si="14"/>
        <v>507</v>
      </c>
      <c r="B509">
        <v>5070</v>
      </c>
      <c r="C509">
        <v>30063</v>
      </c>
      <c r="D509">
        <f t="shared" si="15"/>
        <v>300.63</v>
      </c>
    </row>
    <row r="510" spans="1:4">
      <c r="A510">
        <f t="shared" si="14"/>
        <v>508</v>
      </c>
      <c r="B510">
        <v>5080</v>
      </c>
      <c r="C510">
        <v>30065</v>
      </c>
      <c r="D510">
        <f t="shared" si="15"/>
        <v>300.64999999999998</v>
      </c>
    </row>
    <row r="511" spans="1:4">
      <c r="A511">
        <f t="shared" si="14"/>
        <v>509</v>
      </c>
      <c r="B511">
        <v>5090</v>
      </c>
      <c r="C511">
        <v>30067</v>
      </c>
      <c r="D511">
        <f t="shared" si="15"/>
        <v>300.67</v>
      </c>
    </row>
    <row r="512" spans="1:4">
      <c r="A512">
        <f t="shared" si="14"/>
        <v>510</v>
      </c>
      <c r="B512">
        <v>5100</v>
      </c>
      <c r="C512">
        <v>30068</v>
      </c>
      <c r="D512">
        <f t="shared" si="15"/>
        <v>300.68</v>
      </c>
    </row>
    <row r="513" spans="1:4">
      <c r="A513">
        <f t="shared" si="14"/>
        <v>511</v>
      </c>
      <c r="B513">
        <v>5110</v>
      </c>
      <c r="C513">
        <v>30070</v>
      </c>
      <c r="D513">
        <f t="shared" si="15"/>
        <v>300.7</v>
      </c>
    </row>
    <row r="514" spans="1:4">
      <c r="A514">
        <f t="shared" si="14"/>
        <v>512</v>
      </c>
      <c r="B514">
        <v>5120</v>
      </c>
      <c r="C514">
        <v>30072</v>
      </c>
      <c r="D514">
        <f t="shared" si="15"/>
        <v>300.72000000000003</v>
      </c>
    </row>
    <row r="515" spans="1:4">
      <c r="A515">
        <f t="shared" ref="A515:A544" si="16">B515/10</f>
        <v>513</v>
      </c>
      <c r="B515">
        <v>5130</v>
      </c>
      <c r="C515">
        <v>30074</v>
      </c>
      <c r="D515">
        <f t="shared" ref="D515:D544" si="17">C515/100</f>
        <v>300.74</v>
      </c>
    </row>
    <row r="516" spans="1:4">
      <c r="A516">
        <f t="shared" si="16"/>
        <v>514</v>
      </c>
      <c r="B516">
        <v>5140</v>
      </c>
      <c r="C516">
        <v>30076</v>
      </c>
      <c r="D516">
        <f t="shared" si="17"/>
        <v>300.76</v>
      </c>
    </row>
    <row r="517" spans="1:4">
      <c r="A517">
        <f t="shared" si="16"/>
        <v>515</v>
      </c>
      <c r="B517">
        <v>5150</v>
      </c>
      <c r="C517">
        <v>30078</v>
      </c>
      <c r="D517">
        <f t="shared" si="17"/>
        <v>300.77999999999997</v>
      </c>
    </row>
    <row r="518" spans="1:4">
      <c r="A518">
        <f t="shared" si="16"/>
        <v>516</v>
      </c>
      <c r="B518">
        <v>5160</v>
      </c>
      <c r="C518">
        <v>30080</v>
      </c>
      <c r="D518">
        <f t="shared" si="17"/>
        <v>300.8</v>
      </c>
    </row>
    <row r="519" spans="1:4">
      <c r="A519">
        <f t="shared" si="16"/>
        <v>517</v>
      </c>
      <c r="B519">
        <v>5170</v>
      </c>
      <c r="C519">
        <v>30082</v>
      </c>
      <c r="D519">
        <f t="shared" si="17"/>
        <v>300.82</v>
      </c>
    </row>
    <row r="520" spans="1:4">
      <c r="A520">
        <f t="shared" si="16"/>
        <v>518</v>
      </c>
      <c r="B520">
        <v>5180</v>
      </c>
      <c r="C520">
        <v>30084</v>
      </c>
      <c r="D520">
        <f t="shared" si="17"/>
        <v>300.83999999999997</v>
      </c>
    </row>
    <row r="521" spans="1:4">
      <c r="A521">
        <f t="shared" si="16"/>
        <v>519</v>
      </c>
      <c r="B521">
        <v>5190</v>
      </c>
      <c r="C521">
        <v>30086</v>
      </c>
      <c r="D521">
        <f t="shared" si="17"/>
        <v>300.86</v>
      </c>
    </row>
    <row r="522" spans="1:4">
      <c r="A522">
        <f t="shared" si="16"/>
        <v>520</v>
      </c>
      <c r="B522">
        <v>5200</v>
      </c>
      <c r="C522">
        <v>30088</v>
      </c>
      <c r="D522">
        <f t="shared" si="17"/>
        <v>300.88</v>
      </c>
    </row>
    <row r="523" spans="1:4">
      <c r="A523">
        <f t="shared" si="16"/>
        <v>521</v>
      </c>
      <c r="B523">
        <v>5210</v>
      </c>
      <c r="C523">
        <v>30090</v>
      </c>
      <c r="D523">
        <f t="shared" si="17"/>
        <v>300.89999999999998</v>
      </c>
    </row>
    <row r="524" spans="1:4">
      <c r="A524">
        <f t="shared" si="16"/>
        <v>522</v>
      </c>
      <c r="B524">
        <v>5220</v>
      </c>
      <c r="C524">
        <v>30092</v>
      </c>
      <c r="D524">
        <f t="shared" si="17"/>
        <v>300.92</v>
      </c>
    </row>
    <row r="525" spans="1:4">
      <c r="A525">
        <f t="shared" si="16"/>
        <v>523</v>
      </c>
      <c r="B525">
        <v>5230</v>
      </c>
      <c r="C525">
        <v>30094</v>
      </c>
      <c r="D525">
        <f t="shared" si="17"/>
        <v>300.94</v>
      </c>
    </row>
    <row r="526" spans="1:4">
      <c r="A526">
        <f t="shared" si="16"/>
        <v>524</v>
      </c>
      <c r="B526">
        <v>5240</v>
      </c>
      <c r="C526">
        <v>30096</v>
      </c>
      <c r="D526">
        <f t="shared" si="17"/>
        <v>300.95999999999998</v>
      </c>
    </row>
    <row r="527" spans="1:4">
      <c r="A527">
        <f t="shared" si="16"/>
        <v>525</v>
      </c>
      <c r="B527">
        <v>5250</v>
      </c>
      <c r="C527">
        <v>30098</v>
      </c>
      <c r="D527">
        <f t="shared" si="17"/>
        <v>300.98</v>
      </c>
    </row>
    <row r="528" spans="1:4">
      <c r="A528">
        <f t="shared" si="16"/>
        <v>526</v>
      </c>
      <c r="B528">
        <v>5260</v>
      </c>
      <c r="C528">
        <v>30100</v>
      </c>
      <c r="D528">
        <f t="shared" si="17"/>
        <v>301</v>
      </c>
    </row>
    <row r="529" spans="1:4">
      <c r="A529">
        <f t="shared" si="16"/>
        <v>527</v>
      </c>
      <c r="B529">
        <v>5270</v>
      </c>
      <c r="C529">
        <v>30102</v>
      </c>
      <c r="D529">
        <f t="shared" si="17"/>
        <v>301.02</v>
      </c>
    </row>
    <row r="530" spans="1:4">
      <c r="A530">
        <f t="shared" si="16"/>
        <v>528</v>
      </c>
      <c r="B530">
        <v>5280</v>
      </c>
      <c r="C530">
        <v>30104</v>
      </c>
      <c r="D530">
        <f t="shared" si="17"/>
        <v>301.04000000000002</v>
      </c>
    </row>
    <row r="531" spans="1:4">
      <c r="A531">
        <f t="shared" si="16"/>
        <v>529</v>
      </c>
      <c r="B531">
        <v>5290</v>
      </c>
      <c r="C531">
        <v>30106</v>
      </c>
      <c r="D531">
        <f t="shared" si="17"/>
        <v>301.06</v>
      </c>
    </row>
    <row r="532" spans="1:4">
      <c r="A532">
        <f t="shared" si="16"/>
        <v>530</v>
      </c>
      <c r="B532">
        <v>5300</v>
      </c>
      <c r="C532">
        <v>30108</v>
      </c>
      <c r="D532">
        <f t="shared" si="17"/>
        <v>301.08</v>
      </c>
    </row>
    <row r="533" spans="1:4">
      <c r="A533">
        <f t="shared" si="16"/>
        <v>531</v>
      </c>
      <c r="B533">
        <v>5310</v>
      </c>
      <c r="C533">
        <v>30110</v>
      </c>
      <c r="D533">
        <f t="shared" si="17"/>
        <v>301.10000000000002</v>
      </c>
    </row>
    <row r="534" spans="1:4">
      <c r="A534">
        <f t="shared" si="16"/>
        <v>532</v>
      </c>
      <c r="B534">
        <v>5320</v>
      </c>
      <c r="C534">
        <v>30112</v>
      </c>
      <c r="D534">
        <f t="shared" si="17"/>
        <v>301.12</v>
      </c>
    </row>
    <row r="535" spans="1:4">
      <c r="A535">
        <f t="shared" si="16"/>
        <v>533</v>
      </c>
      <c r="B535">
        <v>5330</v>
      </c>
      <c r="C535">
        <v>30114</v>
      </c>
      <c r="D535">
        <f t="shared" si="17"/>
        <v>301.14</v>
      </c>
    </row>
    <row r="536" spans="1:4">
      <c r="A536">
        <f t="shared" si="16"/>
        <v>534</v>
      </c>
      <c r="B536">
        <v>5340</v>
      </c>
      <c r="C536">
        <v>30116</v>
      </c>
      <c r="D536">
        <f t="shared" si="17"/>
        <v>301.16000000000003</v>
      </c>
    </row>
    <row r="537" spans="1:4">
      <c r="A537">
        <f t="shared" si="16"/>
        <v>535</v>
      </c>
      <c r="B537">
        <v>5350</v>
      </c>
      <c r="C537">
        <v>30118</v>
      </c>
      <c r="D537">
        <f t="shared" si="17"/>
        <v>301.18</v>
      </c>
    </row>
    <row r="538" spans="1:4">
      <c r="A538">
        <f t="shared" si="16"/>
        <v>536</v>
      </c>
      <c r="B538">
        <v>5360</v>
      </c>
      <c r="C538">
        <v>30120</v>
      </c>
      <c r="D538">
        <f t="shared" si="17"/>
        <v>301.2</v>
      </c>
    </row>
    <row r="539" spans="1:4">
      <c r="A539">
        <f t="shared" si="16"/>
        <v>537</v>
      </c>
      <c r="B539">
        <v>5370</v>
      </c>
      <c r="C539">
        <v>30122</v>
      </c>
      <c r="D539">
        <f t="shared" si="17"/>
        <v>301.22000000000003</v>
      </c>
    </row>
    <row r="540" spans="1:4">
      <c r="A540">
        <f t="shared" si="16"/>
        <v>538</v>
      </c>
      <c r="B540">
        <v>5380</v>
      </c>
      <c r="C540">
        <v>30124</v>
      </c>
      <c r="D540">
        <f t="shared" si="17"/>
        <v>301.24</v>
      </c>
    </row>
    <row r="541" spans="1:4">
      <c r="A541">
        <f t="shared" si="16"/>
        <v>539</v>
      </c>
      <c r="B541">
        <v>5390</v>
      </c>
      <c r="C541">
        <v>30126</v>
      </c>
      <c r="D541">
        <f t="shared" si="17"/>
        <v>301.26</v>
      </c>
    </row>
    <row r="542" spans="1:4">
      <c r="A542">
        <f t="shared" si="16"/>
        <v>540</v>
      </c>
      <c r="B542">
        <v>5400</v>
      </c>
      <c r="C542">
        <v>30128</v>
      </c>
      <c r="D542">
        <f t="shared" si="17"/>
        <v>301.27999999999997</v>
      </c>
    </row>
    <row r="543" spans="1:4">
      <c r="A543">
        <f t="shared" si="16"/>
        <v>541</v>
      </c>
      <c r="B543">
        <v>5410</v>
      </c>
      <c r="C543">
        <v>30130</v>
      </c>
      <c r="D543">
        <f t="shared" si="17"/>
        <v>301.3</v>
      </c>
    </row>
    <row r="544" spans="1:4">
      <c r="A544">
        <f t="shared" si="16"/>
        <v>542</v>
      </c>
      <c r="B544">
        <v>5420</v>
      </c>
      <c r="C544">
        <v>30131</v>
      </c>
      <c r="D544">
        <f t="shared" si="17"/>
        <v>301.31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D585"/>
  <sheetViews>
    <sheetView topLeftCell="A553" workbookViewId="0">
      <selection activeCell="G564" sqref="G564"/>
    </sheetView>
  </sheetViews>
  <sheetFormatPr baseColWidth="10" defaultColWidth="10.3984375" defaultRowHeight="14.25"/>
  <cols>
    <col min="2" max="2" width="11.59765625" customWidth="1"/>
  </cols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>
        <f>B2/10</f>
        <v>0</v>
      </c>
      <c r="B2">
        <v>0</v>
      </c>
      <c r="C2">
        <v>31100</v>
      </c>
      <c r="D2">
        <f>C2/100</f>
        <v>311</v>
      </c>
    </row>
    <row r="3" spans="1:4">
      <c r="A3">
        <f t="shared" ref="A3:A66" si="0">B3/10</f>
        <v>1</v>
      </c>
      <c r="B3">
        <v>10</v>
      </c>
      <c r="C3">
        <v>31106.356</v>
      </c>
      <c r="D3">
        <f t="shared" ref="D3:D66" si="1">C3/100</f>
        <v>311.06356</v>
      </c>
    </row>
    <row r="4" spans="1:4">
      <c r="A4">
        <f t="shared" si="0"/>
        <v>2</v>
      </c>
      <c r="B4">
        <v>20</v>
      </c>
      <c r="C4">
        <v>31112.712</v>
      </c>
      <c r="D4">
        <f t="shared" si="1"/>
        <v>311.12711999999999</v>
      </c>
    </row>
    <row r="5" spans="1:4">
      <c r="A5">
        <f t="shared" si="0"/>
        <v>3</v>
      </c>
      <c r="B5">
        <v>30</v>
      </c>
      <c r="C5">
        <v>31119.067999999999</v>
      </c>
      <c r="D5">
        <f t="shared" si="1"/>
        <v>311.19067999999999</v>
      </c>
    </row>
    <row r="6" spans="1:4">
      <c r="A6">
        <f t="shared" si="0"/>
        <v>4</v>
      </c>
      <c r="B6">
        <v>40</v>
      </c>
      <c r="C6">
        <v>31125.423999999999</v>
      </c>
      <c r="D6">
        <f t="shared" si="1"/>
        <v>311.25423999999998</v>
      </c>
    </row>
    <row r="7" spans="1:4">
      <c r="A7">
        <f t="shared" si="0"/>
        <v>5</v>
      </c>
      <c r="B7">
        <v>50</v>
      </c>
      <c r="C7">
        <v>31131.78</v>
      </c>
      <c r="D7">
        <f t="shared" si="1"/>
        <v>311.31779999999998</v>
      </c>
    </row>
    <row r="8" spans="1:4">
      <c r="A8">
        <f t="shared" si="0"/>
        <v>6</v>
      </c>
      <c r="B8">
        <v>60</v>
      </c>
      <c r="C8">
        <v>31129.822</v>
      </c>
      <c r="D8">
        <f t="shared" si="1"/>
        <v>311.29822000000001</v>
      </c>
    </row>
    <row r="9" spans="1:4">
      <c r="A9">
        <f t="shared" si="0"/>
        <v>7</v>
      </c>
      <c r="B9">
        <v>70</v>
      </c>
      <c r="C9">
        <v>31127.864000000001</v>
      </c>
      <c r="D9">
        <f t="shared" si="1"/>
        <v>311.27864</v>
      </c>
    </row>
    <row r="10" spans="1:4">
      <c r="A10">
        <f t="shared" si="0"/>
        <v>8</v>
      </c>
      <c r="B10">
        <v>80</v>
      </c>
      <c r="C10">
        <v>31125.906000000003</v>
      </c>
      <c r="D10">
        <f t="shared" si="1"/>
        <v>311.25906000000003</v>
      </c>
    </row>
    <row r="11" spans="1:4">
      <c r="A11">
        <f t="shared" si="0"/>
        <v>9</v>
      </c>
      <c r="B11">
        <v>90</v>
      </c>
      <c r="C11">
        <v>31123.948000000004</v>
      </c>
      <c r="D11">
        <f t="shared" si="1"/>
        <v>311.23948000000001</v>
      </c>
    </row>
    <row r="12" spans="1:4">
      <c r="A12">
        <f t="shared" si="0"/>
        <v>10</v>
      </c>
      <c r="B12">
        <v>100</v>
      </c>
      <c r="C12">
        <v>31121.99</v>
      </c>
      <c r="D12">
        <f t="shared" si="1"/>
        <v>311.2199</v>
      </c>
    </row>
    <row r="13" spans="1:4">
      <c r="A13">
        <f t="shared" si="0"/>
        <v>11</v>
      </c>
      <c r="B13">
        <v>110</v>
      </c>
      <c r="C13">
        <v>31120.032000000003</v>
      </c>
      <c r="D13">
        <f t="shared" si="1"/>
        <v>311.20032000000003</v>
      </c>
    </row>
    <row r="14" spans="1:4">
      <c r="A14">
        <f t="shared" si="0"/>
        <v>12</v>
      </c>
      <c r="B14">
        <v>120</v>
      </c>
      <c r="C14">
        <v>31118.074000000004</v>
      </c>
      <c r="D14">
        <f t="shared" si="1"/>
        <v>311.18074000000001</v>
      </c>
    </row>
    <row r="15" spans="1:4">
      <c r="A15">
        <f t="shared" si="0"/>
        <v>13</v>
      </c>
      <c r="B15">
        <v>130</v>
      </c>
      <c r="C15">
        <v>31116.116000000005</v>
      </c>
      <c r="D15">
        <f t="shared" si="1"/>
        <v>311.16116000000005</v>
      </c>
    </row>
    <row r="16" spans="1:4">
      <c r="A16">
        <f t="shared" si="0"/>
        <v>14</v>
      </c>
      <c r="B16">
        <v>140</v>
      </c>
      <c r="C16">
        <v>31114.158000000007</v>
      </c>
      <c r="D16">
        <f t="shared" si="1"/>
        <v>311.14158000000009</v>
      </c>
    </row>
    <row r="17" spans="1:4">
      <c r="A17">
        <f t="shared" si="0"/>
        <v>15</v>
      </c>
      <c r="B17">
        <v>150</v>
      </c>
      <c r="C17">
        <v>31112.2</v>
      </c>
      <c r="D17">
        <f t="shared" si="1"/>
        <v>311.12200000000001</v>
      </c>
    </row>
    <row r="18" spans="1:4">
      <c r="A18">
        <f t="shared" si="0"/>
        <v>16</v>
      </c>
      <c r="B18">
        <v>160</v>
      </c>
      <c r="C18">
        <v>31110.242000000002</v>
      </c>
      <c r="D18">
        <f t="shared" si="1"/>
        <v>311.10242</v>
      </c>
    </row>
    <row r="19" spans="1:4">
      <c r="A19">
        <f t="shared" si="0"/>
        <v>17</v>
      </c>
      <c r="B19">
        <v>170</v>
      </c>
      <c r="C19">
        <v>31108.284000000003</v>
      </c>
      <c r="D19">
        <f t="shared" si="1"/>
        <v>311.08284000000003</v>
      </c>
    </row>
    <row r="20" spans="1:4">
      <c r="A20">
        <f t="shared" si="0"/>
        <v>18</v>
      </c>
      <c r="B20">
        <v>180</v>
      </c>
      <c r="C20">
        <v>31106.326000000005</v>
      </c>
      <c r="D20">
        <f t="shared" si="1"/>
        <v>311.06326000000007</v>
      </c>
    </row>
    <row r="21" spans="1:4">
      <c r="A21">
        <f t="shared" si="0"/>
        <v>19</v>
      </c>
      <c r="B21">
        <v>190</v>
      </c>
      <c r="C21">
        <v>31104.368000000006</v>
      </c>
      <c r="D21">
        <f t="shared" si="1"/>
        <v>311.04368000000005</v>
      </c>
    </row>
    <row r="22" spans="1:4">
      <c r="A22">
        <f t="shared" si="0"/>
        <v>20</v>
      </c>
      <c r="B22">
        <v>200</v>
      </c>
      <c r="C22">
        <v>31102.41</v>
      </c>
      <c r="D22">
        <f t="shared" si="1"/>
        <v>311.02409999999998</v>
      </c>
    </row>
    <row r="23" spans="1:4">
      <c r="A23">
        <f t="shared" si="0"/>
        <v>21</v>
      </c>
      <c r="B23">
        <v>210</v>
      </c>
      <c r="C23">
        <v>31100.452000000001</v>
      </c>
      <c r="D23">
        <f t="shared" si="1"/>
        <v>311.00452000000001</v>
      </c>
    </row>
    <row r="24" spans="1:4">
      <c r="A24">
        <f t="shared" si="0"/>
        <v>22</v>
      </c>
      <c r="B24">
        <v>220</v>
      </c>
      <c r="C24">
        <v>31098.494000000002</v>
      </c>
      <c r="D24">
        <f t="shared" si="1"/>
        <v>310.98494000000005</v>
      </c>
    </row>
    <row r="25" spans="1:4">
      <c r="A25">
        <f t="shared" si="0"/>
        <v>23</v>
      </c>
      <c r="B25">
        <v>230</v>
      </c>
      <c r="C25">
        <v>31096.536000000004</v>
      </c>
      <c r="D25">
        <f t="shared" si="1"/>
        <v>310.96536000000003</v>
      </c>
    </row>
    <row r="26" spans="1:4">
      <c r="A26">
        <f t="shared" si="0"/>
        <v>24</v>
      </c>
      <c r="B26">
        <v>240</v>
      </c>
      <c r="C26">
        <v>31094.578000000005</v>
      </c>
      <c r="D26">
        <f t="shared" si="1"/>
        <v>310.94578000000007</v>
      </c>
    </row>
    <row r="27" spans="1:4">
      <c r="A27">
        <f t="shared" si="0"/>
        <v>25</v>
      </c>
      <c r="B27">
        <v>250</v>
      </c>
      <c r="C27">
        <v>31092.62</v>
      </c>
      <c r="D27">
        <f t="shared" si="1"/>
        <v>310.92619999999999</v>
      </c>
    </row>
    <row r="28" spans="1:4">
      <c r="A28">
        <f t="shared" si="0"/>
        <v>26</v>
      </c>
      <c r="B28">
        <v>260</v>
      </c>
      <c r="C28">
        <v>31090.664000000001</v>
      </c>
      <c r="D28">
        <f t="shared" si="1"/>
        <v>310.90663999999998</v>
      </c>
    </row>
    <row r="29" spans="1:4">
      <c r="A29">
        <f t="shared" si="0"/>
        <v>27</v>
      </c>
      <c r="B29">
        <v>270</v>
      </c>
      <c r="C29">
        <v>31088.708000000002</v>
      </c>
      <c r="D29">
        <f t="shared" si="1"/>
        <v>310.88708000000003</v>
      </c>
    </row>
    <row r="30" spans="1:4">
      <c r="A30">
        <f t="shared" si="0"/>
        <v>28</v>
      </c>
      <c r="B30">
        <v>280</v>
      </c>
      <c r="C30">
        <v>31086.752000000004</v>
      </c>
      <c r="D30">
        <f t="shared" si="1"/>
        <v>310.86752000000001</v>
      </c>
    </row>
    <row r="31" spans="1:4">
      <c r="A31">
        <f t="shared" si="0"/>
        <v>29</v>
      </c>
      <c r="B31">
        <v>290</v>
      </c>
      <c r="C31">
        <v>31084.796000000006</v>
      </c>
      <c r="D31">
        <f t="shared" si="1"/>
        <v>310.84796000000006</v>
      </c>
    </row>
    <row r="32" spans="1:4">
      <c r="A32">
        <f t="shared" si="0"/>
        <v>30</v>
      </c>
      <c r="B32">
        <v>300</v>
      </c>
      <c r="C32">
        <v>31082.84</v>
      </c>
      <c r="D32">
        <f t="shared" si="1"/>
        <v>310.82839999999999</v>
      </c>
    </row>
    <row r="33" spans="1:4">
      <c r="A33">
        <f t="shared" si="0"/>
        <v>31</v>
      </c>
      <c r="B33">
        <v>310</v>
      </c>
      <c r="C33">
        <v>31080.882000000001</v>
      </c>
      <c r="D33">
        <f t="shared" si="1"/>
        <v>310.80882000000003</v>
      </c>
    </row>
    <row r="34" spans="1:4">
      <c r="A34">
        <f t="shared" si="0"/>
        <v>32</v>
      </c>
      <c r="B34">
        <v>320</v>
      </c>
      <c r="C34">
        <v>31078.924000000003</v>
      </c>
      <c r="D34">
        <f t="shared" si="1"/>
        <v>310.78924000000001</v>
      </c>
    </row>
    <row r="35" spans="1:4">
      <c r="A35">
        <f t="shared" si="0"/>
        <v>33</v>
      </c>
      <c r="B35">
        <v>330</v>
      </c>
      <c r="C35">
        <v>31076.966000000004</v>
      </c>
      <c r="D35">
        <f t="shared" si="1"/>
        <v>310.76966000000004</v>
      </c>
    </row>
    <row r="36" spans="1:4">
      <c r="A36">
        <f t="shared" si="0"/>
        <v>34</v>
      </c>
      <c r="B36">
        <v>340</v>
      </c>
      <c r="C36">
        <v>31075.008000000005</v>
      </c>
      <c r="D36">
        <f t="shared" si="1"/>
        <v>310.75008000000003</v>
      </c>
    </row>
    <row r="37" spans="1:4">
      <c r="A37">
        <f t="shared" si="0"/>
        <v>35</v>
      </c>
      <c r="B37">
        <v>350</v>
      </c>
      <c r="C37">
        <v>31073.05</v>
      </c>
      <c r="D37">
        <f t="shared" si="1"/>
        <v>310.73050000000001</v>
      </c>
    </row>
    <row r="38" spans="1:4">
      <c r="A38">
        <f t="shared" si="0"/>
        <v>36</v>
      </c>
      <c r="B38">
        <v>360</v>
      </c>
      <c r="C38">
        <v>31071.092000000001</v>
      </c>
      <c r="D38">
        <f t="shared" si="1"/>
        <v>310.71091999999999</v>
      </c>
    </row>
    <row r="39" spans="1:4">
      <c r="A39">
        <f t="shared" si="0"/>
        <v>37</v>
      </c>
      <c r="B39">
        <v>370</v>
      </c>
      <c r="C39">
        <v>31069.134000000002</v>
      </c>
      <c r="D39">
        <f t="shared" si="1"/>
        <v>310.69134000000003</v>
      </c>
    </row>
    <row r="40" spans="1:4">
      <c r="A40">
        <f t="shared" si="0"/>
        <v>38</v>
      </c>
      <c r="B40">
        <v>380</v>
      </c>
      <c r="C40">
        <v>31067.176000000003</v>
      </c>
      <c r="D40">
        <f t="shared" si="1"/>
        <v>310.67176000000001</v>
      </c>
    </row>
    <row r="41" spans="1:4">
      <c r="A41">
        <f t="shared" si="0"/>
        <v>39</v>
      </c>
      <c r="B41">
        <v>390</v>
      </c>
      <c r="C41">
        <v>31065.218000000004</v>
      </c>
      <c r="D41">
        <f t="shared" si="1"/>
        <v>310.65218000000004</v>
      </c>
    </row>
    <row r="42" spans="1:4">
      <c r="A42">
        <f t="shared" si="0"/>
        <v>40</v>
      </c>
      <c r="B42">
        <v>400</v>
      </c>
      <c r="C42">
        <v>31063.26</v>
      </c>
      <c r="D42">
        <f t="shared" si="1"/>
        <v>310.63259999999997</v>
      </c>
    </row>
    <row r="43" spans="1:4">
      <c r="A43">
        <f t="shared" si="0"/>
        <v>41</v>
      </c>
      <c r="B43">
        <v>410</v>
      </c>
      <c r="C43">
        <v>31061.302</v>
      </c>
      <c r="D43">
        <f t="shared" si="1"/>
        <v>310.61302000000001</v>
      </c>
    </row>
    <row r="44" spans="1:4">
      <c r="A44">
        <f t="shared" si="0"/>
        <v>42</v>
      </c>
      <c r="B44">
        <v>420</v>
      </c>
      <c r="C44">
        <v>31059.344000000001</v>
      </c>
      <c r="D44">
        <f t="shared" si="1"/>
        <v>310.59343999999999</v>
      </c>
    </row>
    <row r="45" spans="1:4">
      <c r="A45">
        <f t="shared" si="0"/>
        <v>43</v>
      </c>
      <c r="B45">
        <v>430</v>
      </c>
      <c r="C45">
        <v>31057.386000000002</v>
      </c>
      <c r="D45">
        <f t="shared" si="1"/>
        <v>310.57386000000002</v>
      </c>
    </row>
    <row r="46" spans="1:4">
      <c r="A46">
        <f t="shared" si="0"/>
        <v>44</v>
      </c>
      <c r="B46">
        <v>440</v>
      </c>
      <c r="C46">
        <v>31055.428000000004</v>
      </c>
      <c r="D46">
        <f t="shared" si="1"/>
        <v>310.55428000000006</v>
      </c>
    </row>
    <row r="47" spans="1:4">
      <c r="A47">
        <f t="shared" si="0"/>
        <v>45</v>
      </c>
      <c r="B47" s="53">
        <v>450</v>
      </c>
      <c r="C47" s="37">
        <v>31053.47</v>
      </c>
      <c r="D47">
        <f t="shared" si="1"/>
        <v>310.53469999999999</v>
      </c>
    </row>
    <row r="48" spans="1:4">
      <c r="A48">
        <f t="shared" si="0"/>
        <v>46</v>
      </c>
      <c r="B48" s="53">
        <v>460</v>
      </c>
      <c r="C48" s="37">
        <v>31051.512000000002</v>
      </c>
      <c r="D48">
        <f t="shared" si="1"/>
        <v>310.51512000000002</v>
      </c>
    </row>
    <row r="49" spans="1:4">
      <c r="A49">
        <f t="shared" si="0"/>
        <v>47</v>
      </c>
      <c r="B49" s="53">
        <v>470</v>
      </c>
      <c r="C49" s="37">
        <v>31049.554000000004</v>
      </c>
      <c r="D49">
        <f t="shared" si="1"/>
        <v>310.49554000000006</v>
      </c>
    </row>
    <row r="50" spans="1:4">
      <c r="A50">
        <f t="shared" si="0"/>
        <v>48</v>
      </c>
      <c r="B50" s="53">
        <v>480</v>
      </c>
      <c r="C50" s="37">
        <v>31047.596000000005</v>
      </c>
      <c r="D50">
        <f t="shared" si="1"/>
        <v>310.47596000000004</v>
      </c>
    </row>
    <row r="51" spans="1:4">
      <c r="A51">
        <f t="shared" si="0"/>
        <v>49</v>
      </c>
      <c r="B51" s="53">
        <v>490</v>
      </c>
      <c r="C51" s="37">
        <v>31045.638000000006</v>
      </c>
      <c r="D51">
        <f t="shared" si="1"/>
        <v>310.45638000000008</v>
      </c>
    </row>
    <row r="52" spans="1:4">
      <c r="A52">
        <f t="shared" si="0"/>
        <v>50</v>
      </c>
      <c r="B52" s="53">
        <v>500</v>
      </c>
      <c r="C52" s="37">
        <v>31043.68</v>
      </c>
      <c r="D52">
        <f t="shared" si="1"/>
        <v>310.43680000000001</v>
      </c>
    </row>
    <row r="53" spans="1:4">
      <c r="A53">
        <f t="shared" si="0"/>
        <v>51</v>
      </c>
      <c r="B53" s="53">
        <v>510</v>
      </c>
      <c r="C53" s="37">
        <v>31041.714</v>
      </c>
      <c r="D53">
        <f t="shared" si="1"/>
        <v>310.41714000000002</v>
      </c>
    </row>
    <row r="54" spans="1:4">
      <c r="A54">
        <f t="shared" si="0"/>
        <v>52</v>
      </c>
      <c r="B54" s="53">
        <v>520</v>
      </c>
      <c r="C54" s="37">
        <v>31039.748</v>
      </c>
      <c r="D54">
        <f t="shared" si="1"/>
        <v>310.39747999999997</v>
      </c>
    </row>
    <row r="55" spans="1:4">
      <c r="A55">
        <f t="shared" si="0"/>
        <v>53</v>
      </c>
      <c r="B55" s="53">
        <v>530</v>
      </c>
      <c r="C55" s="37">
        <v>31037.781999999999</v>
      </c>
      <c r="D55">
        <f t="shared" si="1"/>
        <v>310.37781999999999</v>
      </c>
    </row>
    <row r="56" spans="1:4">
      <c r="A56">
        <f t="shared" si="0"/>
        <v>54</v>
      </c>
      <c r="B56" s="53">
        <v>540</v>
      </c>
      <c r="C56" s="37">
        <v>31035.815999999999</v>
      </c>
      <c r="D56">
        <f t="shared" si="1"/>
        <v>310.35816</v>
      </c>
    </row>
    <row r="57" spans="1:4">
      <c r="A57">
        <f t="shared" si="0"/>
        <v>55</v>
      </c>
      <c r="B57" s="53">
        <v>550</v>
      </c>
      <c r="C57" s="37">
        <v>31033.85</v>
      </c>
      <c r="D57">
        <f t="shared" si="1"/>
        <v>310.33850000000001</v>
      </c>
    </row>
    <row r="58" spans="1:4">
      <c r="A58">
        <f t="shared" si="0"/>
        <v>56</v>
      </c>
      <c r="B58" s="53">
        <v>560</v>
      </c>
      <c r="C58" s="37">
        <v>31031.75</v>
      </c>
      <c r="D58">
        <f t="shared" si="1"/>
        <v>310.3175</v>
      </c>
    </row>
    <row r="59" spans="1:4">
      <c r="A59">
        <f t="shared" si="0"/>
        <v>57</v>
      </c>
      <c r="B59" s="53">
        <v>570</v>
      </c>
      <c r="C59" s="37">
        <v>31029.65</v>
      </c>
      <c r="D59">
        <f t="shared" si="1"/>
        <v>310.29650000000004</v>
      </c>
    </row>
    <row r="60" spans="1:4">
      <c r="A60">
        <f t="shared" si="0"/>
        <v>58</v>
      </c>
      <c r="B60" s="53">
        <v>580</v>
      </c>
      <c r="C60" s="37">
        <v>31027.550000000003</v>
      </c>
      <c r="D60">
        <f t="shared" si="1"/>
        <v>310.27550000000002</v>
      </c>
    </row>
    <row r="61" spans="1:4">
      <c r="A61">
        <f t="shared" si="0"/>
        <v>59</v>
      </c>
      <c r="B61" s="53">
        <v>590</v>
      </c>
      <c r="C61" s="37">
        <v>31025.450000000004</v>
      </c>
      <c r="D61">
        <f t="shared" si="1"/>
        <v>310.25450000000006</v>
      </c>
    </row>
    <row r="62" spans="1:4">
      <c r="A62">
        <f t="shared" si="0"/>
        <v>60</v>
      </c>
      <c r="B62" s="53">
        <v>600</v>
      </c>
      <c r="C62" s="37">
        <v>31023.35</v>
      </c>
      <c r="D62">
        <f t="shared" si="1"/>
        <v>310.23349999999999</v>
      </c>
    </row>
    <row r="63" spans="1:4">
      <c r="A63">
        <f t="shared" si="0"/>
        <v>61</v>
      </c>
      <c r="B63" s="53">
        <v>610</v>
      </c>
      <c r="C63" s="37">
        <v>31021.021999999997</v>
      </c>
      <c r="D63">
        <f t="shared" si="1"/>
        <v>310.21021999999999</v>
      </c>
    </row>
    <row r="64" spans="1:4">
      <c r="A64">
        <f t="shared" si="0"/>
        <v>62</v>
      </c>
      <c r="B64" s="53">
        <v>620</v>
      </c>
      <c r="C64" s="37">
        <v>31018.693999999996</v>
      </c>
      <c r="D64">
        <f t="shared" si="1"/>
        <v>310.18693999999994</v>
      </c>
    </row>
    <row r="65" spans="1:4">
      <c r="A65">
        <f t="shared" si="0"/>
        <v>63</v>
      </c>
      <c r="B65" s="53">
        <v>630</v>
      </c>
      <c r="C65" s="37">
        <v>31016.365999999995</v>
      </c>
      <c r="D65">
        <f t="shared" si="1"/>
        <v>310.16365999999994</v>
      </c>
    </row>
    <row r="66" spans="1:4">
      <c r="A66">
        <f t="shared" si="0"/>
        <v>64</v>
      </c>
      <c r="B66" s="53">
        <v>640</v>
      </c>
      <c r="C66" s="37">
        <v>31014.037999999993</v>
      </c>
      <c r="D66">
        <f t="shared" si="1"/>
        <v>310.14037999999994</v>
      </c>
    </row>
    <row r="67" spans="1:4">
      <c r="A67">
        <f t="shared" ref="A67:A130" si="2">B67/10</f>
        <v>65</v>
      </c>
      <c r="B67" s="53">
        <v>650</v>
      </c>
      <c r="C67" s="37">
        <v>31011.71</v>
      </c>
      <c r="D67">
        <f t="shared" ref="D67:D130" si="3">C67/100</f>
        <v>310.11709999999999</v>
      </c>
    </row>
    <row r="68" spans="1:4">
      <c r="A68">
        <f t="shared" si="2"/>
        <v>66</v>
      </c>
      <c r="B68" s="53">
        <v>660</v>
      </c>
      <c r="C68" s="37">
        <v>31009.14</v>
      </c>
      <c r="D68">
        <f t="shared" si="3"/>
        <v>310.09140000000002</v>
      </c>
    </row>
    <row r="69" spans="1:4">
      <c r="A69">
        <f t="shared" si="2"/>
        <v>67</v>
      </c>
      <c r="B69" s="53">
        <v>670</v>
      </c>
      <c r="C69" s="37">
        <v>31006.57</v>
      </c>
      <c r="D69">
        <f t="shared" si="3"/>
        <v>310.06569999999999</v>
      </c>
    </row>
    <row r="70" spans="1:4">
      <c r="A70">
        <f t="shared" si="2"/>
        <v>68</v>
      </c>
      <c r="B70" s="53">
        <v>680</v>
      </c>
      <c r="C70" s="37">
        <v>31004</v>
      </c>
      <c r="D70">
        <f t="shared" si="3"/>
        <v>310.04000000000002</v>
      </c>
    </row>
    <row r="71" spans="1:4">
      <c r="A71">
        <f t="shared" si="2"/>
        <v>69</v>
      </c>
      <c r="B71" s="53">
        <v>690</v>
      </c>
      <c r="C71" s="37">
        <v>31001.43</v>
      </c>
      <c r="D71">
        <f t="shared" si="3"/>
        <v>310.01429999999999</v>
      </c>
    </row>
    <row r="72" spans="1:4">
      <c r="A72">
        <f t="shared" si="2"/>
        <v>70</v>
      </c>
      <c r="B72" s="53">
        <v>700</v>
      </c>
      <c r="C72" s="37">
        <v>30998.86</v>
      </c>
      <c r="D72">
        <f t="shared" si="3"/>
        <v>309.98860000000002</v>
      </c>
    </row>
    <row r="73" spans="1:4">
      <c r="A73">
        <f t="shared" si="2"/>
        <v>71</v>
      </c>
      <c r="B73" s="53">
        <v>710</v>
      </c>
      <c r="C73" s="37">
        <v>30994.074000000001</v>
      </c>
      <c r="D73">
        <f t="shared" si="3"/>
        <v>309.94074000000001</v>
      </c>
    </row>
    <row r="74" spans="1:4">
      <c r="A74">
        <f t="shared" si="2"/>
        <v>72</v>
      </c>
      <c r="B74" s="53">
        <v>720</v>
      </c>
      <c r="C74" s="37">
        <v>30989.288</v>
      </c>
      <c r="D74">
        <f t="shared" si="3"/>
        <v>309.89287999999999</v>
      </c>
    </row>
    <row r="75" spans="1:4">
      <c r="A75">
        <f t="shared" si="2"/>
        <v>73</v>
      </c>
      <c r="B75" s="53">
        <v>730</v>
      </c>
      <c r="C75" s="37">
        <v>30984.502</v>
      </c>
      <c r="D75">
        <f t="shared" si="3"/>
        <v>309.84501999999998</v>
      </c>
    </row>
    <row r="76" spans="1:4">
      <c r="A76">
        <f t="shared" si="2"/>
        <v>74</v>
      </c>
      <c r="B76" s="53">
        <v>740</v>
      </c>
      <c r="C76" s="37">
        <v>30979.716</v>
      </c>
      <c r="D76">
        <f t="shared" si="3"/>
        <v>309.79716000000002</v>
      </c>
    </row>
    <row r="77" spans="1:4">
      <c r="A77">
        <f t="shared" si="2"/>
        <v>75</v>
      </c>
      <c r="B77" s="53">
        <v>750</v>
      </c>
      <c r="C77" s="37">
        <v>30974.93</v>
      </c>
      <c r="D77">
        <f t="shared" si="3"/>
        <v>309.74930000000001</v>
      </c>
    </row>
    <row r="78" spans="1:4">
      <c r="A78">
        <f t="shared" si="2"/>
        <v>76</v>
      </c>
      <c r="B78" s="53">
        <v>760</v>
      </c>
      <c r="C78" s="37">
        <v>30951.378000000001</v>
      </c>
      <c r="D78">
        <f t="shared" si="3"/>
        <v>309.51378</v>
      </c>
    </row>
    <row r="79" spans="1:4">
      <c r="A79">
        <f t="shared" si="2"/>
        <v>77</v>
      </c>
      <c r="B79" s="53">
        <v>770</v>
      </c>
      <c r="C79" s="37">
        <v>30927.826000000001</v>
      </c>
      <c r="D79">
        <f t="shared" si="3"/>
        <v>309.27825999999999</v>
      </c>
    </row>
    <row r="80" spans="1:4">
      <c r="A80">
        <f t="shared" si="2"/>
        <v>78</v>
      </c>
      <c r="B80" s="53">
        <v>780</v>
      </c>
      <c r="C80" s="37">
        <v>30904.274000000001</v>
      </c>
      <c r="D80">
        <f t="shared" si="3"/>
        <v>309.04274000000004</v>
      </c>
    </row>
    <row r="81" spans="1:4">
      <c r="A81">
        <f t="shared" si="2"/>
        <v>79</v>
      </c>
      <c r="B81" s="53">
        <v>790</v>
      </c>
      <c r="C81" s="37">
        <v>30880.722000000002</v>
      </c>
      <c r="D81">
        <f t="shared" si="3"/>
        <v>308.80722000000003</v>
      </c>
    </row>
    <row r="82" spans="1:4">
      <c r="A82">
        <f t="shared" si="2"/>
        <v>80</v>
      </c>
      <c r="B82" s="53">
        <v>800</v>
      </c>
      <c r="C82" s="37">
        <v>30857.17</v>
      </c>
      <c r="D82">
        <f t="shared" si="3"/>
        <v>308.57169999999996</v>
      </c>
    </row>
    <row r="83" spans="1:4">
      <c r="A83">
        <f t="shared" si="2"/>
        <v>81</v>
      </c>
      <c r="B83" s="53">
        <v>810</v>
      </c>
      <c r="C83" s="37">
        <v>30818.53</v>
      </c>
      <c r="D83">
        <f t="shared" si="3"/>
        <v>308.18529999999998</v>
      </c>
    </row>
    <row r="84" spans="1:4">
      <c r="A84">
        <f t="shared" si="2"/>
        <v>82</v>
      </c>
      <c r="B84" s="53">
        <v>820</v>
      </c>
      <c r="C84" s="37">
        <v>30779.89</v>
      </c>
      <c r="D84">
        <f t="shared" si="3"/>
        <v>307.7989</v>
      </c>
    </row>
    <row r="85" spans="1:4">
      <c r="A85">
        <f t="shared" si="2"/>
        <v>83</v>
      </c>
      <c r="B85" s="53">
        <v>830</v>
      </c>
      <c r="C85" s="37">
        <v>30741.25</v>
      </c>
      <c r="D85">
        <f t="shared" si="3"/>
        <v>307.41250000000002</v>
      </c>
    </row>
    <row r="86" spans="1:4">
      <c r="A86">
        <f t="shared" si="2"/>
        <v>84</v>
      </c>
      <c r="B86" s="53">
        <v>840</v>
      </c>
      <c r="C86" s="37">
        <v>30702.61</v>
      </c>
      <c r="D86">
        <f t="shared" si="3"/>
        <v>307.02609999999999</v>
      </c>
    </row>
    <row r="87" spans="1:4">
      <c r="A87">
        <f t="shared" si="2"/>
        <v>85</v>
      </c>
      <c r="B87" s="53">
        <v>850</v>
      </c>
      <c r="C87" s="37">
        <v>30663.97</v>
      </c>
      <c r="D87">
        <f t="shared" si="3"/>
        <v>306.6397</v>
      </c>
    </row>
    <row r="88" spans="1:4">
      <c r="A88">
        <f t="shared" si="2"/>
        <v>86</v>
      </c>
      <c r="B88" s="53">
        <v>860</v>
      </c>
      <c r="C88" s="37">
        <v>30614.166000000001</v>
      </c>
      <c r="D88">
        <f t="shared" si="3"/>
        <v>306.14166</v>
      </c>
    </row>
    <row r="89" spans="1:4">
      <c r="A89">
        <f t="shared" si="2"/>
        <v>87</v>
      </c>
      <c r="B89" s="53">
        <v>870</v>
      </c>
      <c r="C89" s="37">
        <v>30564.362000000001</v>
      </c>
      <c r="D89">
        <f t="shared" si="3"/>
        <v>305.64362</v>
      </c>
    </row>
    <row r="90" spans="1:4">
      <c r="A90">
        <f t="shared" si="2"/>
        <v>88</v>
      </c>
      <c r="B90" s="53">
        <v>880</v>
      </c>
      <c r="C90" s="37">
        <v>30514.558000000001</v>
      </c>
      <c r="D90">
        <f t="shared" si="3"/>
        <v>305.14558</v>
      </c>
    </row>
    <row r="91" spans="1:4">
      <c r="A91">
        <f t="shared" si="2"/>
        <v>89</v>
      </c>
      <c r="B91" s="54">
        <v>890</v>
      </c>
      <c r="C91" s="37">
        <v>30464.754000000001</v>
      </c>
      <c r="D91">
        <f t="shared" si="3"/>
        <v>304.64753999999999</v>
      </c>
    </row>
    <row r="92" spans="1:4">
      <c r="A92">
        <f t="shared" si="2"/>
        <v>90</v>
      </c>
      <c r="B92">
        <v>900</v>
      </c>
      <c r="C92">
        <v>30414.95</v>
      </c>
      <c r="D92">
        <f t="shared" si="3"/>
        <v>304.14949999999999</v>
      </c>
    </row>
    <row r="93" spans="1:4">
      <c r="A93">
        <f t="shared" si="2"/>
        <v>91</v>
      </c>
      <c r="B93">
        <v>910</v>
      </c>
      <c r="C93">
        <v>30356.333999999999</v>
      </c>
      <c r="D93">
        <f t="shared" si="3"/>
        <v>303.56333999999998</v>
      </c>
    </row>
    <row r="94" spans="1:4">
      <c r="A94">
        <f t="shared" si="2"/>
        <v>92</v>
      </c>
      <c r="B94">
        <v>920</v>
      </c>
      <c r="C94">
        <v>30297.717999999997</v>
      </c>
      <c r="D94">
        <f t="shared" si="3"/>
        <v>302.97717999999998</v>
      </c>
    </row>
    <row r="95" spans="1:4">
      <c r="A95">
        <f t="shared" si="2"/>
        <v>93</v>
      </c>
      <c r="B95">
        <v>930</v>
      </c>
      <c r="C95">
        <v>30239.101999999995</v>
      </c>
      <c r="D95">
        <f t="shared" si="3"/>
        <v>302.39101999999997</v>
      </c>
    </row>
    <row r="96" spans="1:4">
      <c r="A96">
        <f t="shared" si="2"/>
        <v>94</v>
      </c>
      <c r="B96">
        <v>940</v>
      </c>
      <c r="C96">
        <v>30180.485999999994</v>
      </c>
      <c r="D96">
        <f t="shared" si="3"/>
        <v>301.80485999999996</v>
      </c>
    </row>
    <row r="97" spans="1:4">
      <c r="A97">
        <f t="shared" si="2"/>
        <v>95</v>
      </c>
      <c r="B97">
        <v>950</v>
      </c>
      <c r="C97">
        <v>30121.87</v>
      </c>
      <c r="D97">
        <f t="shared" si="3"/>
        <v>301.21870000000001</v>
      </c>
    </row>
    <row r="98" spans="1:4">
      <c r="A98">
        <f t="shared" si="2"/>
        <v>96</v>
      </c>
      <c r="B98">
        <v>960</v>
      </c>
      <c r="C98">
        <v>30058.959999999999</v>
      </c>
      <c r="D98">
        <f t="shared" si="3"/>
        <v>300.58960000000002</v>
      </c>
    </row>
    <row r="99" spans="1:4">
      <c r="A99">
        <f t="shared" si="2"/>
        <v>97</v>
      </c>
      <c r="B99">
        <v>970</v>
      </c>
      <c r="C99">
        <v>29996.05</v>
      </c>
      <c r="D99">
        <f t="shared" si="3"/>
        <v>299.96049999999997</v>
      </c>
    </row>
    <row r="100" spans="1:4">
      <c r="A100">
        <f t="shared" si="2"/>
        <v>98</v>
      </c>
      <c r="B100">
        <v>980</v>
      </c>
      <c r="C100">
        <v>29933.14</v>
      </c>
      <c r="D100">
        <f t="shared" si="3"/>
        <v>299.33139999999997</v>
      </c>
    </row>
    <row r="101" spans="1:4">
      <c r="A101">
        <f t="shared" si="2"/>
        <v>99</v>
      </c>
      <c r="B101">
        <v>990</v>
      </c>
      <c r="C101">
        <v>29870.23</v>
      </c>
      <c r="D101">
        <f t="shared" si="3"/>
        <v>298.70229999999998</v>
      </c>
    </row>
    <row r="102" spans="1:4">
      <c r="A102">
        <f t="shared" si="2"/>
        <v>100</v>
      </c>
      <c r="B102">
        <v>1000</v>
      </c>
      <c r="C102">
        <v>29807.32</v>
      </c>
      <c r="D102">
        <f t="shared" si="3"/>
        <v>298.07319999999999</v>
      </c>
    </row>
    <row r="103" spans="1:4">
      <c r="A103">
        <f t="shared" si="2"/>
        <v>101</v>
      </c>
      <c r="B103">
        <v>1010</v>
      </c>
      <c r="C103">
        <v>29744.146000000001</v>
      </c>
      <c r="D103">
        <f t="shared" si="3"/>
        <v>297.44146000000001</v>
      </c>
    </row>
    <row r="104" spans="1:4">
      <c r="A104">
        <f t="shared" si="2"/>
        <v>102</v>
      </c>
      <c r="B104">
        <v>1020</v>
      </c>
      <c r="C104">
        <v>29680.972000000002</v>
      </c>
      <c r="D104">
        <f t="shared" si="3"/>
        <v>296.80972000000003</v>
      </c>
    </row>
    <row r="105" spans="1:4">
      <c r="A105">
        <f t="shared" si="2"/>
        <v>103</v>
      </c>
      <c r="B105">
        <v>1030</v>
      </c>
      <c r="C105">
        <v>29617.798000000003</v>
      </c>
      <c r="D105">
        <f t="shared" si="3"/>
        <v>296.17798000000005</v>
      </c>
    </row>
    <row r="106" spans="1:4">
      <c r="A106">
        <f t="shared" si="2"/>
        <v>104</v>
      </c>
      <c r="B106">
        <v>1040</v>
      </c>
      <c r="C106">
        <v>29554.624000000003</v>
      </c>
      <c r="D106">
        <f t="shared" si="3"/>
        <v>295.54624000000001</v>
      </c>
    </row>
    <row r="107" spans="1:4">
      <c r="A107">
        <f t="shared" si="2"/>
        <v>105</v>
      </c>
      <c r="B107">
        <v>1050</v>
      </c>
      <c r="C107">
        <v>29491.45</v>
      </c>
      <c r="D107">
        <f t="shared" si="3"/>
        <v>294.91450000000003</v>
      </c>
    </row>
    <row r="108" spans="1:4">
      <c r="A108">
        <f t="shared" si="2"/>
        <v>106</v>
      </c>
      <c r="B108">
        <v>1060</v>
      </c>
      <c r="C108">
        <v>29428.52</v>
      </c>
      <c r="D108">
        <f t="shared" si="3"/>
        <v>294.28520000000003</v>
      </c>
    </row>
    <row r="109" spans="1:4">
      <c r="A109">
        <f t="shared" si="2"/>
        <v>107</v>
      </c>
      <c r="B109">
        <v>1070</v>
      </c>
      <c r="C109">
        <v>29365.59</v>
      </c>
      <c r="D109">
        <f t="shared" si="3"/>
        <v>293.65589999999997</v>
      </c>
    </row>
    <row r="110" spans="1:4">
      <c r="A110">
        <f t="shared" si="2"/>
        <v>108</v>
      </c>
      <c r="B110">
        <v>1080</v>
      </c>
      <c r="C110">
        <v>29302.66</v>
      </c>
      <c r="D110">
        <f t="shared" si="3"/>
        <v>293.02659999999997</v>
      </c>
    </row>
    <row r="111" spans="1:4">
      <c r="A111">
        <f t="shared" si="2"/>
        <v>109</v>
      </c>
      <c r="B111">
        <v>1090</v>
      </c>
      <c r="C111">
        <v>29239.73</v>
      </c>
      <c r="D111">
        <f t="shared" si="3"/>
        <v>292.39729999999997</v>
      </c>
    </row>
    <row r="112" spans="1:4">
      <c r="A112">
        <f t="shared" si="2"/>
        <v>110</v>
      </c>
      <c r="B112">
        <v>1100</v>
      </c>
      <c r="C112">
        <v>29176.799999999999</v>
      </c>
      <c r="D112">
        <f t="shared" si="3"/>
        <v>291.76799999999997</v>
      </c>
    </row>
    <row r="113" spans="1:4">
      <c r="A113">
        <f t="shared" si="2"/>
        <v>111</v>
      </c>
      <c r="B113">
        <v>1110</v>
      </c>
      <c r="C113">
        <v>29114.128000000001</v>
      </c>
      <c r="D113">
        <f t="shared" si="3"/>
        <v>291.14127999999999</v>
      </c>
    </row>
    <row r="114" spans="1:4">
      <c r="A114">
        <f t="shared" si="2"/>
        <v>112</v>
      </c>
      <c r="B114">
        <v>1120</v>
      </c>
      <c r="C114">
        <v>29051.456000000002</v>
      </c>
      <c r="D114">
        <f t="shared" si="3"/>
        <v>290.51456000000002</v>
      </c>
    </row>
    <row r="115" spans="1:4">
      <c r="A115">
        <f t="shared" si="2"/>
        <v>113</v>
      </c>
      <c r="B115">
        <v>1130</v>
      </c>
      <c r="C115">
        <v>28988.784000000003</v>
      </c>
      <c r="D115">
        <f t="shared" si="3"/>
        <v>289.88784000000004</v>
      </c>
    </row>
    <row r="116" spans="1:4">
      <c r="A116">
        <f t="shared" si="2"/>
        <v>114</v>
      </c>
      <c r="B116">
        <v>1140</v>
      </c>
      <c r="C116">
        <v>28926.112000000005</v>
      </c>
      <c r="D116">
        <f t="shared" si="3"/>
        <v>289.26112000000006</v>
      </c>
    </row>
    <row r="117" spans="1:4">
      <c r="A117">
        <f t="shared" si="2"/>
        <v>115</v>
      </c>
      <c r="B117">
        <v>1150</v>
      </c>
      <c r="C117">
        <v>28863.439999999999</v>
      </c>
      <c r="D117">
        <f t="shared" si="3"/>
        <v>288.63439999999997</v>
      </c>
    </row>
    <row r="118" spans="1:4">
      <c r="A118">
        <f t="shared" si="2"/>
        <v>116</v>
      </c>
      <c r="B118">
        <v>1160</v>
      </c>
      <c r="C118">
        <v>28801.01</v>
      </c>
      <c r="D118">
        <f t="shared" si="3"/>
        <v>288.01009999999997</v>
      </c>
    </row>
    <row r="119" spans="1:4">
      <c r="A119">
        <f t="shared" si="2"/>
        <v>117</v>
      </c>
      <c r="B119">
        <v>1170</v>
      </c>
      <c r="C119">
        <v>28738.579999999998</v>
      </c>
      <c r="D119">
        <f t="shared" si="3"/>
        <v>287.38579999999996</v>
      </c>
    </row>
    <row r="120" spans="1:4">
      <c r="A120">
        <f t="shared" si="2"/>
        <v>118</v>
      </c>
      <c r="B120">
        <v>1180</v>
      </c>
      <c r="C120">
        <v>28676.149999999998</v>
      </c>
      <c r="D120">
        <f t="shared" si="3"/>
        <v>286.76149999999996</v>
      </c>
    </row>
    <row r="121" spans="1:4">
      <c r="A121">
        <f t="shared" si="2"/>
        <v>119</v>
      </c>
      <c r="B121">
        <v>1190</v>
      </c>
      <c r="C121">
        <v>28613.719999999998</v>
      </c>
      <c r="D121">
        <f t="shared" si="3"/>
        <v>286.13719999999995</v>
      </c>
    </row>
    <row r="122" spans="1:4">
      <c r="A122">
        <f t="shared" si="2"/>
        <v>120</v>
      </c>
      <c r="B122">
        <v>1200</v>
      </c>
      <c r="C122">
        <v>28551.29</v>
      </c>
      <c r="D122">
        <f t="shared" si="3"/>
        <v>285.5129</v>
      </c>
    </row>
    <row r="123" spans="1:4">
      <c r="A123">
        <f t="shared" si="2"/>
        <v>121</v>
      </c>
      <c r="B123">
        <v>1210</v>
      </c>
      <c r="C123">
        <v>28489.098000000002</v>
      </c>
      <c r="D123">
        <f t="shared" si="3"/>
        <v>284.89098000000001</v>
      </c>
    </row>
    <row r="124" spans="1:4">
      <c r="A124">
        <f t="shared" si="2"/>
        <v>122</v>
      </c>
      <c r="B124">
        <v>1220</v>
      </c>
      <c r="C124">
        <v>28426.906000000003</v>
      </c>
      <c r="D124">
        <f t="shared" si="3"/>
        <v>284.26906000000002</v>
      </c>
    </row>
    <row r="125" spans="1:4">
      <c r="A125">
        <f t="shared" si="2"/>
        <v>123</v>
      </c>
      <c r="B125">
        <v>1230</v>
      </c>
      <c r="C125">
        <v>28364.714000000004</v>
      </c>
      <c r="D125">
        <f t="shared" si="3"/>
        <v>283.64714000000004</v>
      </c>
    </row>
    <row r="126" spans="1:4">
      <c r="A126">
        <f t="shared" si="2"/>
        <v>124</v>
      </c>
      <c r="B126">
        <v>1240</v>
      </c>
      <c r="C126">
        <v>28302.522000000004</v>
      </c>
      <c r="D126">
        <f t="shared" si="3"/>
        <v>283.02522000000005</v>
      </c>
    </row>
    <row r="127" spans="1:4">
      <c r="A127">
        <f t="shared" si="2"/>
        <v>125</v>
      </c>
      <c r="B127">
        <v>1250</v>
      </c>
      <c r="C127">
        <v>28240.33</v>
      </c>
      <c r="D127">
        <f t="shared" si="3"/>
        <v>282.4033</v>
      </c>
    </row>
    <row r="128" spans="1:4">
      <c r="A128">
        <f t="shared" si="2"/>
        <v>126</v>
      </c>
      <c r="B128">
        <v>1260</v>
      </c>
      <c r="C128">
        <v>28178.370000000003</v>
      </c>
      <c r="D128">
        <f t="shared" si="3"/>
        <v>281.78370000000001</v>
      </c>
    </row>
    <row r="129" spans="1:4">
      <c r="A129">
        <f t="shared" si="2"/>
        <v>127</v>
      </c>
      <c r="B129">
        <v>1270</v>
      </c>
      <c r="C129">
        <v>28116.410000000003</v>
      </c>
      <c r="D129">
        <f t="shared" si="3"/>
        <v>281.16410000000002</v>
      </c>
    </row>
    <row r="130" spans="1:4">
      <c r="A130">
        <f t="shared" si="2"/>
        <v>128</v>
      </c>
      <c r="B130">
        <v>1280</v>
      </c>
      <c r="C130">
        <v>28054.450000000004</v>
      </c>
      <c r="D130">
        <f t="shared" si="3"/>
        <v>280.54450000000003</v>
      </c>
    </row>
    <row r="131" spans="1:4">
      <c r="A131">
        <f t="shared" ref="A131:A194" si="4">B131/10</f>
        <v>129</v>
      </c>
      <c r="B131">
        <v>1290</v>
      </c>
      <c r="C131">
        <v>27992.984690600006</v>
      </c>
      <c r="D131">
        <f t="shared" ref="D131:D194" si="5">C131/100</f>
        <v>279.92984690600008</v>
      </c>
    </row>
    <row r="132" spans="1:4">
      <c r="A132">
        <f t="shared" si="4"/>
        <v>130</v>
      </c>
      <c r="B132">
        <v>1300</v>
      </c>
      <c r="C132">
        <v>27930.53</v>
      </c>
      <c r="D132">
        <f t="shared" si="5"/>
        <v>279.30529999999999</v>
      </c>
    </row>
    <row r="133" spans="1:4">
      <c r="A133">
        <f t="shared" si="4"/>
        <v>131</v>
      </c>
      <c r="B133">
        <v>1310</v>
      </c>
      <c r="C133">
        <v>22614.423999999999</v>
      </c>
      <c r="D133">
        <f t="shared" si="5"/>
        <v>226.14424</v>
      </c>
    </row>
    <row r="134" spans="1:4">
      <c r="A134">
        <f t="shared" si="4"/>
        <v>132</v>
      </c>
      <c r="B134">
        <v>1320</v>
      </c>
      <c r="C134">
        <v>17298.317999999999</v>
      </c>
      <c r="D134">
        <f t="shared" si="5"/>
        <v>172.98318</v>
      </c>
    </row>
    <row r="135" spans="1:4">
      <c r="A135">
        <f t="shared" si="4"/>
        <v>133</v>
      </c>
      <c r="B135">
        <v>1330</v>
      </c>
      <c r="C135">
        <v>11982.212</v>
      </c>
      <c r="D135">
        <f t="shared" si="5"/>
        <v>119.82212</v>
      </c>
    </row>
    <row r="136" spans="1:4">
      <c r="A136">
        <f t="shared" si="4"/>
        <v>134</v>
      </c>
      <c r="B136">
        <v>1340</v>
      </c>
      <c r="C136">
        <v>6666.1059999999998</v>
      </c>
      <c r="D136">
        <f t="shared" si="5"/>
        <v>66.661059999999992</v>
      </c>
    </row>
    <row r="137" spans="1:4">
      <c r="A137">
        <f t="shared" si="4"/>
        <v>135</v>
      </c>
      <c r="B137">
        <v>1350</v>
      </c>
      <c r="C137">
        <v>27621.73</v>
      </c>
      <c r="D137">
        <f t="shared" si="5"/>
        <v>276.21730000000002</v>
      </c>
    </row>
    <row r="138" spans="1:4">
      <c r="A138">
        <f t="shared" si="4"/>
        <v>136</v>
      </c>
      <c r="B138">
        <v>1360</v>
      </c>
      <c r="C138">
        <v>27560.142</v>
      </c>
      <c r="D138">
        <f t="shared" si="5"/>
        <v>275.60142000000002</v>
      </c>
    </row>
    <row r="139" spans="1:4">
      <c r="A139">
        <f t="shared" si="4"/>
        <v>137</v>
      </c>
      <c r="B139">
        <v>1370</v>
      </c>
      <c r="C139">
        <v>27498.554</v>
      </c>
      <c r="D139">
        <f t="shared" si="5"/>
        <v>274.98554000000001</v>
      </c>
    </row>
    <row r="140" spans="1:4">
      <c r="A140">
        <f t="shared" si="4"/>
        <v>138</v>
      </c>
      <c r="B140">
        <v>1380</v>
      </c>
      <c r="C140">
        <v>27436.966</v>
      </c>
      <c r="D140">
        <f t="shared" si="5"/>
        <v>274.36966000000001</v>
      </c>
    </row>
    <row r="141" spans="1:4">
      <c r="A141">
        <f t="shared" si="4"/>
        <v>139</v>
      </c>
      <c r="B141">
        <v>1390</v>
      </c>
      <c r="C141">
        <v>27375.378000000001</v>
      </c>
      <c r="D141">
        <f t="shared" si="5"/>
        <v>273.75378000000001</v>
      </c>
    </row>
    <row r="142" spans="1:4">
      <c r="A142">
        <f t="shared" si="4"/>
        <v>140</v>
      </c>
      <c r="B142">
        <v>1400</v>
      </c>
      <c r="C142">
        <v>27313.79</v>
      </c>
      <c r="D142">
        <f t="shared" si="5"/>
        <v>273.1379</v>
      </c>
    </row>
    <row r="143" spans="1:4">
      <c r="A143">
        <f t="shared" si="4"/>
        <v>141</v>
      </c>
      <c r="B143">
        <v>1410</v>
      </c>
      <c r="C143">
        <v>27252.308000000001</v>
      </c>
      <c r="D143">
        <f t="shared" si="5"/>
        <v>272.52307999999999</v>
      </c>
    </row>
    <row r="144" spans="1:4">
      <c r="A144">
        <f t="shared" si="4"/>
        <v>142</v>
      </c>
      <c r="B144">
        <v>1420</v>
      </c>
      <c r="C144">
        <v>27190.826000000001</v>
      </c>
      <c r="D144">
        <f t="shared" si="5"/>
        <v>271.90825999999998</v>
      </c>
    </row>
    <row r="145" spans="1:4">
      <c r="A145">
        <f t="shared" si="4"/>
        <v>143</v>
      </c>
      <c r="B145">
        <v>1430</v>
      </c>
      <c r="C145">
        <v>27129.344000000001</v>
      </c>
      <c r="D145">
        <f t="shared" si="5"/>
        <v>271.29344000000003</v>
      </c>
    </row>
    <row r="146" spans="1:4">
      <c r="A146">
        <f t="shared" si="4"/>
        <v>144</v>
      </c>
      <c r="B146">
        <v>1440</v>
      </c>
      <c r="C146">
        <v>27067.862000000001</v>
      </c>
      <c r="D146">
        <f t="shared" si="5"/>
        <v>270.67862000000002</v>
      </c>
    </row>
    <row r="147" spans="1:4">
      <c r="A147">
        <f t="shared" si="4"/>
        <v>145</v>
      </c>
      <c r="B147">
        <v>1450</v>
      </c>
      <c r="C147">
        <v>27006.38</v>
      </c>
      <c r="D147">
        <f t="shared" si="5"/>
        <v>270.06380000000001</v>
      </c>
    </row>
    <row r="148" spans="1:4">
      <c r="A148">
        <f t="shared" si="4"/>
        <v>146</v>
      </c>
      <c r="B148">
        <v>1460</v>
      </c>
      <c r="C148">
        <v>26944.914690600002</v>
      </c>
      <c r="D148">
        <f t="shared" si="5"/>
        <v>269.44914690600001</v>
      </c>
    </row>
    <row r="149" spans="1:4">
      <c r="A149">
        <f t="shared" si="4"/>
        <v>147</v>
      </c>
      <c r="B149">
        <v>1470</v>
      </c>
      <c r="C149">
        <v>26883.449381200004</v>
      </c>
      <c r="D149">
        <f t="shared" si="5"/>
        <v>268.83449381200006</v>
      </c>
    </row>
    <row r="150" spans="1:4">
      <c r="A150">
        <f t="shared" si="4"/>
        <v>148</v>
      </c>
      <c r="B150">
        <v>1480</v>
      </c>
      <c r="C150">
        <v>26821.984071800005</v>
      </c>
      <c r="D150">
        <f t="shared" si="5"/>
        <v>268.21984071800006</v>
      </c>
    </row>
    <row r="151" spans="1:4">
      <c r="A151">
        <f t="shared" si="4"/>
        <v>149</v>
      </c>
      <c r="B151">
        <v>1490</v>
      </c>
      <c r="C151">
        <v>26760.518762400006</v>
      </c>
      <c r="D151">
        <f t="shared" si="5"/>
        <v>267.60518762400005</v>
      </c>
    </row>
    <row r="152" spans="1:4">
      <c r="A152">
        <f t="shared" si="4"/>
        <v>150</v>
      </c>
      <c r="B152">
        <v>1500</v>
      </c>
      <c r="C152">
        <v>26699.053453000008</v>
      </c>
      <c r="D152">
        <f t="shared" si="5"/>
        <v>266.9905345300001</v>
      </c>
    </row>
    <row r="153" spans="1:4">
      <c r="A153">
        <f t="shared" si="4"/>
        <v>151</v>
      </c>
      <c r="B153">
        <v>1510</v>
      </c>
      <c r="C153">
        <v>26637.588143600009</v>
      </c>
      <c r="D153">
        <f t="shared" si="5"/>
        <v>266.3758814360001</v>
      </c>
    </row>
    <row r="154" spans="1:4">
      <c r="A154">
        <f t="shared" si="4"/>
        <v>152</v>
      </c>
      <c r="B154">
        <v>1520</v>
      </c>
      <c r="C154">
        <v>26576.12283420001</v>
      </c>
      <c r="D154">
        <f t="shared" si="5"/>
        <v>265.76122834200009</v>
      </c>
    </row>
    <row r="155" spans="1:4">
      <c r="A155">
        <f t="shared" si="4"/>
        <v>153</v>
      </c>
      <c r="B155">
        <v>1530</v>
      </c>
      <c r="C155">
        <v>26514.657524800012</v>
      </c>
      <c r="D155">
        <f t="shared" si="5"/>
        <v>265.14657524800009</v>
      </c>
    </row>
    <row r="156" spans="1:4">
      <c r="A156">
        <f t="shared" si="4"/>
        <v>154</v>
      </c>
      <c r="B156">
        <v>1540</v>
      </c>
      <c r="C156">
        <v>26453.192215400013</v>
      </c>
      <c r="D156">
        <f t="shared" si="5"/>
        <v>264.53192215400014</v>
      </c>
    </row>
    <row r="157" spans="1:4">
      <c r="A157">
        <f t="shared" si="4"/>
        <v>155</v>
      </c>
      <c r="B157">
        <v>1550</v>
      </c>
      <c r="C157">
        <v>26391.726906000014</v>
      </c>
      <c r="D157">
        <f t="shared" si="5"/>
        <v>263.91726906000014</v>
      </c>
    </row>
    <row r="158" spans="1:4">
      <c r="A158">
        <f t="shared" si="4"/>
        <v>156</v>
      </c>
      <c r="B158">
        <v>1560</v>
      </c>
      <c r="C158">
        <v>26330.261596600016</v>
      </c>
      <c r="D158">
        <f t="shared" si="5"/>
        <v>263.30261596600013</v>
      </c>
    </row>
    <row r="159" spans="1:4">
      <c r="A159">
        <f t="shared" si="4"/>
        <v>157</v>
      </c>
      <c r="B159">
        <v>1570</v>
      </c>
      <c r="C159">
        <v>26268.796287200017</v>
      </c>
      <c r="D159">
        <f t="shared" si="5"/>
        <v>262.68796287200018</v>
      </c>
    </row>
    <row r="160" spans="1:4">
      <c r="A160">
        <f t="shared" si="4"/>
        <v>158</v>
      </c>
      <c r="B160">
        <v>1580</v>
      </c>
      <c r="C160">
        <v>26207.330977800018</v>
      </c>
      <c r="D160">
        <f t="shared" si="5"/>
        <v>262.07330977800018</v>
      </c>
    </row>
    <row r="161" spans="1:4">
      <c r="A161">
        <f t="shared" si="4"/>
        <v>159</v>
      </c>
      <c r="B161">
        <v>1590</v>
      </c>
      <c r="C161">
        <v>26145.86566840002</v>
      </c>
      <c r="D161">
        <f t="shared" si="5"/>
        <v>261.45865668400018</v>
      </c>
    </row>
    <row r="162" spans="1:4">
      <c r="A162">
        <f t="shared" si="4"/>
        <v>160</v>
      </c>
      <c r="B162">
        <v>1600</v>
      </c>
      <c r="C162">
        <v>26084.400359000021</v>
      </c>
      <c r="D162">
        <f t="shared" si="5"/>
        <v>260.84400359000023</v>
      </c>
    </row>
    <row r="163" spans="1:4">
      <c r="A163">
        <f t="shared" si="4"/>
        <v>161</v>
      </c>
      <c r="B163">
        <v>1610</v>
      </c>
      <c r="C163">
        <v>26022.935049600022</v>
      </c>
      <c r="D163">
        <f t="shared" si="5"/>
        <v>260.22935049600022</v>
      </c>
    </row>
    <row r="164" spans="1:4">
      <c r="A164">
        <f t="shared" si="4"/>
        <v>162</v>
      </c>
      <c r="B164">
        <v>1620</v>
      </c>
      <c r="C164">
        <v>25961.469740200024</v>
      </c>
      <c r="D164">
        <f t="shared" si="5"/>
        <v>259.61469740200022</v>
      </c>
    </row>
    <row r="165" spans="1:4">
      <c r="A165">
        <f t="shared" si="4"/>
        <v>163</v>
      </c>
      <c r="B165">
        <v>1630</v>
      </c>
      <c r="C165">
        <v>25900.004430800025</v>
      </c>
      <c r="D165">
        <f t="shared" si="5"/>
        <v>259.00004430800027</v>
      </c>
    </row>
    <row r="166" spans="1:4">
      <c r="A166">
        <f t="shared" si="4"/>
        <v>164</v>
      </c>
      <c r="B166">
        <v>1640</v>
      </c>
      <c r="C166">
        <v>25838.539121400026</v>
      </c>
      <c r="D166">
        <f t="shared" si="5"/>
        <v>258.38539121400026</v>
      </c>
    </row>
    <row r="167" spans="1:4">
      <c r="A167">
        <f t="shared" si="4"/>
        <v>165</v>
      </c>
      <c r="B167">
        <v>1650</v>
      </c>
      <c r="C167">
        <v>25777.073812000028</v>
      </c>
      <c r="D167">
        <f t="shared" si="5"/>
        <v>257.77073812000026</v>
      </c>
    </row>
    <row r="168" spans="1:4">
      <c r="A168">
        <f t="shared" si="4"/>
        <v>166</v>
      </c>
      <c r="B168">
        <v>1660</v>
      </c>
      <c r="C168">
        <v>25715.608502600029</v>
      </c>
      <c r="D168">
        <f t="shared" si="5"/>
        <v>257.15608502600031</v>
      </c>
    </row>
    <row r="169" spans="1:4">
      <c r="A169">
        <f t="shared" si="4"/>
        <v>167</v>
      </c>
      <c r="B169">
        <v>1670</v>
      </c>
      <c r="C169">
        <v>25654.143193200031</v>
      </c>
      <c r="D169">
        <f t="shared" si="5"/>
        <v>256.54143193200031</v>
      </c>
    </row>
    <row r="170" spans="1:4">
      <c r="A170">
        <f t="shared" si="4"/>
        <v>168</v>
      </c>
      <c r="B170">
        <v>1680</v>
      </c>
      <c r="C170">
        <v>25592.677883800032</v>
      </c>
      <c r="D170">
        <f t="shared" si="5"/>
        <v>255.92677883800033</v>
      </c>
    </row>
    <row r="171" spans="1:4">
      <c r="A171">
        <f t="shared" si="4"/>
        <v>169</v>
      </c>
      <c r="B171">
        <v>1690</v>
      </c>
      <c r="C171">
        <v>25531.212574400033</v>
      </c>
      <c r="D171">
        <f t="shared" si="5"/>
        <v>255.31212574400033</v>
      </c>
    </row>
    <row r="172" spans="1:4">
      <c r="A172">
        <f t="shared" si="4"/>
        <v>170</v>
      </c>
      <c r="B172">
        <v>1700</v>
      </c>
      <c r="C172">
        <v>25469.747265000035</v>
      </c>
      <c r="D172">
        <f t="shared" si="5"/>
        <v>254.69747265000035</v>
      </c>
    </row>
    <row r="173" spans="1:4">
      <c r="A173">
        <f t="shared" si="4"/>
        <v>171</v>
      </c>
      <c r="B173">
        <v>1710</v>
      </c>
      <c r="C173">
        <v>25408.281955600036</v>
      </c>
      <c r="D173">
        <f t="shared" si="5"/>
        <v>254.08281955600035</v>
      </c>
    </row>
    <row r="174" spans="1:4">
      <c r="A174">
        <f t="shared" si="4"/>
        <v>172</v>
      </c>
      <c r="B174">
        <v>1720</v>
      </c>
      <c r="C174">
        <v>25346.816646200037</v>
      </c>
      <c r="D174">
        <f t="shared" si="5"/>
        <v>253.46816646200037</v>
      </c>
    </row>
    <row r="175" spans="1:4">
      <c r="A175">
        <f t="shared" si="4"/>
        <v>173</v>
      </c>
      <c r="B175">
        <v>1730</v>
      </c>
      <c r="C175">
        <v>25285.351336800039</v>
      </c>
      <c r="D175">
        <f t="shared" si="5"/>
        <v>252.85351336800039</v>
      </c>
    </row>
    <row r="176" spans="1:4">
      <c r="A176">
        <f t="shared" si="4"/>
        <v>174</v>
      </c>
      <c r="B176">
        <v>1740</v>
      </c>
      <c r="C176">
        <v>25223.88602740004</v>
      </c>
      <c r="D176">
        <f t="shared" si="5"/>
        <v>252.23886027400039</v>
      </c>
    </row>
    <row r="177" spans="1:4">
      <c r="A177">
        <f t="shared" si="4"/>
        <v>175</v>
      </c>
      <c r="B177">
        <v>1750</v>
      </c>
      <c r="C177">
        <v>25162.420718000041</v>
      </c>
      <c r="D177">
        <f t="shared" si="5"/>
        <v>251.62420718000041</v>
      </c>
    </row>
    <row r="178" spans="1:4">
      <c r="A178">
        <f t="shared" si="4"/>
        <v>176</v>
      </c>
      <c r="B178">
        <v>1760</v>
      </c>
      <c r="C178">
        <v>25100.955408600043</v>
      </c>
      <c r="D178">
        <f t="shared" si="5"/>
        <v>251.00955408600043</v>
      </c>
    </row>
    <row r="179" spans="1:4">
      <c r="A179">
        <f t="shared" si="4"/>
        <v>177</v>
      </c>
      <c r="B179">
        <v>1770</v>
      </c>
      <c r="C179">
        <v>25039.490099200044</v>
      </c>
      <c r="D179">
        <f t="shared" si="5"/>
        <v>250.39490099200043</v>
      </c>
    </row>
    <row r="180" spans="1:4">
      <c r="A180">
        <f t="shared" si="4"/>
        <v>178</v>
      </c>
      <c r="B180">
        <v>1780</v>
      </c>
      <c r="C180">
        <v>24978.024789800045</v>
      </c>
      <c r="D180">
        <f t="shared" si="5"/>
        <v>249.78024789800045</v>
      </c>
    </row>
    <row r="181" spans="1:4">
      <c r="A181">
        <f t="shared" si="4"/>
        <v>179</v>
      </c>
      <c r="B181">
        <v>1790</v>
      </c>
      <c r="C181">
        <v>24916.559480400047</v>
      </c>
      <c r="D181">
        <f t="shared" si="5"/>
        <v>249.16559480400048</v>
      </c>
    </row>
    <row r="182" spans="1:4">
      <c r="A182">
        <f t="shared" si="4"/>
        <v>180</v>
      </c>
      <c r="B182">
        <v>1800</v>
      </c>
      <c r="C182">
        <v>24855.094171000048</v>
      </c>
      <c r="D182">
        <f t="shared" si="5"/>
        <v>248.55094171000047</v>
      </c>
    </row>
    <row r="183" spans="1:4">
      <c r="A183">
        <f t="shared" si="4"/>
        <v>181</v>
      </c>
      <c r="B183">
        <v>1810</v>
      </c>
      <c r="C183">
        <v>24793.628861600049</v>
      </c>
      <c r="D183">
        <f t="shared" si="5"/>
        <v>247.9362886160005</v>
      </c>
    </row>
    <row r="184" spans="1:4">
      <c r="A184">
        <f t="shared" si="4"/>
        <v>182</v>
      </c>
      <c r="B184">
        <v>1820</v>
      </c>
      <c r="C184">
        <v>24732.163552200051</v>
      </c>
      <c r="D184">
        <f t="shared" si="5"/>
        <v>247.32163552200052</v>
      </c>
    </row>
    <row r="185" spans="1:4">
      <c r="A185">
        <f t="shared" si="4"/>
        <v>183</v>
      </c>
      <c r="B185">
        <v>1830</v>
      </c>
      <c r="C185">
        <v>24670.698242800052</v>
      </c>
      <c r="D185">
        <f t="shared" si="5"/>
        <v>246.70698242800052</v>
      </c>
    </row>
    <row r="186" spans="1:4">
      <c r="A186">
        <f t="shared" si="4"/>
        <v>184</v>
      </c>
      <c r="B186">
        <v>1840</v>
      </c>
      <c r="C186">
        <v>24609.232933400053</v>
      </c>
      <c r="D186">
        <f t="shared" si="5"/>
        <v>246.09232933400054</v>
      </c>
    </row>
    <row r="187" spans="1:4">
      <c r="A187">
        <f t="shared" si="4"/>
        <v>185</v>
      </c>
      <c r="B187">
        <v>1850</v>
      </c>
      <c r="C187">
        <v>24547.767624000055</v>
      </c>
      <c r="D187">
        <f t="shared" si="5"/>
        <v>245.47767624000053</v>
      </c>
    </row>
    <row r="188" spans="1:4">
      <c r="A188">
        <f t="shared" si="4"/>
        <v>186</v>
      </c>
      <c r="B188">
        <v>1860</v>
      </c>
      <c r="C188">
        <v>24486.302314600056</v>
      </c>
      <c r="D188">
        <f t="shared" si="5"/>
        <v>244.86302314600056</v>
      </c>
    </row>
    <row r="189" spans="1:4">
      <c r="A189">
        <f t="shared" si="4"/>
        <v>187</v>
      </c>
      <c r="B189">
        <v>1870</v>
      </c>
      <c r="C189">
        <v>24424.837005200057</v>
      </c>
      <c r="D189">
        <f t="shared" si="5"/>
        <v>244.24837005200058</v>
      </c>
    </row>
    <row r="190" spans="1:4">
      <c r="A190">
        <f t="shared" si="4"/>
        <v>188</v>
      </c>
      <c r="B190">
        <v>1880</v>
      </c>
      <c r="C190">
        <v>24363.371695800059</v>
      </c>
      <c r="D190">
        <f t="shared" si="5"/>
        <v>243.63371695800058</v>
      </c>
    </row>
    <row r="191" spans="1:4">
      <c r="A191">
        <f t="shared" si="4"/>
        <v>189</v>
      </c>
      <c r="B191">
        <v>1890</v>
      </c>
      <c r="C191">
        <v>24301.90638640006</v>
      </c>
      <c r="D191">
        <f t="shared" si="5"/>
        <v>243.0190638640006</v>
      </c>
    </row>
    <row r="192" spans="1:4">
      <c r="A192">
        <f t="shared" si="4"/>
        <v>190</v>
      </c>
      <c r="B192">
        <v>1900</v>
      </c>
      <c r="C192">
        <v>24240.441077000061</v>
      </c>
      <c r="D192">
        <f t="shared" si="5"/>
        <v>242.40441077000062</v>
      </c>
    </row>
    <row r="193" spans="1:4">
      <c r="A193">
        <f t="shared" si="4"/>
        <v>191</v>
      </c>
      <c r="B193">
        <v>1910</v>
      </c>
      <c r="C193">
        <v>24178.975767600063</v>
      </c>
      <c r="D193">
        <f t="shared" si="5"/>
        <v>241.78975767600062</v>
      </c>
    </row>
    <row r="194" spans="1:4">
      <c r="A194">
        <f t="shared" si="4"/>
        <v>192</v>
      </c>
      <c r="B194">
        <v>1920</v>
      </c>
      <c r="C194">
        <v>24117.510458200064</v>
      </c>
      <c r="D194">
        <f t="shared" si="5"/>
        <v>241.17510458200064</v>
      </c>
    </row>
    <row r="195" spans="1:4">
      <c r="A195">
        <f t="shared" ref="A195:A258" si="6">B195/10</f>
        <v>193</v>
      </c>
      <c r="B195">
        <v>1930</v>
      </c>
      <c r="C195">
        <v>24056.045148800065</v>
      </c>
      <c r="D195">
        <f t="shared" ref="D195:D258" si="7">C195/100</f>
        <v>240.56045148800067</v>
      </c>
    </row>
    <row r="196" spans="1:4">
      <c r="A196">
        <f t="shared" si="6"/>
        <v>194</v>
      </c>
      <c r="B196">
        <v>1940</v>
      </c>
      <c r="C196">
        <v>23994.579839400067</v>
      </c>
      <c r="D196">
        <f t="shared" si="7"/>
        <v>239.94579839400066</v>
      </c>
    </row>
    <row r="197" spans="1:4">
      <c r="A197">
        <f t="shared" si="6"/>
        <v>195</v>
      </c>
      <c r="B197">
        <v>1950</v>
      </c>
      <c r="C197">
        <v>23933.114530000068</v>
      </c>
      <c r="D197">
        <f t="shared" si="7"/>
        <v>239.33114530000068</v>
      </c>
    </row>
    <row r="198" spans="1:4">
      <c r="A198">
        <f t="shared" si="6"/>
        <v>196</v>
      </c>
      <c r="B198">
        <v>1960</v>
      </c>
      <c r="C198">
        <v>23871.649220600069</v>
      </c>
      <c r="D198">
        <f t="shared" si="7"/>
        <v>238.71649220600068</v>
      </c>
    </row>
    <row r="199" spans="1:4">
      <c r="A199">
        <f t="shared" si="6"/>
        <v>197</v>
      </c>
      <c r="B199">
        <v>1970</v>
      </c>
      <c r="C199">
        <v>23810.183911200071</v>
      </c>
      <c r="D199">
        <f t="shared" si="7"/>
        <v>238.1018391120007</v>
      </c>
    </row>
    <row r="200" spans="1:4">
      <c r="A200">
        <f t="shared" si="6"/>
        <v>198</v>
      </c>
      <c r="B200">
        <v>1980</v>
      </c>
      <c r="C200">
        <v>23748.718601800072</v>
      </c>
      <c r="D200">
        <f t="shared" si="7"/>
        <v>237.48718601800073</v>
      </c>
    </row>
    <row r="201" spans="1:4">
      <c r="A201">
        <f t="shared" si="6"/>
        <v>199</v>
      </c>
      <c r="B201">
        <v>1990</v>
      </c>
      <c r="C201">
        <v>23687.253292400073</v>
      </c>
      <c r="D201">
        <f t="shared" si="7"/>
        <v>236.87253292400072</v>
      </c>
    </row>
    <row r="202" spans="1:4">
      <c r="A202">
        <f t="shared" si="6"/>
        <v>200</v>
      </c>
      <c r="B202">
        <v>2000</v>
      </c>
      <c r="C202">
        <v>23625.787983000075</v>
      </c>
      <c r="D202">
        <f t="shared" si="7"/>
        <v>236.25787983000075</v>
      </c>
    </row>
    <row r="203" spans="1:4">
      <c r="A203">
        <f t="shared" si="6"/>
        <v>201</v>
      </c>
      <c r="B203">
        <v>2010</v>
      </c>
      <c r="C203">
        <v>23564.322673600076</v>
      </c>
      <c r="D203">
        <f t="shared" si="7"/>
        <v>235.64322673600077</v>
      </c>
    </row>
    <row r="204" spans="1:4">
      <c r="A204">
        <f t="shared" si="6"/>
        <v>202</v>
      </c>
      <c r="B204">
        <v>2020</v>
      </c>
      <c r="C204">
        <v>23502.857364200077</v>
      </c>
      <c r="D204">
        <f t="shared" si="7"/>
        <v>235.02857364200077</v>
      </c>
    </row>
    <row r="205" spans="1:4">
      <c r="A205">
        <f t="shared" si="6"/>
        <v>203</v>
      </c>
      <c r="B205">
        <v>2030</v>
      </c>
      <c r="C205">
        <v>23441.392054800079</v>
      </c>
      <c r="D205">
        <f t="shared" si="7"/>
        <v>234.41392054800079</v>
      </c>
    </row>
    <row r="206" spans="1:4">
      <c r="A206">
        <f t="shared" si="6"/>
        <v>204</v>
      </c>
      <c r="B206">
        <v>2040</v>
      </c>
      <c r="C206">
        <v>23379.92674540008</v>
      </c>
      <c r="D206">
        <f t="shared" si="7"/>
        <v>233.79926745400081</v>
      </c>
    </row>
    <row r="207" spans="1:4">
      <c r="A207">
        <f t="shared" si="6"/>
        <v>205</v>
      </c>
      <c r="B207">
        <v>2050</v>
      </c>
      <c r="C207">
        <v>23318.461436000081</v>
      </c>
      <c r="D207">
        <f t="shared" si="7"/>
        <v>233.18461436000081</v>
      </c>
    </row>
    <row r="208" spans="1:4">
      <c r="A208">
        <f t="shared" si="6"/>
        <v>206</v>
      </c>
      <c r="B208">
        <v>2060</v>
      </c>
      <c r="C208">
        <v>23256.996126600083</v>
      </c>
      <c r="D208">
        <f t="shared" si="7"/>
        <v>232.56996126600083</v>
      </c>
    </row>
    <row r="209" spans="1:4">
      <c r="A209">
        <f t="shared" si="6"/>
        <v>207</v>
      </c>
      <c r="B209">
        <v>2070</v>
      </c>
      <c r="C209">
        <v>23195.530817200084</v>
      </c>
      <c r="D209">
        <f t="shared" si="7"/>
        <v>231.95530817200085</v>
      </c>
    </row>
    <row r="210" spans="1:4">
      <c r="A210">
        <f t="shared" si="6"/>
        <v>208</v>
      </c>
      <c r="B210">
        <v>2080</v>
      </c>
      <c r="C210">
        <v>23134.065507800085</v>
      </c>
      <c r="D210">
        <f t="shared" si="7"/>
        <v>231.34065507800085</v>
      </c>
    </row>
    <row r="211" spans="1:4">
      <c r="A211">
        <f t="shared" si="6"/>
        <v>209</v>
      </c>
      <c r="B211">
        <v>2090</v>
      </c>
      <c r="C211">
        <v>23072.600198400087</v>
      </c>
      <c r="D211">
        <f t="shared" si="7"/>
        <v>230.72600198400087</v>
      </c>
    </row>
    <row r="212" spans="1:4">
      <c r="A212">
        <f t="shared" si="6"/>
        <v>210</v>
      </c>
      <c r="B212">
        <v>2100</v>
      </c>
      <c r="C212">
        <v>23011.134889000088</v>
      </c>
      <c r="D212">
        <f t="shared" si="7"/>
        <v>230.11134889000087</v>
      </c>
    </row>
    <row r="213" spans="1:4">
      <c r="A213">
        <f t="shared" si="6"/>
        <v>211</v>
      </c>
      <c r="B213">
        <v>2110</v>
      </c>
      <c r="C213">
        <v>22949.669579600089</v>
      </c>
      <c r="D213">
        <f t="shared" si="7"/>
        <v>229.49669579600089</v>
      </c>
    </row>
    <row r="214" spans="1:4">
      <c r="A214">
        <f t="shared" si="6"/>
        <v>212</v>
      </c>
      <c r="B214">
        <v>2120</v>
      </c>
      <c r="C214">
        <v>22888.204270200091</v>
      </c>
      <c r="D214">
        <f t="shared" si="7"/>
        <v>228.88204270200092</v>
      </c>
    </row>
    <row r="215" spans="1:4">
      <c r="A215">
        <f t="shared" si="6"/>
        <v>213</v>
      </c>
      <c r="B215">
        <v>2130</v>
      </c>
      <c r="C215">
        <v>22826.738960800092</v>
      </c>
      <c r="D215">
        <f t="shared" si="7"/>
        <v>228.26738960800091</v>
      </c>
    </row>
    <row r="216" spans="1:4">
      <c r="A216">
        <f t="shared" si="6"/>
        <v>214</v>
      </c>
      <c r="B216">
        <v>2140</v>
      </c>
      <c r="C216">
        <v>22765.273651400094</v>
      </c>
      <c r="D216">
        <f t="shared" si="7"/>
        <v>227.65273651400094</v>
      </c>
    </row>
    <row r="217" spans="1:4">
      <c r="A217">
        <f t="shared" si="6"/>
        <v>215</v>
      </c>
      <c r="B217">
        <v>2150</v>
      </c>
      <c r="C217">
        <v>22703.808342000095</v>
      </c>
      <c r="D217">
        <f t="shared" si="7"/>
        <v>227.03808342000096</v>
      </c>
    </row>
    <row r="218" spans="1:4">
      <c r="A218">
        <f t="shared" si="6"/>
        <v>216</v>
      </c>
      <c r="B218">
        <v>2160</v>
      </c>
      <c r="C218">
        <v>22642.343032600096</v>
      </c>
      <c r="D218">
        <f t="shared" si="7"/>
        <v>226.42343032600095</v>
      </c>
    </row>
    <row r="219" spans="1:4">
      <c r="A219">
        <f t="shared" si="6"/>
        <v>217</v>
      </c>
      <c r="B219">
        <v>2170</v>
      </c>
      <c r="C219">
        <v>22580.877723200098</v>
      </c>
      <c r="D219">
        <f t="shared" si="7"/>
        <v>225.80877723200098</v>
      </c>
    </row>
    <row r="220" spans="1:4">
      <c r="A220">
        <f t="shared" si="6"/>
        <v>218</v>
      </c>
      <c r="B220">
        <v>2180</v>
      </c>
      <c r="C220">
        <v>22519.412413800099</v>
      </c>
      <c r="D220">
        <f t="shared" si="7"/>
        <v>225.194124138001</v>
      </c>
    </row>
    <row r="221" spans="1:4">
      <c r="A221">
        <f t="shared" si="6"/>
        <v>219</v>
      </c>
      <c r="B221">
        <v>2190</v>
      </c>
      <c r="C221">
        <v>22457.9471044001</v>
      </c>
      <c r="D221">
        <f t="shared" si="7"/>
        <v>224.579471044001</v>
      </c>
    </row>
    <row r="222" spans="1:4">
      <c r="A222">
        <f t="shared" si="6"/>
        <v>220</v>
      </c>
      <c r="B222">
        <v>2200</v>
      </c>
      <c r="C222">
        <v>22396.481795000102</v>
      </c>
      <c r="D222">
        <f t="shared" si="7"/>
        <v>223.96481795000102</v>
      </c>
    </row>
    <row r="223" spans="1:4">
      <c r="A223">
        <f t="shared" si="6"/>
        <v>221</v>
      </c>
      <c r="B223">
        <v>2210</v>
      </c>
      <c r="C223">
        <v>22335.016485600103</v>
      </c>
      <c r="D223">
        <f t="shared" si="7"/>
        <v>223.35016485600102</v>
      </c>
    </row>
    <row r="224" spans="1:4">
      <c r="A224">
        <f t="shared" si="6"/>
        <v>222</v>
      </c>
      <c r="B224">
        <v>2220</v>
      </c>
      <c r="C224">
        <v>22273.551176200104</v>
      </c>
      <c r="D224">
        <f t="shared" si="7"/>
        <v>222.73551176200104</v>
      </c>
    </row>
    <row r="225" spans="1:4">
      <c r="A225">
        <f t="shared" si="6"/>
        <v>223</v>
      </c>
      <c r="B225">
        <v>2230</v>
      </c>
      <c r="C225">
        <v>22212.085866800106</v>
      </c>
      <c r="D225">
        <f t="shared" si="7"/>
        <v>222.12085866800106</v>
      </c>
    </row>
    <row r="226" spans="1:4">
      <c r="A226">
        <f t="shared" si="6"/>
        <v>224</v>
      </c>
      <c r="B226">
        <v>2240</v>
      </c>
      <c r="C226">
        <v>22150.620557400107</v>
      </c>
      <c r="D226">
        <f t="shared" si="7"/>
        <v>221.50620557400106</v>
      </c>
    </row>
    <row r="227" spans="1:4">
      <c r="A227">
        <f t="shared" si="6"/>
        <v>225</v>
      </c>
      <c r="B227">
        <v>2250</v>
      </c>
      <c r="C227">
        <v>22089.155248000108</v>
      </c>
      <c r="D227">
        <f t="shared" si="7"/>
        <v>220.89155248000108</v>
      </c>
    </row>
    <row r="228" spans="1:4">
      <c r="A228">
        <f t="shared" si="6"/>
        <v>226</v>
      </c>
      <c r="B228">
        <v>2260</v>
      </c>
      <c r="C228">
        <v>22027.68993860011</v>
      </c>
      <c r="D228">
        <f t="shared" si="7"/>
        <v>220.27689938600111</v>
      </c>
    </row>
    <row r="229" spans="1:4">
      <c r="A229">
        <f t="shared" si="6"/>
        <v>227</v>
      </c>
      <c r="B229">
        <v>2270</v>
      </c>
      <c r="C229">
        <v>21966.224629200111</v>
      </c>
      <c r="D229">
        <f t="shared" si="7"/>
        <v>219.6622462920011</v>
      </c>
    </row>
    <row r="230" spans="1:4">
      <c r="A230">
        <f t="shared" si="6"/>
        <v>228</v>
      </c>
      <c r="B230">
        <v>2280</v>
      </c>
      <c r="C230">
        <v>21904.759319800112</v>
      </c>
      <c r="D230">
        <f t="shared" si="7"/>
        <v>219.04759319800112</v>
      </c>
    </row>
    <row r="231" spans="1:4">
      <c r="A231">
        <f t="shared" si="6"/>
        <v>229</v>
      </c>
      <c r="B231">
        <v>2290</v>
      </c>
      <c r="C231">
        <v>21843.294010400114</v>
      </c>
      <c r="D231">
        <f t="shared" si="7"/>
        <v>218.43294010400115</v>
      </c>
    </row>
    <row r="232" spans="1:4">
      <c r="A232">
        <f t="shared" si="6"/>
        <v>230</v>
      </c>
      <c r="B232">
        <v>2300</v>
      </c>
      <c r="C232">
        <v>21781.828701000115</v>
      </c>
      <c r="D232">
        <f t="shared" si="7"/>
        <v>217.81828701000114</v>
      </c>
    </row>
    <row r="233" spans="1:4">
      <c r="A233">
        <f t="shared" si="6"/>
        <v>231</v>
      </c>
      <c r="B233">
        <v>2310</v>
      </c>
      <c r="C233">
        <v>21720.363391600116</v>
      </c>
      <c r="D233">
        <f t="shared" si="7"/>
        <v>217.20363391600117</v>
      </c>
    </row>
    <row r="234" spans="1:4">
      <c r="A234">
        <f t="shared" si="6"/>
        <v>232</v>
      </c>
      <c r="B234">
        <v>2320</v>
      </c>
      <c r="C234">
        <v>21658.898082200118</v>
      </c>
      <c r="D234">
        <f t="shared" si="7"/>
        <v>216.58898082200119</v>
      </c>
    </row>
    <row r="235" spans="1:4">
      <c r="A235">
        <f t="shared" si="6"/>
        <v>233</v>
      </c>
      <c r="B235">
        <v>2330</v>
      </c>
      <c r="C235">
        <v>21597.432772800119</v>
      </c>
      <c r="D235">
        <f t="shared" si="7"/>
        <v>215.97432772800119</v>
      </c>
    </row>
    <row r="236" spans="1:4">
      <c r="A236">
        <f t="shared" si="6"/>
        <v>234</v>
      </c>
      <c r="B236">
        <v>2340</v>
      </c>
      <c r="C236">
        <v>21535.96746340012</v>
      </c>
      <c r="D236">
        <f t="shared" si="7"/>
        <v>215.35967463400121</v>
      </c>
    </row>
    <row r="237" spans="1:4">
      <c r="A237">
        <f t="shared" si="6"/>
        <v>235</v>
      </c>
      <c r="B237">
        <v>2350</v>
      </c>
      <c r="C237">
        <v>21474.502154000122</v>
      </c>
      <c r="D237">
        <f t="shared" si="7"/>
        <v>214.7450215400012</v>
      </c>
    </row>
    <row r="238" spans="1:4">
      <c r="A238">
        <f t="shared" si="6"/>
        <v>236</v>
      </c>
      <c r="B238">
        <v>2360</v>
      </c>
      <c r="C238">
        <v>21413.036844600123</v>
      </c>
      <c r="D238">
        <f t="shared" si="7"/>
        <v>214.13036844600123</v>
      </c>
    </row>
    <row r="239" spans="1:4">
      <c r="A239">
        <f t="shared" si="6"/>
        <v>237</v>
      </c>
      <c r="B239">
        <v>2370</v>
      </c>
      <c r="C239">
        <v>21351.571535200124</v>
      </c>
      <c r="D239">
        <f t="shared" si="7"/>
        <v>213.51571535200125</v>
      </c>
    </row>
    <row r="240" spans="1:4">
      <c r="A240">
        <f t="shared" si="6"/>
        <v>238</v>
      </c>
      <c r="B240">
        <v>2380</v>
      </c>
      <c r="C240">
        <v>21290.106225800126</v>
      </c>
      <c r="D240">
        <f t="shared" si="7"/>
        <v>212.90106225800125</v>
      </c>
    </row>
    <row r="241" spans="1:4">
      <c r="A241">
        <f t="shared" si="6"/>
        <v>239</v>
      </c>
      <c r="B241">
        <v>2390</v>
      </c>
      <c r="C241">
        <v>21228.640916400127</v>
      </c>
      <c r="D241">
        <f t="shared" si="7"/>
        <v>212.28640916400127</v>
      </c>
    </row>
    <row r="242" spans="1:4">
      <c r="A242">
        <f t="shared" si="6"/>
        <v>240</v>
      </c>
      <c r="B242">
        <v>2400</v>
      </c>
      <c r="C242">
        <v>21167.175607000128</v>
      </c>
      <c r="D242">
        <f t="shared" si="7"/>
        <v>211.67175607000129</v>
      </c>
    </row>
    <row r="243" spans="1:4">
      <c r="A243">
        <f t="shared" si="6"/>
        <v>241</v>
      </c>
      <c r="B243">
        <v>2410</v>
      </c>
      <c r="C243">
        <v>21105.71029760013</v>
      </c>
      <c r="D243">
        <f t="shared" si="7"/>
        <v>211.05710297600129</v>
      </c>
    </row>
    <row r="244" spans="1:4">
      <c r="A244">
        <f t="shared" si="6"/>
        <v>242</v>
      </c>
      <c r="B244">
        <v>2420</v>
      </c>
      <c r="C244">
        <v>21044.244988200131</v>
      </c>
      <c r="D244">
        <f t="shared" si="7"/>
        <v>210.44244988200131</v>
      </c>
    </row>
    <row r="245" spans="1:4">
      <c r="A245">
        <f t="shared" si="6"/>
        <v>243</v>
      </c>
      <c r="B245">
        <v>2430</v>
      </c>
      <c r="C245">
        <v>20982.779678800132</v>
      </c>
      <c r="D245">
        <f t="shared" si="7"/>
        <v>209.82779678800134</v>
      </c>
    </row>
    <row r="246" spans="1:4">
      <c r="A246">
        <f t="shared" si="6"/>
        <v>244</v>
      </c>
      <c r="B246">
        <v>2440</v>
      </c>
      <c r="C246">
        <v>20921.314369400134</v>
      </c>
      <c r="D246">
        <f t="shared" si="7"/>
        <v>209.21314369400133</v>
      </c>
    </row>
    <row r="247" spans="1:4">
      <c r="A247">
        <f t="shared" si="6"/>
        <v>245</v>
      </c>
      <c r="B247">
        <v>2450</v>
      </c>
      <c r="C247">
        <v>20859.849060000135</v>
      </c>
      <c r="D247">
        <f t="shared" si="7"/>
        <v>208.59849060000136</v>
      </c>
    </row>
    <row r="248" spans="1:4">
      <c r="A248">
        <f t="shared" si="6"/>
        <v>246</v>
      </c>
      <c r="B248">
        <v>2460</v>
      </c>
      <c r="C248">
        <v>20798.383750600136</v>
      </c>
      <c r="D248">
        <f t="shared" si="7"/>
        <v>207.98383750600135</v>
      </c>
    </row>
    <row r="249" spans="1:4">
      <c r="A249">
        <f t="shared" si="6"/>
        <v>247</v>
      </c>
      <c r="B249">
        <v>2470</v>
      </c>
      <c r="C249">
        <v>20736.918441200138</v>
      </c>
      <c r="D249">
        <f t="shared" si="7"/>
        <v>207.36918441200137</v>
      </c>
    </row>
    <row r="250" spans="1:4">
      <c r="A250">
        <f t="shared" si="6"/>
        <v>248</v>
      </c>
      <c r="B250">
        <v>2480</v>
      </c>
      <c r="C250">
        <v>20675.453131800139</v>
      </c>
      <c r="D250">
        <f t="shared" si="7"/>
        <v>206.7545313180014</v>
      </c>
    </row>
    <row r="251" spans="1:4">
      <c r="A251">
        <f t="shared" si="6"/>
        <v>249</v>
      </c>
      <c r="B251">
        <v>2490</v>
      </c>
      <c r="C251">
        <v>20613.98782240014</v>
      </c>
      <c r="D251">
        <f t="shared" si="7"/>
        <v>206.13987822400139</v>
      </c>
    </row>
    <row r="252" spans="1:4">
      <c r="A252">
        <f t="shared" si="6"/>
        <v>250</v>
      </c>
      <c r="B252">
        <v>2500</v>
      </c>
      <c r="C252">
        <v>20552.522513000142</v>
      </c>
      <c r="D252">
        <f t="shared" si="7"/>
        <v>205.52522513000142</v>
      </c>
    </row>
    <row r="253" spans="1:4">
      <c r="A253">
        <f t="shared" si="6"/>
        <v>251</v>
      </c>
      <c r="B253">
        <v>2510</v>
      </c>
      <c r="C253">
        <v>20491.057203600143</v>
      </c>
      <c r="D253">
        <f t="shared" si="7"/>
        <v>204.91057203600144</v>
      </c>
    </row>
    <row r="254" spans="1:4">
      <c r="A254">
        <f t="shared" si="6"/>
        <v>252</v>
      </c>
      <c r="B254">
        <v>2520</v>
      </c>
      <c r="C254">
        <v>20429.591894200144</v>
      </c>
      <c r="D254">
        <f t="shared" si="7"/>
        <v>204.29591894200144</v>
      </c>
    </row>
    <row r="255" spans="1:4">
      <c r="A255">
        <f t="shared" si="6"/>
        <v>253</v>
      </c>
      <c r="B255">
        <v>2530</v>
      </c>
      <c r="C255">
        <v>20368.126584800146</v>
      </c>
      <c r="D255">
        <f t="shared" si="7"/>
        <v>203.68126584800146</v>
      </c>
    </row>
    <row r="256" spans="1:4">
      <c r="A256">
        <f t="shared" si="6"/>
        <v>254</v>
      </c>
      <c r="B256">
        <v>2540</v>
      </c>
      <c r="C256">
        <v>20306.661275400147</v>
      </c>
      <c r="D256">
        <f t="shared" si="7"/>
        <v>203.06661275400148</v>
      </c>
    </row>
    <row r="257" spans="1:4">
      <c r="A257">
        <f t="shared" si="6"/>
        <v>255</v>
      </c>
      <c r="B257">
        <v>2550</v>
      </c>
      <c r="C257">
        <v>20245.195966000148</v>
      </c>
      <c r="D257">
        <f t="shared" si="7"/>
        <v>202.45195966000148</v>
      </c>
    </row>
    <row r="258" spans="1:4">
      <c r="A258">
        <f t="shared" si="6"/>
        <v>256</v>
      </c>
      <c r="B258">
        <v>2560</v>
      </c>
      <c r="C258">
        <v>20183.73065660015</v>
      </c>
      <c r="D258">
        <f t="shared" si="7"/>
        <v>201.8373065660015</v>
      </c>
    </row>
    <row r="259" spans="1:4">
      <c r="A259">
        <f t="shared" ref="A259:A322" si="8">B259/10</f>
        <v>257</v>
      </c>
      <c r="B259">
        <v>2570</v>
      </c>
      <c r="C259">
        <v>20122.265347200151</v>
      </c>
      <c r="D259">
        <f t="shared" ref="D259:D322" si="9">C259/100</f>
        <v>201.22265347200153</v>
      </c>
    </row>
    <row r="260" spans="1:4">
      <c r="A260">
        <f t="shared" si="8"/>
        <v>258</v>
      </c>
      <c r="B260">
        <v>2580</v>
      </c>
      <c r="C260">
        <v>20060.800037800152</v>
      </c>
      <c r="D260">
        <f t="shared" si="9"/>
        <v>200.60800037800152</v>
      </c>
    </row>
    <row r="261" spans="1:4">
      <c r="A261">
        <f t="shared" si="8"/>
        <v>259</v>
      </c>
      <c r="B261">
        <v>2590</v>
      </c>
      <c r="C261">
        <v>19999.334728400154</v>
      </c>
      <c r="D261">
        <f t="shared" si="9"/>
        <v>199.99334728400154</v>
      </c>
    </row>
    <row r="262" spans="1:4">
      <c r="A262">
        <f t="shared" si="8"/>
        <v>260</v>
      </c>
      <c r="B262">
        <v>2600</v>
      </c>
      <c r="C262">
        <v>19937.869419000155</v>
      </c>
      <c r="D262">
        <f t="shared" si="9"/>
        <v>199.37869419000154</v>
      </c>
    </row>
    <row r="263" spans="1:4">
      <c r="A263">
        <f t="shared" si="8"/>
        <v>261</v>
      </c>
      <c r="B263">
        <v>2610</v>
      </c>
      <c r="C263">
        <v>19876.404109600157</v>
      </c>
      <c r="D263">
        <f t="shared" si="9"/>
        <v>198.76404109600156</v>
      </c>
    </row>
    <row r="264" spans="1:4">
      <c r="A264">
        <f t="shared" si="8"/>
        <v>262</v>
      </c>
      <c r="B264">
        <v>2620</v>
      </c>
      <c r="C264">
        <v>19814.938800200158</v>
      </c>
      <c r="D264">
        <f t="shared" si="9"/>
        <v>198.14938800200159</v>
      </c>
    </row>
    <row r="265" spans="1:4">
      <c r="A265">
        <f t="shared" si="8"/>
        <v>263</v>
      </c>
      <c r="B265">
        <v>2630</v>
      </c>
      <c r="C265">
        <v>19753.473490800159</v>
      </c>
      <c r="D265">
        <f t="shared" si="9"/>
        <v>197.53473490800158</v>
      </c>
    </row>
    <row r="266" spans="1:4">
      <c r="A266">
        <f t="shared" si="8"/>
        <v>264</v>
      </c>
      <c r="B266">
        <v>2640</v>
      </c>
      <c r="C266">
        <v>19692.008181400161</v>
      </c>
      <c r="D266">
        <f t="shared" si="9"/>
        <v>196.92008181400161</v>
      </c>
    </row>
    <row r="267" spans="1:4">
      <c r="A267">
        <f t="shared" si="8"/>
        <v>265</v>
      </c>
      <c r="B267">
        <v>2650</v>
      </c>
      <c r="C267">
        <v>19630.542872000162</v>
      </c>
      <c r="D267">
        <f t="shared" si="9"/>
        <v>196.30542872000163</v>
      </c>
    </row>
    <row r="268" spans="1:4">
      <c r="A268">
        <f t="shared" si="8"/>
        <v>266</v>
      </c>
      <c r="B268">
        <v>2660</v>
      </c>
      <c r="C268">
        <v>19569.077562600163</v>
      </c>
      <c r="D268">
        <f t="shared" si="9"/>
        <v>195.69077562600162</v>
      </c>
    </row>
    <row r="269" spans="1:4">
      <c r="A269">
        <f t="shared" si="8"/>
        <v>267</v>
      </c>
      <c r="B269">
        <v>2670</v>
      </c>
      <c r="C269">
        <v>19507.612253200165</v>
      </c>
      <c r="D269">
        <f t="shared" si="9"/>
        <v>195.07612253200165</v>
      </c>
    </row>
    <row r="270" spans="1:4">
      <c r="A270">
        <f t="shared" si="8"/>
        <v>268</v>
      </c>
      <c r="B270">
        <v>2680</v>
      </c>
      <c r="C270">
        <v>19446.146943800166</v>
      </c>
      <c r="D270">
        <f t="shared" si="9"/>
        <v>194.46146943800167</v>
      </c>
    </row>
    <row r="271" spans="1:4">
      <c r="A271">
        <f t="shared" si="8"/>
        <v>269</v>
      </c>
      <c r="B271">
        <v>2690</v>
      </c>
      <c r="C271">
        <v>19384.681634400167</v>
      </c>
      <c r="D271">
        <f t="shared" si="9"/>
        <v>193.84681634400167</v>
      </c>
    </row>
    <row r="272" spans="1:4">
      <c r="A272">
        <f t="shared" si="8"/>
        <v>270</v>
      </c>
      <c r="B272">
        <v>2700</v>
      </c>
      <c r="C272">
        <v>19323.216325000169</v>
      </c>
      <c r="D272">
        <f t="shared" si="9"/>
        <v>193.23216325000169</v>
      </c>
    </row>
    <row r="273" spans="1:4">
      <c r="A273">
        <f t="shared" si="8"/>
        <v>271</v>
      </c>
      <c r="B273">
        <v>2710</v>
      </c>
      <c r="C273">
        <v>19261.75101560017</v>
      </c>
      <c r="D273">
        <f t="shared" si="9"/>
        <v>192.61751015600169</v>
      </c>
    </row>
    <row r="274" spans="1:4">
      <c r="A274">
        <f t="shared" si="8"/>
        <v>272</v>
      </c>
      <c r="B274">
        <v>2720</v>
      </c>
      <c r="C274">
        <v>19200.285706200171</v>
      </c>
      <c r="D274">
        <f t="shared" si="9"/>
        <v>192.00285706200171</v>
      </c>
    </row>
    <row r="275" spans="1:4">
      <c r="A275">
        <f t="shared" si="8"/>
        <v>273</v>
      </c>
      <c r="B275">
        <v>2730</v>
      </c>
      <c r="C275">
        <v>19138.820396800173</v>
      </c>
      <c r="D275">
        <f t="shared" si="9"/>
        <v>191.38820396800173</v>
      </c>
    </row>
    <row r="276" spans="1:4">
      <c r="A276">
        <f t="shared" si="8"/>
        <v>274</v>
      </c>
      <c r="B276">
        <v>2740</v>
      </c>
      <c r="C276">
        <v>19077.355087400174</v>
      </c>
      <c r="D276">
        <f t="shared" si="9"/>
        <v>190.77355087400173</v>
      </c>
    </row>
    <row r="277" spans="1:4">
      <c r="A277">
        <f t="shared" si="8"/>
        <v>275</v>
      </c>
      <c r="B277">
        <v>2750</v>
      </c>
      <c r="C277">
        <v>19015.889778000175</v>
      </c>
      <c r="D277">
        <f t="shared" si="9"/>
        <v>190.15889778000175</v>
      </c>
    </row>
    <row r="278" spans="1:4">
      <c r="A278">
        <f t="shared" si="8"/>
        <v>276</v>
      </c>
      <c r="B278">
        <v>2760</v>
      </c>
      <c r="C278">
        <v>18954.424468600177</v>
      </c>
      <c r="D278">
        <f t="shared" si="9"/>
        <v>189.54424468600178</v>
      </c>
    </row>
    <row r="279" spans="1:4">
      <c r="A279">
        <f t="shared" si="8"/>
        <v>277</v>
      </c>
      <c r="B279">
        <v>2770</v>
      </c>
      <c r="C279">
        <v>18892.959159200178</v>
      </c>
      <c r="D279">
        <f t="shared" si="9"/>
        <v>188.92959159200177</v>
      </c>
    </row>
    <row r="280" spans="1:4">
      <c r="A280">
        <f t="shared" si="8"/>
        <v>278</v>
      </c>
      <c r="B280">
        <v>2780</v>
      </c>
      <c r="C280">
        <v>18831.493849800179</v>
      </c>
      <c r="D280">
        <f t="shared" si="9"/>
        <v>188.31493849800179</v>
      </c>
    </row>
    <row r="281" spans="1:4">
      <c r="A281">
        <f t="shared" si="8"/>
        <v>279</v>
      </c>
      <c r="B281">
        <v>2790</v>
      </c>
      <c r="C281">
        <v>18770.028540400181</v>
      </c>
      <c r="D281">
        <f t="shared" si="9"/>
        <v>187.70028540400182</v>
      </c>
    </row>
    <row r="282" spans="1:4">
      <c r="A282">
        <f t="shared" si="8"/>
        <v>280</v>
      </c>
      <c r="B282">
        <v>2800</v>
      </c>
      <c r="C282">
        <v>18708.563231000182</v>
      </c>
      <c r="D282">
        <f t="shared" si="9"/>
        <v>187.08563231000181</v>
      </c>
    </row>
    <row r="283" spans="1:4">
      <c r="A283">
        <f t="shared" si="8"/>
        <v>281</v>
      </c>
      <c r="B283">
        <v>2810</v>
      </c>
      <c r="C283">
        <v>18647.097921600183</v>
      </c>
      <c r="D283">
        <f t="shared" si="9"/>
        <v>186.47097921600184</v>
      </c>
    </row>
    <row r="284" spans="1:4">
      <c r="A284">
        <f t="shared" si="8"/>
        <v>282</v>
      </c>
      <c r="B284">
        <v>2820</v>
      </c>
      <c r="C284">
        <v>18585.632612200185</v>
      </c>
      <c r="D284">
        <f t="shared" si="9"/>
        <v>185.85632612200186</v>
      </c>
    </row>
    <row r="285" spans="1:4">
      <c r="A285">
        <f t="shared" si="8"/>
        <v>283</v>
      </c>
      <c r="B285">
        <v>2830</v>
      </c>
      <c r="C285">
        <v>18524.167302800186</v>
      </c>
      <c r="D285">
        <f t="shared" si="9"/>
        <v>185.24167302800186</v>
      </c>
    </row>
    <row r="286" spans="1:4">
      <c r="A286">
        <f t="shared" si="8"/>
        <v>284</v>
      </c>
      <c r="B286">
        <v>2840</v>
      </c>
      <c r="C286">
        <v>18462.701993400187</v>
      </c>
      <c r="D286">
        <f t="shared" si="9"/>
        <v>184.62701993400188</v>
      </c>
    </row>
    <row r="287" spans="1:4">
      <c r="A287">
        <f t="shared" si="8"/>
        <v>285</v>
      </c>
      <c r="B287">
        <v>2850</v>
      </c>
      <c r="C287">
        <v>18401.236684000189</v>
      </c>
      <c r="D287">
        <f t="shared" si="9"/>
        <v>184.01236684000187</v>
      </c>
    </row>
    <row r="288" spans="1:4">
      <c r="A288">
        <f t="shared" si="8"/>
        <v>286</v>
      </c>
      <c r="B288">
        <v>2860</v>
      </c>
      <c r="C288">
        <v>18339.77137460019</v>
      </c>
      <c r="D288">
        <f t="shared" si="9"/>
        <v>183.3977137460019</v>
      </c>
    </row>
    <row r="289" spans="1:4">
      <c r="A289">
        <f t="shared" si="8"/>
        <v>287</v>
      </c>
      <c r="B289">
        <v>2870</v>
      </c>
      <c r="C289">
        <v>18278.306065200191</v>
      </c>
      <c r="D289">
        <f t="shared" si="9"/>
        <v>182.78306065200192</v>
      </c>
    </row>
    <row r="290" spans="1:4">
      <c r="A290">
        <f t="shared" si="8"/>
        <v>288</v>
      </c>
      <c r="B290">
        <v>2880</v>
      </c>
      <c r="C290">
        <v>18216.840755800193</v>
      </c>
      <c r="D290">
        <f t="shared" si="9"/>
        <v>182.16840755800192</v>
      </c>
    </row>
    <row r="291" spans="1:4">
      <c r="A291">
        <f t="shared" si="8"/>
        <v>289</v>
      </c>
      <c r="B291">
        <v>2890</v>
      </c>
      <c r="C291">
        <v>18155.375446400194</v>
      </c>
      <c r="D291">
        <f t="shared" si="9"/>
        <v>181.55375446400194</v>
      </c>
    </row>
    <row r="292" spans="1:4">
      <c r="A292">
        <f t="shared" si="8"/>
        <v>290</v>
      </c>
      <c r="B292">
        <v>2900</v>
      </c>
      <c r="C292">
        <v>18093.910137000195</v>
      </c>
      <c r="D292">
        <f t="shared" si="9"/>
        <v>180.93910137000196</v>
      </c>
    </row>
    <row r="293" spans="1:4">
      <c r="A293">
        <f t="shared" si="8"/>
        <v>291</v>
      </c>
      <c r="B293">
        <v>2910</v>
      </c>
      <c r="C293">
        <v>18032.444827600197</v>
      </c>
      <c r="D293">
        <f t="shared" si="9"/>
        <v>180.32444827600196</v>
      </c>
    </row>
    <row r="294" spans="1:4">
      <c r="A294">
        <f t="shared" si="8"/>
        <v>292</v>
      </c>
      <c r="B294">
        <v>2920</v>
      </c>
      <c r="C294">
        <v>17970.979518200198</v>
      </c>
      <c r="D294">
        <f t="shared" si="9"/>
        <v>179.70979518200198</v>
      </c>
    </row>
    <row r="295" spans="1:4">
      <c r="A295">
        <f t="shared" si="8"/>
        <v>293</v>
      </c>
      <c r="B295">
        <v>2930</v>
      </c>
      <c r="C295">
        <v>17909.514208800199</v>
      </c>
      <c r="D295">
        <f t="shared" si="9"/>
        <v>179.09514208800201</v>
      </c>
    </row>
    <row r="296" spans="1:4">
      <c r="A296">
        <f t="shared" si="8"/>
        <v>294</v>
      </c>
      <c r="B296">
        <v>2940</v>
      </c>
      <c r="C296">
        <v>17848.048899400201</v>
      </c>
      <c r="D296">
        <f t="shared" si="9"/>
        <v>178.480488994002</v>
      </c>
    </row>
    <row r="297" spans="1:4">
      <c r="A297">
        <f t="shared" si="8"/>
        <v>295</v>
      </c>
      <c r="B297">
        <v>2950</v>
      </c>
      <c r="C297">
        <v>17786.583590000202</v>
      </c>
      <c r="D297">
        <f t="shared" si="9"/>
        <v>177.86583590000203</v>
      </c>
    </row>
    <row r="298" spans="1:4">
      <c r="A298">
        <f t="shared" si="8"/>
        <v>296</v>
      </c>
      <c r="B298">
        <v>2960</v>
      </c>
      <c r="C298">
        <v>17725.118280600203</v>
      </c>
      <c r="D298">
        <f t="shared" si="9"/>
        <v>177.25118280600202</v>
      </c>
    </row>
    <row r="299" spans="1:4">
      <c r="A299">
        <f t="shared" si="8"/>
        <v>297</v>
      </c>
      <c r="B299">
        <v>2970</v>
      </c>
      <c r="C299">
        <v>17663.652971200205</v>
      </c>
      <c r="D299">
        <f t="shared" si="9"/>
        <v>176.63652971200204</v>
      </c>
    </row>
    <row r="300" spans="1:4">
      <c r="A300">
        <f t="shared" si="8"/>
        <v>298</v>
      </c>
      <c r="B300">
        <v>2980</v>
      </c>
      <c r="C300">
        <v>17602.187661800206</v>
      </c>
      <c r="D300">
        <f t="shared" si="9"/>
        <v>176.02187661800207</v>
      </c>
    </row>
    <row r="301" spans="1:4">
      <c r="A301">
        <f t="shared" si="8"/>
        <v>299</v>
      </c>
      <c r="B301">
        <v>2990</v>
      </c>
      <c r="C301">
        <v>17540.722352400207</v>
      </c>
      <c r="D301">
        <f t="shared" si="9"/>
        <v>175.40722352400206</v>
      </c>
    </row>
    <row r="302" spans="1:4">
      <c r="A302">
        <f t="shared" si="8"/>
        <v>300</v>
      </c>
      <c r="B302">
        <v>3000</v>
      </c>
      <c r="C302">
        <v>17479.257043000209</v>
      </c>
      <c r="D302">
        <f t="shared" si="9"/>
        <v>174.79257043000209</v>
      </c>
    </row>
    <row r="303" spans="1:4">
      <c r="A303">
        <f t="shared" si="8"/>
        <v>301</v>
      </c>
      <c r="B303">
        <v>3010</v>
      </c>
      <c r="C303">
        <v>17417.79173360021</v>
      </c>
      <c r="D303">
        <f t="shared" si="9"/>
        <v>174.17791733600211</v>
      </c>
    </row>
    <row r="304" spans="1:4">
      <c r="A304">
        <f t="shared" si="8"/>
        <v>302</v>
      </c>
      <c r="B304">
        <v>3020</v>
      </c>
      <c r="C304">
        <v>17356.326424200211</v>
      </c>
      <c r="D304">
        <f t="shared" si="9"/>
        <v>173.56326424200211</v>
      </c>
    </row>
    <row r="305" spans="1:4">
      <c r="A305">
        <f t="shared" si="8"/>
        <v>303</v>
      </c>
      <c r="B305">
        <v>3030</v>
      </c>
      <c r="C305">
        <v>17294.861114800213</v>
      </c>
      <c r="D305">
        <f t="shared" si="9"/>
        <v>172.94861114800213</v>
      </c>
    </row>
    <row r="306" spans="1:4">
      <c r="A306">
        <f t="shared" si="8"/>
        <v>304</v>
      </c>
      <c r="B306">
        <v>3040</v>
      </c>
      <c r="C306">
        <v>17233.395805400214</v>
      </c>
      <c r="D306">
        <f t="shared" si="9"/>
        <v>172.33395805400215</v>
      </c>
    </row>
    <row r="307" spans="1:4">
      <c r="A307">
        <f t="shared" si="8"/>
        <v>305</v>
      </c>
      <c r="B307">
        <v>3050</v>
      </c>
      <c r="C307">
        <v>17171.930496000215</v>
      </c>
      <c r="D307">
        <f t="shared" si="9"/>
        <v>171.71930496000215</v>
      </c>
    </row>
    <row r="308" spans="1:4">
      <c r="A308">
        <f t="shared" si="8"/>
        <v>306</v>
      </c>
      <c r="B308">
        <v>3060</v>
      </c>
      <c r="C308">
        <v>17110.465186600217</v>
      </c>
      <c r="D308">
        <f t="shared" si="9"/>
        <v>171.10465186600217</v>
      </c>
    </row>
    <row r="309" spans="1:4">
      <c r="A309">
        <f t="shared" si="8"/>
        <v>307</v>
      </c>
      <c r="B309">
        <v>3070</v>
      </c>
      <c r="C309">
        <v>17048.999877200218</v>
      </c>
      <c r="D309">
        <f t="shared" si="9"/>
        <v>170.4899987720022</v>
      </c>
    </row>
    <row r="310" spans="1:4">
      <c r="A310">
        <f t="shared" si="8"/>
        <v>308</v>
      </c>
      <c r="B310">
        <v>3080</v>
      </c>
      <c r="C310">
        <v>16987.53456780022</v>
      </c>
      <c r="D310">
        <f t="shared" si="9"/>
        <v>169.87534567800219</v>
      </c>
    </row>
    <row r="311" spans="1:4">
      <c r="A311">
        <f t="shared" si="8"/>
        <v>309</v>
      </c>
      <c r="B311">
        <v>3090</v>
      </c>
      <c r="C311">
        <v>16926.069258400221</v>
      </c>
      <c r="D311">
        <f t="shared" si="9"/>
        <v>169.26069258400221</v>
      </c>
    </row>
    <row r="312" spans="1:4">
      <c r="A312">
        <f t="shared" si="8"/>
        <v>310</v>
      </c>
      <c r="B312">
        <v>3100</v>
      </c>
      <c r="C312">
        <v>16864.603949000222</v>
      </c>
      <c r="D312">
        <f t="shared" si="9"/>
        <v>168.64603949000221</v>
      </c>
    </row>
    <row r="313" spans="1:4">
      <c r="A313">
        <f t="shared" si="8"/>
        <v>311</v>
      </c>
      <c r="B313">
        <v>3110</v>
      </c>
      <c r="C313">
        <v>16803.138639600224</v>
      </c>
      <c r="D313">
        <f t="shared" si="9"/>
        <v>168.03138639600223</v>
      </c>
    </row>
    <row r="314" spans="1:4">
      <c r="A314">
        <f t="shared" si="8"/>
        <v>312</v>
      </c>
      <c r="B314">
        <v>3120</v>
      </c>
      <c r="C314">
        <v>16741.673330200225</v>
      </c>
      <c r="D314">
        <f t="shared" si="9"/>
        <v>167.41673330200226</v>
      </c>
    </row>
    <row r="315" spans="1:4">
      <c r="A315">
        <f t="shared" si="8"/>
        <v>313</v>
      </c>
      <c r="B315">
        <v>3130</v>
      </c>
      <c r="C315">
        <v>16680.208020800226</v>
      </c>
      <c r="D315">
        <f t="shared" si="9"/>
        <v>166.80208020800225</v>
      </c>
    </row>
    <row r="316" spans="1:4">
      <c r="A316">
        <f t="shared" si="8"/>
        <v>314</v>
      </c>
      <c r="B316">
        <v>3140</v>
      </c>
      <c r="C316">
        <v>16618.742711400228</v>
      </c>
      <c r="D316">
        <f t="shared" si="9"/>
        <v>166.18742711400228</v>
      </c>
    </row>
    <row r="317" spans="1:4">
      <c r="A317">
        <f t="shared" si="8"/>
        <v>315</v>
      </c>
      <c r="B317">
        <v>3150</v>
      </c>
      <c r="C317">
        <v>16557.277402000229</v>
      </c>
      <c r="D317">
        <f t="shared" si="9"/>
        <v>165.5727740200023</v>
      </c>
    </row>
    <row r="318" spans="1:4">
      <c r="A318">
        <f t="shared" si="8"/>
        <v>316</v>
      </c>
      <c r="B318">
        <v>3160</v>
      </c>
      <c r="C318">
        <v>16495.81209260023</v>
      </c>
      <c r="D318">
        <f t="shared" si="9"/>
        <v>164.95812092600229</v>
      </c>
    </row>
    <row r="319" spans="1:4">
      <c r="A319">
        <f t="shared" si="8"/>
        <v>317</v>
      </c>
      <c r="B319">
        <v>3170</v>
      </c>
      <c r="C319">
        <v>16434.346783200232</v>
      </c>
      <c r="D319">
        <f t="shared" si="9"/>
        <v>164.34346783200232</v>
      </c>
    </row>
    <row r="320" spans="1:4">
      <c r="A320">
        <f t="shared" si="8"/>
        <v>318</v>
      </c>
      <c r="B320">
        <v>3180</v>
      </c>
      <c r="C320">
        <v>16372.881473800231</v>
      </c>
      <c r="D320">
        <f t="shared" si="9"/>
        <v>163.72881473800231</v>
      </c>
    </row>
    <row r="321" spans="1:4">
      <c r="A321">
        <f t="shared" si="8"/>
        <v>319</v>
      </c>
      <c r="B321">
        <v>3190</v>
      </c>
      <c r="C321">
        <v>16311.416164400231</v>
      </c>
      <c r="D321">
        <f t="shared" si="9"/>
        <v>163.11416164400231</v>
      </c>
    </row>
    <row r="322" spans="1:4">
      <c r="A322">
        <f t="shared" si="8"/>
        <v>320</v>
      </c>
      <c r="B322">
        <v>3200</v>
      </c>
      <c r="C322">
        <v>16249.95085500023</v>
      </c>
      <c r="D322">
        <f t="shared" si="9"/>
        <v>162.4995085500023</v>
      </c>
    </row>
    <row r="323" spans="1:4">
      <c r="A323">
        <f t="shared" ref="A323:A386" si="10">B323/10</f>
        <v>321</v>
      </c>
      <c r="B323">
        <v>3210</v>
      </c>
      <c r="C323">
        <v>16188.48554560023</v>
      </c>
      <c r="D323">
        <f t="shared" ref="D323:D386" si="11">C323/100</f>
        <v>161.8848554560023</v>
      </c>
    </row>
    <row r="324" spans="1:4">
      <c r="A324">
        <f t="shared" si="10"/>
        <v>322</v>
      </c>
      <c r="B324">
        <v>3220</v>
      </c>
      <c r="C324">
        <v>16127.020236200229</v>
      </c>
      <c r="D324">
        <f t="shared" si="11"/>
        <v>161.27020236200229</v>
      </c>
    </row>
    <row r="325" spans="1:4">
      <c r="A325">
        <f t="shared" si="10"/>
        <v>323</v>
      </c>
      <c r="B325">
        <v>3230</v>
      </c>
      <c r="C325">
        <v>16065.554926800229</v>
      </c>
      <c r="D325">
        <f t="shared" si="11"/>
        <v>160.65554926800229</v>
      </c>
    </row>
    <row r="326" spans="1:4">
      <c r="A326">
        <f t="shared" si="10"/>
        <v>324</v>
      </c>
      <c r="B326">
        <v>3240</v>
      </c>
      <c r="C326">
        <v>16004.089617400228</v>
      </c>
      <c r="D326">
        <f t="shared" si="11"/>
        <v>160.04089617400228</v>
      </c>
    </row>
    <row r="327" spans="1:4">
      <c r="A327">
        <f t="shared" si="10"/>
        <v>325</v>
      </c>
      <c r="B327">
        <v>3250</v>
      </c>
      <c r="C327">
        <v>15942.624308000228</v>
      </c>
      <c r="D327">
        <f t="shared" si="11"/>
        <v>159.42624308000228</v>
      </c>
    </row>
    <row r="328" spans="1:4">
      <c r="A328">
        <f t="shared" si="10"/>
        <v>326</v>
      </c>
      <c r="B328">
        <v>3260</v>
      </c>
      <c r="C328">
        <v>15881.158998600227</v>
      </c>
      <c r="D328">
        <f t="shared" si="11"/>
        <v>158.81158998600228</v>
      </c>
    </row>
    <row r="329" spans="1:4">
      <c r="A329">
        <f t="shared" si="10"/>
        <v>327</v>
      </c>
      <c r="B329">
        <v>3270</v>
      </c>
      <c r="C329">
        <v>15819.693689200227</v>
      </c>
      <c r="D329">
        <f t="shared" si="11"/>
        <v>158.19693689200227</v>
      </c>
    </row>
    <row r="330" spans="1:4">
      <c r="A330">
        <f t="shared" si="10"/>
        <v>328</v>
      </c>
      <c r="B330">
        <v>3280</v>
      </c>
      <c r="C330">
        <v>15758.228379800226</v>
      </c>
      <c r="D330">
        <f t="shared" si="11"/>
        <v>157.58228379800227</v>
      </c>
    </row>
    <row r="331" spans="1:4">
      <c r="A331">
        <f t="shared" si="10"/>
        <v>329</v>
      </c>
      <c r="B331">
        <v>3290</v>
      </c>
      <c r="C331">
        <v>15696.763070400226</v>
      </c>
      <c r="D331">
        <f t="shared" si="11"/>
        <v>156.96763070400226</v>
      </c>
    </row>
    <row r="332" spans="1:4">
      <c r="A332">
        <f t="shared" si="10"/>
        <v>330</v>
      </c>
      <c r="B332">
        <v>3300</v>
      </c>
      <c r="C332">
        <v>15635.297761000225</v>
      </c>
      <c r="D332">
        <f t="shared" si="11"/>
        <v>156.35297761000226</v>
      </c>
    </row>
    <row r="333" spans="1:4">
      <c r="A333">
        <f t="shared" si="10"/>
        <v>331</v>
      </c>
      <c r="B333">
        <v>3310</v>
      </c>
      <c r="C333">
        <v>15573.832451600225</v>
      </c>
      <c r="D333">
        <f t="shared" si="11"/>
        <v>155.73832451600225</v>
      </c>
    </row>
    <row r="334" spans="1:4">
      <c r="A334">
        <f t="shared" si="10"/>
        <v>332</v>
      </c>
      <c r="B334">
        <v>3320</v>
      </c>
      <c r="C334">
        <v>15512.367142200224</v>
      </c>
      <c r="D334">
        <f t="shared" si="11"/>
        <v>155.12367142200225</v>
      </c>
    </row>
    <row r="335" spans="1:4">
      <c r="A335">
        <f t="shared" si="10"/>
        <v>333</v>
      </c>
      <c r="B335">
        <v>3330</v>
      </c>
      <c r="C335">
        <v>15450.901832800224</v>
      </c>
      <c r="D335">
        <f t="shared" si="11"/>
        <v>154.50901832800224</v>
      </c>
    </row>
    <row r="336" spans="1:4">
      <c r="A336">
        <f t="shared" si="10"/>
        <v>334</v>
      </c>
      <c r="B336">
        <v>3340</v>
      </c>
      <c r="C336">
        <v>15389.436523400223</v>
      </c>
      <c r="D336">
        <f t="shared" si="11"/>
        <v>153.89436523400224</v>
      </c>
    </row>
    <row r="337" spans="1:4">
      <c r="A337">
        <f t="shared" si="10"/>
        <v>335</v>
      </c>
      <c r="B337">
        <v>3350</v>
      </c>
      <c r="C337">
        <v>15327.971214000223</v>
      </c>
      <c r="D337">
        <f t="shared" si="11"/>
        <v>153.27971214000223</v>
      </c>
    </row>
    <row r="338" spans="1:4">
      <c r="A338">
        <f t="shared" si="10"/>
        <v>336</v>
      </c>
      <c r="B338">
        <v>3360</v>
      </c>
      <c r="C338">
        <v>15266.505904600222</v>
      </c>
      <c r="D338">
        <f t="shared" si="11"/>
        <v>152.66505904600223</v>
      </c>
    </row>
    <row r="339" spans="1:4">
      <c r="A339">
        <f t="shared" si="10"/>
        <v>337</v>
      </c>
      <c r="B339">
        <v>3370</v>
      </c>
      <c r="C339">
        <v>15205.040595200222</v>
      </c>
      <c r="D339">
        <f t="shared" si="11"/>
        <v>152.05040595200222</v>
      </c>
    </row>
    <row r="340" spans="1:4">
      <c r="A340">
        <f t="shared" si="10"/>
        <v>338</v>
      </c>
      <c r="B340">
        <v>3380</v>
      </c>
      <c r="C340">
        <v>15143.575285800222</v>
      </c>
      <c r="D340">
        <f t="shared" si="11"/>
        <v>151.43575285800222</v>
      </c>
    </row>
    <row r="341" spans="1:4">
      <c r="A341">
        <f t="shared" si="10"/>
        <v>339</v>
      </c>
      <c r="B341">
        <v>3390</v>
      </c>
      <c r="C341">
        <v>15082.109976400221</v>
      </c>
      <c r="D341">
        <f t="shared" si="11"/>
        <v>150.82109976400221</v>
      </c>
    </row>
    <row r="342" spans="1:4">
      <c r="A342">
        <f t="shared" si="10"/>
        <v>340</v>
      </c>
      <c r="B342">
        <v>3400</v>
      </c>
      <c r="C342">
        <v>15020.644667000221</v>
      </c>
      <c r="D342">
        <f t="shared" si="11"/>
        <v>150.20644667000221</v>
      </c>
    </row>
    <row r="343" spans="1:4">
      <c r="A343">
        <f t="shared" si="10"/>
        <v>341</v>
      </c>
      <c r="B343">
        <v>3410</v>
      </c>
      <c r="C343">
        <v>14959.17935760022</v>
      </c>
      <c r="D343">
        <f t="shared" si="11"/>
        <v>149.5917935760022</v>
      </c>
    </row>
    <row r="344" spans="1:4">
      <c r="A344">
        <f t="shared" si="10"/>
        <v>342</v>
      </c>
      <c r="B344">
        <v>3420</v>
      </c>
      <c r="C344">
        <v>14897.71404820022</v>
      </c>
      <c r="D344">
        <f t="shared" si="11"/>
        <v>148.9771404820022</v>
      </c>
    </row>
    <row r="345" spans="1:4">
      <c r="A345">
        <f t="shared" si="10"/>
        <v>343</v>
      </c>
      <c r="B345">
        <v>3430</v>
      </c>
      <c r="C345">
        <v>14836.248738800219</v>
      </c>
      <c r="D345">
        <f t="shared" si="11"/>
        <v>148.36248738800219</v>
      </c>
    </row>
    <row r="346" spans="1:4">
      <c r="A346">
        <f t="shared" si="10"/>
        <v>344</v>
      </c>
      <c r="B346">
        <v>3440</v>
      </c>
      <c r="C346">
        <v>14774.783429400219</v>
      </c>
      <c r="D346">
        <f t="shared" si="11"/>
        <v>147.74783429400219</v>
      </c>
    </row>
    <row r="347" spans="1:4">
      <c r="A347">
        <f t="shared" si="10"/>
        <v>345</v>
      </c>
      <c r="B347">
        <v>3450</v>
      </c>
      <c r="C347">
        <v>14713.318120000218</v>
      </c>
      <c r="D347">
        <f t="shared" si="11"/>
        <v>147.13318120000218</v>
      </c>
    </row>
    <row r="348" spans="1:4">
      <c r="A348">
        <f t="shared" si="10"/>
        <v>346</v>
      </c>
      <c r="B348">
        <v>3460</v>
      </c>
      <c r="C348">
        <v>14651.852810600218</v>
      </c>
      <c r="D348">
        <f t="shared" si="11"/>
        <v>146.51852810600218</v>
      </c>
    </row>
    <row r="349" spans="1:4">
      <c r="A349">
        <f t="shared" si="10"/>
        <v>347</v>
      </c>
      <c r="B349">
        <v>3470</v>
      </c>
      <c r="C349">
        <v>14590.387501200217</v>
      </c>
      <c r="D349">
        <f t="shared" si="11"/>
        <v>145.90387501200217</v>
      </c>
    </row>
    <row r="350" spans="1:4">
      <c r="A350">
        <f t="shared" si="10"/>
        <v>348</v>
      </c>
      <c r="B350">
        <v>3480</v>
      </c>
      <c r="C350">
        <v>14528.922191800217</v>
      </c>
      <c r="D350">
        <f t="shared" si="11"/>
        <v>145.28922191800217</v>
      </c>
    </row>
    <row r="351" spans="1:4">
      <c r="A351">
        <f t="shared" si="10"/>
        <v>349</v>
      </c>
      <c r="B351">
        <v>3490</v>
      </c>
      <c r="C351">
        <v>14467.456882400216</v>
      </c>
      <c r="D351">
        <f t="shared" si="11"/>
        <v>144.67456882400217</v>
      </c>
    </row>
    <row r="352" spans="1:4">
      <c r="A352">
        <f t="shared" si="10"/>
        <v>350</v>
      </c>
      <c r="B352">
        <v>3500</v>
      </c>
      <c r="C352">
        <v>14405.991573000216</v>
      </c>
      <c r="D352">
        <f t="shared" si="11"/>
        <v>144.05991573000216</v>
      </c>
    </row>
    <row r="353" spans="1:4">
      <c r="A353">
        <f t="shared" si="10"/>
        <v>351</v>
      </c>
      <c r="B353">
        <v>3510</v>
      </c>
      <c r="C353">
        <v>14344.526263600215</v>
      </c>
      <c r="D353">
        <f t="shared" si="11"/>
        <v>143.44526263600216</v>
      </c>
    </row>
    <row r="354" spans="1:4">
      <c r="A354">
        <f t="shared" si="10"/>
        <v>352</v>
      </c>
      <c r="B354">
        <v>3520</v>
      </c>
      <c r="C354">
        <v>14283.060954200215</v>
      </c>
      <c r="D354">
        <f t="shared" si="11"/>
        <v>142.83060954200215</v>
      </c>
    </row>
    <row r="355" spans="1:4">
      <c r="A355">
        <f t="shared" si="10"/>
        <v>353</v>
      </c>
      <c r="B355">
        <v>3530</v>
      </c>
      <c r="C355">
        <v>14221.595644800214</v>
      </c>
      <c r="D355">
        <f t="shared" si="11"/>
        <v>142.21595644800215</v>
      </c>
    </row>
    <row r="356" spans="1:4">
      <c r="A356">
        <f t="shared" si="10"/>
        <v>354</v>
      </c>
      <c r="B356">
        <v>3540</v>
      </c>
      <c r="C356">
        <v>14160.130335400214</v>
      </c>
      <c r="D356">
        <f t="shared" si="11"/>
        <v>141.60130335400214</v>
      </c>
    </row>
    <row r="357" spans="1:4">
      <c r="A357">
        <f t="shared" si="10"/>
        <v>355</v>
      </c>
      <c r="B357">
        <v>3550</v>
      </c>
      <c r="C357">
        <v>14098.665026000213</v>
      </c>
      <c r="D357">
        <f t="shared" si="11"/>
        <v>140.98665026000214</v>
      </c>
    </row>
    <row r="358" spans="1:4">
      <c r="A358">
        <f t="shared" si="10"/>
        <v>356</v>
      </c>
      <c r="B358">
        <v>3560</v>
      </c>
      <c r="C358">
        <v>14037.199716600213</v>
      </c>
      <c r="D358">
        <f t="shared" si="11"/>
        <v>140.37199716600213</v>
      </c>
    </row>
    <row r="359" spans="1:4">
      <c r="A359">
        <f t="shared" si="10"/>
        <v>357</v>
      </c>
      <c r="B359">
        <v>3570</v>
      </c>
      <c r="C359">
        <v>13975.734407200212</v>
      </c>
      <c r="D359">
        <f t="shared" si="11"/>
        <v>139.75734407200213</v>
      </c>
    </row>
    <row r="360" spans="1:4">
      <c r="A360">
        <f t="shared" si="10"/>
        <v>358</v>
      </c>
      <c r="B360">
        <v>3580</v>
      </c>
      <c r="C360">
        <v>13914.269097800212</v>
      </c>
      <c r="D360">
        <f t="shared" si="11"/>
        <v>139.14269097800212</v>
      </c>
    </row>
    <row r="361" spans="1:4">
      <c r="A361">
        <f t="shared" si="10"/>
        <v>359</v>
      </c>
      <c r="B361">
        <v>3590</v>
      </c>
      <c r="C361">
        <v>13852.803788400211</v>
      </c>
      <c r="D361">
        <f t="shared" si="11"/>
        <v>138.52803788400212</v>
      </c>
    </row>
    <row r="362" spans="1:4">
      <c r="A362">
        <f t="shared" si="10"/>
        <v>360</v>
      </c>
      <c r="B362">
        <v>3600</v>
      </c>
      <c r="C362">
        <v>13791.338479000211</v>
      </c>
      <c r="D362">
        <f t="shared" si="11"/>
        <v>137.91338479000211</v>
      </c>
    </row>
    <row r="363" spans="1:4">
      <c r="A363">
        <f t="shared" si="10"/>
        <v>361</v>
      </c>
      <c r="B363">
        <v>3610</v>
      </c>
      <c r="C363">
        <v>13729.873169600211</v>
      </c>
      <c r="D363">
        <f t="shared" si="11"/>
        <v>137.29873169600211</v>
      </c>
    </row>
    <row r="364" spans="1:4">
      <c r="A364">
        <f t="shared" si="10"/>
        <v>362</v>
      </c>
      <c r="B364">
        <v>3620</v>
      </c>
      <c r="C364">
        <v>13668.40786020021</v>
      </c>
      <c r="D364">
        <f t="shared" si="11"/>
        <v>136.6840786020021</v>
      </c>
    </row>
    <row r="365" spans="1:4">
      <c r="A365">
        <f t="shared" si="10"/>
        <v>363</v>
      </c>
      <c r="B365">
        <v>3630</v>
      </c>
      <c r="C365">
        <v>13606.94255080021</v>
      </c>
      <c r="D365">
        <f t="shared" si="11"/>
        <v>136.0694255080021</v>
      </c>
    </row>
    <row r="366" spans="1:4">
      <c r="A366">
        <f t="shared" si="10"/>
        <v>364</v>
      </c>
      <c r="B366">
        <v>3640</v>
      </c>
      <c r="C366">
        <v>13545.477241400209</v>
      </c>
      <c r="D366">
        <f t="shared" si="11"/>
        <v>135.45477241400209</v>
      </c>
    </row>
    <row r="367" spans="1:4">
      <c r="A367">
        <f t="shared" si="10"/>
        <v>365</v>
      </c>
      <c r="B367">
        <v>3650</v>
      </c>
      <c r="C367">
        <v>13484.011932000209</v>
      </c>
      <c r="D367">
        <f t="shared" si="11"/>
        <v>134.84011932000209</v>
      </c>
    </row>
    <row r="368" spans="1:4">
      <c r="A368">
        <f t="shared" si="10"/>
        <v>366</v>
      </c>
      <c r="B368">
        <v>3660</v>
      </c>
      <c r="C368">
        <v>13422.546622600208</v>
      </c>
      <c r="D368">
        <f t="shared" si="11"/>
        <v>134.22546622600208</v>
      </c>
    </row>
    <row r="369" spans="1:4">
      <c r="A369">
        <f t="shared" si="10"/>
        <v>367</v>
      </c>
      <c r="B369">
        <v>3670</v>
      </c>
      <c r="C369">
        <v>13361.081313200208</v>
      </c>
      <c r="D369">
        <f t="shared" si="11"/>
        <v>133.61081313200208</v>
      </c>
    </row>
    <row r="370" spans="1:4">
      <c r="A370">
        <f t="shared" si="10"/>
        <v>368</v>
      </c>
      <c r="B370">
        <v>3680</v>
      </c>
      <c r="C370">
        <v>13299.616003800207</v>
      </c>
      <c r="D370">
        <f t="shared" si="11"/>
        <v>132.99616003800207</v>
      </c>
    </row>
    <row r="371" spans="1:4">
      <c r="A371">
        <f t="shared" si="10"/>
        <v>369</v>
      </c>
      <c r="B371">
        <v>3690</v>
      </c>
      <c r="C371">
        <v>13238.150694400207</v>
      </c>
      <c r="D371">
        <f t="shared" si="11"/>
        <v>132.38150694400207</v>
      </c>
    </row>
    <row r="372" spans="1:4">
      <c r="A372">
        <f t="shared" si="10"/>
        <v>370</v>
      </c>
      <c r="B372">
        <v>3700</v>
      </c>
      <c r="C372">
        <v>13176.685385000206</v>
      </c>
      <c r="D372">
        <f t="shared" si="11"/>
        <v>131.76685385000206</v>
      </c>
    </row>
    <row r="373" spans="1:4">
      <c r="A373">
        <f t="shared" si="10"/>
        <v>371</v>
      </c>
      <c r="B373">
        <v>3710</v>
      </c>
      <c r="C373">
        <v>13115.220075600206</v>
      </c>
      <c r="D373">
        <f t="shared" si="11"/>
        <v>131.15220075600206</v>
      </c>
    </row>
    <row r="374" spans="1:4">
      <c r="A374">
        <f t="shared" si="10"/>
        <v>372</v>
      </c>
      <c r="B374">
        <v>3720</v>
      </c>
      <c r="C374">
        <v>13053.754766200205</v>
      </c>
      <c r="D374">
        <f t="shared" si="11"/>
        <v>130.53754766200205</v>
      </c>
    </row>
    <row r="375" spans="1:4">
      <c r="A375">
        <f t="shared" si="10"/>
        <v>373</v>
      </c>
      <c r="B375">
        <v>3730</v>
      </c>
      <c r="C375">
        <v>12992.289456800205</v>
      </c>
      <c r="D375">
        <f t="shared" si="11"/>
        <v>129.92289456800205</v>
      </c>
    </row>
    <row r="376" spans="1:4">
      <c r="A376">
        <f t="shared" si="10"/>
        <v>374</v>
      </c>
      <c r="B376">
        <v>3740</v>
      </c>
      <c r="C376">
        <v>12930.824147400204</v>
      </c>
      <c r="D376">
        <f t="shared" si="11"/>
        <v>129.30824147400205</v>
      </c>
    </row>
    <row r="377" spans="1:4">
      <c r="A377">
        <f t="shared" si="10"/>
        <v>375</v>
      </c>
      <c r="B377" s="22">
        <v>3750</v>
      </c>
      <c r="C377">
        <v>12869.358838000204</v>
      </c>
      <c r="D377">
        <f t="shared" si="11"/>
        <v>128.69358838000204</v>
      </c>
    </row>
    <row r="378" spans="1:4">
      <c r="A378">
        <f t="shared" si="10"/>
        <v>376</v>
      </c>
      <c r="B378" s="22">
        <v>3760</v>
      </c>
      <c r="C378">
        <v>12807.893528600203</v>
      </c>
      <c r="D378">
        <f t="shared" si="11"/>
        <v>128.07893528600204</v>
      </c>
    </row>
    <row r="379" spans="1:4">
      <c r="A379">
        <f t="shared" si="10"/>
        <v>377</v>
      </c>
      <c r="B379" s="22">
        <v>3770</v>
      </c>
      <c r="C379">
        <v>12746.428219200203</v>
      </c>
      <c r="D379">
        <f t="shared" si="11"/>
        <v>127.46428219200203</v>
      </c>
    </row>
    <row r="380" spans="1:4">
      <c r="A380">
        <f t="shared" si="10"/>
        <v>378</v>
      </c>
      <c r="B380" s="22">
        <v>3780</v>
      </c>
      <c r="C380">
        <v>12684.962909800202</v>
      </c>
      <c r="D380">
        <f t="shared" si="11"/>
        <v>126.84962909800203</v>
      </c>
    </row>
    <row r="381" spans="1:4">
      <c r="A381">
        <f t="shared" si="10"/>
        <v>379</v>
      </c>
      <c r="B381" s="22">
        <v>3790</v>
      </c>
      <c r="C381">
        <v>12623.497600400202</v>
      </c>
      <c r="D381">
        <f t="shared" si="11"/>
        <v>126.23497600400202</v>
      </c>
    </row>
    <row r="382" spans="1:4">
      <c r="A382">
        <f t="shared" si="10"/>
        <v>380</v>
      </c>
      <c r="B382" s="22">
        <v>3800</v>
      </c>
      <c r="C382">
        <v>12562.032291000201</v>
      </c>
      <c r="D382">
        <f t="shared" si="11"/>
        <v>125.62032291000202</v>
      </c>
    </row>
    <row r="383" spans="1:4">
      <c r="A383">
        <f t="shared" si="10"/>
        <v>381</v>
      </c>
      <c r="B383" s="22">
        <v>3810</v>
      </c>
      <c r="C383">
        <v>12500.566981600201</v>
      </c>
      <c r="D383">
        <f t="shared" si="11"/>
        <v>125.00566981600201</v>
      </c>
    </row>
    <row r="384" spans="1:4">
      <c r="A384">
        <f t="shared" si="10"/>
        <v>382</v>
      </c>
      <c r="B384" s="22">
        <v>3820</v>
      </c>
      <c r="C384">
        <v>12439.1016722002</v>
      </c>
      <c r="D384">
        <f t="shared" si="11"/>
        <v>124.39101672200201</v>
      </c>
    </row>
    <row r="385" spans="1:4">
      <c r="A385">
        <f t="shared" si="10"/>
        <v>383</v>
      </c>
      <c r="B385" s="22">
        <v>3830</v>
      </c>
      <c r="C385">
        <v>12377.6363628002</v>
      </c>
      <c r="D385">
        <f t="shared" si="11"/>
        <v>123.776363628002</v>
      </c>
    </row>
    <row r="386" spans="1:4">
      <c r="A386">
        <f t="shared" si="10"/>
        <v>384</v>
      </c>
      <c r="B386" s="22">
        <v>3840</v>
      </c>
      <c r="C386">
        <v>12316.1710534002</v>
      </c>
      <c r="D386">
        <f t="shared" si="11"/>
        <v>123.161710534002</v>
      </c>
    </row>
    <row r="387" spans="1:4">
      <c r="A387">
        <f t="shared" ref="A387:A425" si="12">B387/10</f>
        <v>385</v>
      </c>
      <c r="B387" s="22">
        <v>3850</v>
      </c>
      <c r="C387">
        <v>12254.705744000199</v>
      </c>
      <c r="D387">
        <f t="shared" ref="D387:D450" si="13">C387/100</f>
        <v>122.54705744000199</v>
      </c>
    </row>
    <row r="388" spans="1:4">
      <c r="A388">
        <f t="shared" si="12"/>
        <v>386</v>
      </c>
      <c r="B388" s="22">
        <v>3860</v>
      </c>
      <c r="C388">
        <v>12193.240434600199</v>
      </c>
      <c r="D388">
        <f t="shared" si="13"/>
        <v>121.93240434600199</v>
      </c>
    </row>
    <row r="389" spans="1:4">
      <c r="A389">
        <f t="shared" si="12"/>
        <v>387</v>
      </c>
      <c r="B389" s="22">
        <v>3870</v>
      </c>
      <c r="C389">
        <v>12131.775125200198</v>
      </c>
      <c r="D389">
        <f t="shared" si="13"/>
        <v>121.31775125200198</v>
      </c>
    </row>
    <row r="390" spans="1:4">
      <c r="A390">
        <f t="shared" si="12"/>
        <v>388</v>
      </c>
      <c r="B390" s="22">
        <v>3880</v>
      </c>
      <c r="C390">
        <v>12070.309815800198</v>
      </c>
      <c r="D390">
        <f t="shared" si="13"/>
        <v>120.70309815800198</v>
      </c>
    </row>
    <row r="391" spans="1:4">
      <c r="A391">
        <f t="shared" si="12"/>
        <v>389</v>
      </c>
      <c r="B391" s="22">
        <v>3890</v>
      </c>
      <c r="C391">
        <v>12008.844506400197</v>
      </c>
      <c r="D391">
        <f t="shared" si="13"/>
        <v>120.08844506400197</v>
      </c>
    </row>
    <row r="392" spans="1:4">
      <c r="A392">
        <f t="shared" si="12"/>
        <v>390</v>
      </c>
      <c r="B392" s="22">
        <v>3900</v>
      </c>
      <c r="C392">
        <v>11947.379197000197</v>
      </c>
      <c r="D392">
        <f t="shared" si="13"/>
        <v>119.47379197000197</v>
      </c>
    </row>
    <row r="393" spans="1:4">
      <c r="A393">
        <f t="shared" si="12"/>
        <v>391</v>
      </c>
      <c r="B393" s="22">
        <v>3910</v>
      </c>
      <c r="C393">
        <v>11885.913887600196</v>
      </c>
      <c r="D393">
        <f t="shared" si="13"/>
        <v>118.85913887600196</v>
      </c>
    </row>
    <row r="394" spans="1:4">
      <c r="A394">
        <f t="shared" si="12"/>
        <v>392</v>
      </c>
      <c r="B394" s="22">
        <v>3920</v>
      </c>
      <c r="C394">
        <v>11824.448578200196</v>
      </c>
      <c r="D394">
        <f t="shared" si="13"/>
        <v>118.24448578200196</v>
      </c>
    </row>
    <row r="395" spans="1:4">
      <c r="A395">
        <f t="shared" si="12"/>
        <v>393</v>
      </c>
      <c r="B395" s="22">
        <v>3930</v>
      </c>
      <c r="C395">
        <v>11762.983268800195</v>
      </c>
      <c r="D395">
        <f t="shared" si="13"/>
        <v>117.62983268800195</v>
      </c>
    </row>
    <row r="396" spans="1:4">
      <c r="A396">
        <f t="shared" si="12"/>
        <v>394</v>
      </c>
      <c r="B396" s="22">
        <v>3940</v>
      </c>
      <c r="C396">
        <v>11701.517959400195</v>
      </c>
      <c r="D396">
        <f t="shared" si="13"/>
        <v>117.01517959400195</v>
      </c>
    </row>
    <row r="397" spans="1:4">
      <c r="A397">
        <f t="shared" si="12"/>
        <v>395</v>
      </c>
      <c r="B397" s="22">
        <v>3950</v>
      </c>
      <c r="C397">
        <v>11640.052650000194</v>
      </c>
      <c r="D397">
        <f t="shared" si="13"/>
        <v>116.40052650000194</v>
      </c>
    </row>
    <row r="398" spans="1:4">
      <c r="A398">
        <f t="shared" si="12"/>
        <v>396</v>
      </c>
      <c r="B398" s="22">
        <v>3960</v>
      </c>
      <c r="C398">
        <v>11578.587340600194</v>
      </c>
      <c r="D398">
        <f t="shared" si="13"/>
        <v>115.78587340600194</v>
      </c>
    </row>
    <row r="399" spans="1:4">
      <c r="A399">
        <f t="shared" si="12"/>
        <v>397</v>
      </c>
      <c r="B399" s="22">
        <v>3970</v>
      </c>
      <c r="C399">
        <v>11517.122031200193</v>
      </c>
      <c r="D399">
        <f t="shared" si="13"/>
        <v>115.17122031200194</v>
      </c>
    </row>
    <row r="400" spans="1:4">
      <c r="A400">
        <f t="shared" si="12"/>
        <v>398</v>
      </c>
      <c r="B400" s="22">
        <v>3980</v>
      </c>
      <c r="C400">
        <v>11455.656721800193</v>
      </c>
      <c r="D400">
        <f t="shared" si="13"/>
        <v>114.55656721800193</v>
      </c>
    </row>
    <row r="401" spans="1:4">
      <c r="A401">
        <f t="shared" si="12"/>
        <v>399</v>
      </c>
      <c r="B401" s="22">
        <v>3990</v>
      </c>
      <c r="C401">
        <v>11394.191412400192</v>
      </c>
      <c r="D401">
        <f t="shared" si="13"/>
        <v>113.94191412400193</v>
      </c>
    </row>
    <row r="402" spans="1:4">
      <c r="A402">
        <f t="shared" si="12"/>
        <v>400</v>
      </c>
      <c r="B402" s="22">
        <v>4000</v>
      </c>
      <c r="C402">
        <v>11332.726103000192</v>
      </c>
      <c r="D402">
        <f t="shared" si="13"/>
        <v>113.32726103000192</v>
      </c>
    </row>
    <row r="403" spans="1:4">
      <c r="A403">
        <f t="shared" si="12"/>
        <v>401</v>
      </c>
      <c r="B403" s="22">
        <v>4010</v>
      </c>
      <c r="C403">
        <v>11271.260793600191</v>
      </c>
      <c r="D403">
        <f t="shared" si="13"/>
        <v>112.71260793600192</v>
      </c>
    </row>
    <row r="404" spans="1:4">
      <c r="A404">
        <f t="shared" si="12"/>
        <v>402</v>
      </c>
      <c r="B404" s="22">
        <v>4020</v>
      </c>
      <c r="C404">
        <v>11209.795484200191</v>
      </c>
      <c r="D404">
        <f t="shared" si="13"/>
        <v>112.09795484200191</v>
      </c>
    </row>
    <row r="405" spans="1:4">
      <c r="A405">
        <f t="shared" si="12"/>
        <v>403</v>
      </c>
      <c r="B405" s="22">
        <v>4030</v>
      </c>
      <c r="C405">
        <v>11148.33017480019</v>
      </c>
      <c r="D405">
        <f t="shared" si="13"/>
        <v>111.48330174800191</v>
      </c>
    </row>
    <row r="406" spans="1:4">
      <c r="A406">
        <f t="shared" si="12"/>
        <v>404</v>
      </c>
      <c r="B406" s="22">
        <v>4040</v>
      </c>
      <c r="C406">
        <v>11086.86486540019</v>
      </c>
      <c r="D406">
        <f t="shared" si="13"/>
        <v>110.8686486540019</v>
      </c>
    </row>
    <row r="407" spans="1:4">
      <c r="A407">
        <f t="shared" si="12"/>
        <v>405</v>
      </c>
      <c r="B407" s="22">
        <v>4050</v>
      </c>
      <c r="C407">
        <v>11025.399556000189</v>
      </c>
      <c r="D407">
        <f t="shared" si="13"/>
        <v>110.2539955600019</v>
      </c>
    </row>
    <row r="408" spans="1:4">
      <c r="A408">
        <f t="shared" si="12"/>
        <v>406</v>
      </c>
      <c r="B408" s="22">
        <v>4060</v>
      </c>
      <c r="C408">
        <v>10963.934246600189</v>
      </c>
      <c r="D408">
        <f t="shared" si="13"/>
        <v>109.63934246600189</v>
      </c>
    </row>
    <row r="409" spans="1:4">
      <c r="A409">
        <f t="shared" si="12"/>
        <v>407</v>
      </c>
      <c r="B409" s="22">
        <v>4070</v>
      </c>
      <c r="C409">
        <v>10902.468937200189</v>
      </c>
      <c r="D409">
        <f t="shared" si="13"/>
        <v>109.02468937200189</v>
      </c>
    </row>
    <row r="410" spans="1:4">
      <c r="A410">
        <f t="shared" si="12"/>
        <v>408</v>
      </c>
      <c r="B410" s="22">
        <v>4080</v>
      </c>
      <c r="C410">
        <v>10841.003627800188</v>
      </c>
      <c r="D410">
        <f t="shared" si="13"/>
        <v>108.41003627800188</v>
      </c>
    </row>
    <row r="411" spans="1:4">
      <c r="A411">
        <f t="shared" si="12"/>
        <v>409</v>
      </c>
      <c r="B411" s="22">
        <v>4090</v>
      </c>
      <c r="C411">
        <v>10779.538318400188</v>
      </c>
      <c r="D411">
        <f t="shared" si="13"/>
        <v>107.79538318400188</v>
      </c>
    </row>
    <row r="412" spans="1:4">
      <c r="A412">
        <f t="shared" si="12"/>
        <v>410</v>
      </c>
      <c r="B412" s="22">
        <v>4100</v>
      </c>
      <c r="C412">
        <v>10718.073009000187</v>
      </c>
      <c r="D412">
        <f t="shared" si="13"/>
        <v>107.18073009000187</v>
      </c>
    </row>
    <row r="413" spans="1:4">
      <c r="A413">
        <f t="shared" si="12"/>
        <v>411</v>
      </c>
      <c r="B413" s="22">
        <v>4110</v>
      </c>
      <c r="C413">
        <v>10656.607699600187</v>
      </c>
      <c r="D413">
        <f t="shared" si="13"/>
        <v>106.56607699600187</v>
      </c>
    </row>
    <row r="414" spans="1:4">
      <c r="A414">
        <f t="shared" si="12"/>
        <v>412</v>
      </c>
      <c r="B414" s="22">
        <v>4120</v>
      </c>
      <c r="C414">
        <v>10595.142390200186</v>
      </c>
      <c r="D414">
        <f t="shared" si="13"/>
        <v>105.95142390200186</v>
      </c>
    </row>
    <row r="415" spans="1:4">
      <c r="A415">
        <f t="shared" si="12"/>
        <v>413</v>
      </c>
      <c r="B415" s="22">
        <v>4130</v>
      </c>
      <c r="C415">
        <v>10533.677080800186</v>
      </c>
      <c r="D415">
        <f t="shared" si="13"/>
        <v>105.33677080800186</v>
      </c>
    </row>
    <row r="416" spans="1:4">
      <c r="A416">
        <f t="shared" si="12"/>
        <v>414</v>
      </c>
      <c r="B416" s="22">
        <v>4140</v>
      </c>
      <c r="C416">
        <v>10472.211771400185</v>
      </c>
      <c r="D416">
        <f t="shared" si="13"/>
        <v>104.72211771400185</v>
      </c>
    </row>
    <row r="417" spans="1:4">
      <c r="A417">
        <f t="shared" si="12"/>
        <v>415</v>
      </c>
      <c r="B417" s="22">
        <v>4150</v>
      </c>
      <c r="C417">
        <v>10410.746462000185</v>
      </c>
      <c r="D417">
        <f t="shared" si="13"/>
        <v>104.10746462000185</v>
      </c>
    </row>
    <row r="418" spans="1:4">
      <c r="A418">
        <f t="shared" si="12"/>
        <v>416</v>
      </c>
      <c r="B418" s="22">
        <v>4160</v>
      </c>
      <c r="C418">
        <v>10349.281152600184</v>
      </c>
      <c r="D418">
        <f t="shared" si="13"/>
        <v>103.49281152600184</v>
      </c>
    </row>
    <row r="419" spans="1:4">
      <c r="A419">
        <f t="shared" si="12"/>
        <v>417</v>
      </c>
      <c r="B419" s="22">
        <v>4170</v>
      </c>
      <c r="C419">
        <v>10287.815843200184</v>
      </c>
      <c r="D419">
        <f t="shared" si="13"/>
        <v>102.87815843200184</v>
      </c>
    </row>
    <row r="420" spans="1:4">
      <c r="A420">
        <f t="shared" si="12"/>
        <v>418</v>
      </c>
      <c r="B420" s="22">
        <v>4180</v>
      </c>
      <c r="C420">
        <v>10226.350533800183</v>
      </c>
      <c r="D420">
        <f t="shared" si="13"/>
        <v>102.26350533800183</v>
      </c>
    </row>
    <row r="421" spans="1:4">
      <c r="A421">
        <f t="shared" si="12"/>
        <v>419</v>
      </c>
      <c r="B421" s="22">
        <v>4190</v>
      </c>
      <c r="C421">
        <v>10164.885224400183</v>
      </c>
      <c r="D421">
        <f t="shared" si="13"/>
        <v>101.64885224400183</v>
      </c>
    </row>
    <row r="422" spans="1:4">
      <c r="A422">
        <f t="shared" si="12"/>
        <v>420</v>
      </c>
      <c r="B422" s="22">
        <v>4200</v>
      </c>
      <c r="C422">
        <v>10103.419915000182</v>
      </c>
      <c r="D422">
        <f t="shared" si="13"/>
        <v>101.03419915000183</v>
      </c>
    </row>
    <row r="423" spans="1:4">
      <c r="A423">
        <f t="shared" si="12"/>
        <v>421</v>
      </c>
      <c r="B423" s="22">
        <v>4210</v>
      </c>
      <c r="C423">
        <v>10041.954605600182</v>
      </c>
      <c r="D423">
        <f t="shared" si="13"/>
        <v>100.41954605600182</v>
      </c>
    </row>
    <row r="424" spans="1:4">
      <c r="A424">
        <f t="shared" si="12"/>
        <v>422</v>
      </c>
      <c r="B424" s="22">
        <v>4220</v>
      </c>
      <c r="C424">
        <v>9980.4892962001813</v>
      </c>
      <c r="D424">
        <f t="shared" si="13"/>
        <v>99.804892962001816</v>
      </c>
    </row>
    <row r="425" spans="1:4">
      <c r="A425">
        <f t="shared" si="12"/>
        <v>423</v>
      </c>
      <c r="B425">
        <v>4230</v>
      </c>
      <c r="C425">
        <v>9919.0239868001809</v>
      </c>
      <c r="D425">
        <f t="shared" si="13"/>
        <v>99.190239868001811</v>
      </c>
    </row>
    <row r="426" spans="1:4">
      <c r="A426">
        <f t="shared" ref="A426:A472" si="14">B426/10</f>
        <v>424</v>
      </c>
      <c r="B426">
        <v>4240</v>
      </c>
      <c r="C426">
        <v>9857.5586774001804</v>
      </c>
      <c r="D426">
        <f t="shared" si="13"/>
        <v>98.575586774001806</v>
      </c>
    </row>
    <row r="427" spans="1:4">
      <c r="A427">
        <f t="shared" si="14"/>
        <v>425</v>
      </c>
      <c r="B427">
        <v>4250</v>
      </c>
      <c r="C427">
        <v>9796.0933680001799</v>
      </c>
      <c r="D427">
        <f t="shared" si="13"/>
        <v>97.960933680001801</v>
      </c>
    </row>
    <row r="428" spans="1:4">
      <c r="A428">
        <f t="shared" si="14"/>
        <v>426</v>
      </c>
      <c r="B428">
        <v>4260</v>
      </c>
      <c r="C428">
        <v>9734.6280586001794</v>
      </c>
      <c r="D428">
        <f t="shared" si="13"/>
        <v>97.346280586001797</v>
      </c>
    </row>
    <row r="429" spans="1:4">
      <c r="A429">
        <f t="shared" si="14"/>
        <v>427</v>
      </c>
      <c r="B429">
        <v>4270</v>
      </c>
      <c r="C429">
        <v>9673.162749200179</v>
      </c>
      <c r="D429">
        <f t="shared" si="13"/>
        <v>96.731627492001792</v>
      </c>
    </row>
    <row r="430" spans="1:4">
      <c r="A430">
        <f t="shared" si="14"/>
        <v>428</v>
      </c>
      <c r="B430">
        <v>4280</v>
      </c>
      <c r="C430">
        <v>9611.6974398001785</v>
      </c>
      <c r="D430">
        <f t="shared" si="13"/>
        <v>96.116974398001787</v>
      </c>
    </row>
    <row r="431" spans="1:4">
      <c r="A431">
        <f t="shared" si="14"/>
        <v>429</v>
      </c>
      <c r="B431">
        <v>4290</v>
      </c>
      <c r="C431">
        <v>9550.232130400178</v>
      </c>
      <c r="D431">
        <f t="shared" si="13"/>
        <v>95.502321304001782</v>
      </c>
    </row>
    <row r="432" spans="1:4">
      <c r="A432">
        <f t="shared" si="14"/>
        <v>430</v>
      </c>
      <c r="B432">
        <v>4300</v>
      </c>
      <c r="C432">
        <v>9488.7668210001775</v>
      </c>
      <c r="D432">
        <f t="shared" si="13"/>
        <v>94.887668210001777</v>
      </c>
    </row>
    <row r="433" spans="1:4">
      <c r="A433">
        <f t="shared" si="14"/>
        <v>431</v>
      </c>
      <c r="B433">
        <v>4310</v>
      </c>
      <c r="C433">
        <v>9427.301511600177</v>
      </c>
      <c r="D433">
        <f t="shared" si="13"/>
        <v>94.273015116001773</v>
      </c>
    </row>
    <row r="434" spans="1:4">
      <c r="A434">
        <f t="shared" si="14"/>
        <v>432</v>
      </c>
      <c r="B434">
        <v>4320</v>
      </c>
      <c r="C434">
        <v>9365.8362022001766</v>
      </c>
      <c r="D434">
        <f t="shared" si="13"/>
        <v>93.658362022001768</v>
      </c>
    </row>
    <row r="435" spans="1:4">
      <c r="A435">
        <f t="shared" si="14"/>
        <v>433</v>
      </c>
      <c r="B435">
        <v>4330</v>
      </c>
      <c r="C435">
        <v>9304.3708928001761</v>
      </c>
      <c r="D435">
        <f t="shared" si="13"/>
        <v>93.043708928001763</v>
      </c>
    </row>
    <row r="436" spans="1:4">
      <c r="A436">
        <f t="shared" si="14"/>
        <v>434</v>
      </c>
      <c r="B436">
        <v>4340</v>
      </c>
      <c r="C436">
        <v>9242.9055834001756</v>
      </c>
      <c r="D436">
        <f t="shared" si="13"/>
        <v>92.429055834001758</v>
      </c>
    </row>
    <row r="437" spans="1:4">
      <c r="A437">
        <f t="shared" si="14"/>
        <v>435</v>
      </c>
      <c r="B437">
        <v>4350</v>
      </c>
      <c r="C437">
        <v>9181.4402740001751</v>
      </c>
      <c r="D437">
        <f t="shared" si="13"/>
        <v>91.814402740001754</v>
      </c>
    </row>
    <row r="438" spans="1:4">
      <c r="A438">
        <f t="shared" si="14"/>
        <v>436</v>
      </c>
      <c r="B438">
        <v>4360</v>
      </c>
      <c r="C438">
        <v>9119.9749646001746</v>
      </c>
      <c r="D438">
        <f t="shared" si="13"/>
        <v>91.199749646001749</v>
      </c>
    </row>
    <row r="439" spans="1:4">
      <c r="A439">
        <f t="shared" si="14"/>
        <v>437</v>
      </c>
      <c r="B439">
        <v>4370</v>
      </c>
      <c r="C439">
        <v>9058.5096552001742</v>
      </c>
      <c r="D439">
        <f t="shared" si="13"/>
        <v>90.585096552001744</v>
      </c>
    </row>
    <row r="440" spans="1:4">
      <c r="A440">
        <f t="shared" si="14"/>
        <v>438</v>
      </c>
      <c r="B440">
        <v>4380</v>
      </c>
      <c r="C440">
        <v>8997.0443458001737</v>
      </c>
      <c r="D440">
        <f t="shared" si="13"/>
        <v>89.970443458001739</v>
      </c>
    </row>
    <row r="441" spans="1:4">
      <c r="A441">
        <f t="shared" si="14"/>
        <v>439</v>
      </c>
      <c r="B441">
        <v>4390</v>
      </c>
      <c r="C441">
        <v>8935.5790364001732</v>
      </c>
      <c r="D441">
        <f t="shared" si="13"/>
        <v>89.355790364001734</v>
      </c>
    </row>
    <row r="442" spans="1:4">
      <c r="A442">
        <f t="shared" si="14"/>
        <v>440</v>
      </c>
      <c r="B442">
        <v>4400</v>
      </c>
      <c r="C442">
        <v>8874.1137270001727</v>
      </c>
      <c r="D442">
        <f t="shared" si="13"/>
        <v>88.74113727000173</v>
      </c>
    </row>
    <row r="443" spans="1:4">
      <c r="A443">
        <f t="shared" si="14"/>
        <v>441</v>
      </c>
      <c r="B443">
        <v>4410</v>
      </c>
      <c r="C443">
        <v>8812.6484176001723</v>
      </c>
      <c r="D443">
        <f t="shared" si="13"/>
        <v>88.126484176001725</v>
      </c>
    </row>
    <row r="444" spans="1:4">
      <c r="A444">
        <f t="shared" si="14"/>
        <v>442</v>
      </c>
      <c r="B444">
        <v>4420</v>
      </c>
      <c r="C444">
        <v>8751.1831082001718</v>
      </c>
      <c r="D444">
        <f t="shared" si="13"/>
        <v>87.51183108200172</v>
      </c>
    </row>
    <row r="445" spans="1:4">
      <c r="A445">
        <f t="shared" si="14"/>
        <v>443</v>
      </c>
      <c r="B445">
        <v>4430</v>
      </c>
      <c r="C445">
        <v>8689.7177988001713</v>
      </c>
      <c r="D445">
        <f t="shared" si="13"/>
        <v>86.897177988001715</v>
      </c>
    </row>
    <row r="446" spans="1:4">
      <c r="A446">
        <f t="shared" si="14"/>
        <v>444</v>
      </c>
      <c r="B446">
        <v>4440</v>
      </c>
      <c r="C446">
        <v>8628.2524894001708</v>
      </c>
      <c r="D446">
        <f t="shared" si="13"/>
        <v>86.28252489400171</v>
      </c>
    </row>
    <row r="447" spans="1:4">
      <c r="A447">
        <f t="shared" si="14"/>
        <v>445</v>
      </c>
      <c r="B447">
        <v>4450</v>
      </c>
      <c r="C447">
        <v>8566.7871800001703</v>
      </c>
      <c r="D447">
        <f t="shared" si="13"/>
        <v>85.667871800001706</v>
      </c>
    </row>
    <row r="448" spans="1:4">
      <c r="A448">
        <f t="shared" si="14"/>
        <v>446</v>
      </c>
      <c r="B448">
        <v>4460</v>
      </c>
      <c r="C448">
        <v>8505.3218706001699</v>
      </c>
      <c r="D448">
        <f t="shared" si="13"/>
        <v>85.053218706001701</v>
      </c>
    </row>
    <row r="449" spans="1:4">
      <c r="A449">
        <f t="shared" si="14"/>
        <v>447</v>
      </c>
      <c r="B449">
        <v>4470</v>
      </c>
      <c r="C449">
        <v>8443.8565612001694</v>
      </c>
      <c r="D449">
        <f t="shared" si="13"/>
        <v>84.438565612001696</v>
      </c>
    </row>
    <row r="450" spans="1:4">
      <c r="A450">
        <f t="shared" si="14"/>
        <v>448</v>
      </c>
      <c r="B450">
        <v>4480</v>
      </c>
      <c r="C450">
        <v>8382.3912518001689</v>
      </c>
      <c r="D450">
        <f t="shared" si="13"/>
        <v>83.823912518001691</v>
      </c>
    </row>
    <row r="451" spans="1:4">
      <c r="A451">
        <f t="shared" si="14"/>
        <v>449</v>
      </c>
      <c r="B451">
        <v>4490</v>
      </c>
      <c r="C451">
        <v>8320.9259424001684</v>
      </c>
      <c r="D451">
        <f t="shared" ref="D451:D514" si="15">C451/100</f>
        <v>83.209259424001687</v>
      </c>
    </row>
    <row r="452" spans="1:4">
      <c r="A452">
        <f t="shared" si="14"/>
        <v>450</v>
      </c>
      <c r="B452">
        <v>4500</v>
      </c>
      <c r="C452">
        <v>8259.4606330001679</v>
      </c>
      <c r="D452">
        <f t="shared" si="15"/>
        <v>82.594606330001682</v>
      </c>
    </row>
    <row r="453" spans="1:4">
      <c r="A453">
        <f t="shared" si="14"/>
        <v>451</v>
      </c>
      <c r="B453">
        <v>4510</v>
      </c>
      <c r="C453">
        <v>8197.9953236001675</v>
      </c>
      <c r="D453">
        <f t="shared" si="15"/>
        <v>81.979953236001677</v>
      </c>
    </row>
    <row r="454" spans="1:4">
      <c r="A454">
        <f t="shared" si="14"/>
        <v>452</v>
      </c>
      <c r="B454">
        <v>4520</v>
      </c>
      <c r="C454">
        <v>8136.5300142001679</v>
      </c>
      <c r="D454">
        <f t="shared" si="15"/>
        <v>81.365300142001672</v>
      </c>
    </row>
    <row r="455" spans="1:4">
      <c r="A455">
        <f t="shared" si="14"/>
        <v>453</v>
      </c>
      <c r="B455">
        <v>4530</v>
      </c>
      <c r="C455">
        <v>8075.0647048001683</v>
      </c>
      <c r="D455">
        <f t="shared" si="15"/>
        <v>80.750647048001682</v>
      </c>
    </row>
    <row r="456" spans="1:4">
      <c r="A456">
        <f t="shared" si="14"/>
        <v>454</v>
      </c>
      <c r="B456">
        <v>4540</v>
      </c>
      <c r="C456">
        <v>8013.5993954001688</v>
      </c>
      <c r="D456">
        <f t="shared" si="15"/>
        <v>80.135993954001691</v>
      </c>
    </row>
    <row r="457" spans="1:4">
      <c r="A457">
        <f t="shared" si="14"/>
        <v>455</v>
      </c>
      <c r="B457">
        <v>4550</v>
      </c>
      <c r="C457">
        <v>7952.1340860001692</v>
      </c>
      <c r="D457">
        <f t="shared" si="15"/>
        <v>79.521340860001686</v>
      </c>
    </row>
    <row r="458" spans="1:4">
      <c r="A458">
        <f t="shared" si="14"/>
        <v>456</v>
      </c>
      <c r="B458">
        <v>4560</v>
      </c>
      <c r="C458">
        <v>7890.6687766001696</v>
      </c>
      <c r="D458">
        <f t="shared" si="15"/>
        <v>78.906687766001696</v>
      </c>
    </row>
    <row r="459" spans="1:4">
      <c r="A459">
        <f t="shared" si="14"/>
        <v>457</v>
      </c>
      <c r="B459">
        <v>4570</v>
      </c>
      <c r="C459">
        <v>7829.2034672001701</v>
      </c>
      <c r="D459">
        <f t="shared" si="15"/>
        <v>78.292034672001705</v>
      </c>
    </row>
    <row r="460" spans="1:4">
      <c r="A460">
        <f t="shared" si="14"/>
        <v>458</v>
      </c>
      <c r="B460">
        <v>4580</v>
      </c>
      <c r="C460">
        <v>7767.7381578001705</v>
      </c>
      <c r="D460">
        <f t="shared" si="15"/>
        <v>77.6773815780017</v>
      </c>
    </row>
    <row r="461" spans="1:4">
      <c r="A461">
        <f t="shared" si="14"/>
        <v>459</v>
      </c>
      <c r="B461">
        <v>4590</v>
      </c>
      <c r="C461">
        <v>7706.2728484001709</v>
      </c>
      <c r="D461">
        <f t="shared" si="15"/>
        <v>77.06272848400171</v>
      </c>
    </row>
    <row r="462" spans="1:4">
      <c r="A462">
        <f t="shared" si="14"/>
        <v>460</v>
      </c>
      <c r="B462">
        <v>4600</v>
      </c>
      <c r="C462">
        <v>7644.8075390001713</v>
      </c>
      <c r="D462">
        <f t="shared" si="15"/>
        <v>76.448075390001719</v>
      </c>
    </row>
    <row r="463" spans="1:4">
      <c r="A463">
        <f t="shared" si="14"/>
        <v>461</v>
      </c>
      <c r="B463">
        <v>4610</v>
      </c>
      <c r="C463">
        <v>7583.3422296001718</v>
      </c>
      <c r="D463">
        <f t="shared" si="15"/>
        <v>75.833422296001714</v>
      </c>
    </row>
    <row r="464" spans="1:4">
      <c r="A464">
        <f t="shared" si="14"/>
        <v>462</v>
      </c>
      <c r="B464">
        <v>4620</v>
      </c>
      <c r="C464">
        <v>7521.8769202001722</v>
      </c>
      <c r="D464">
        <f t="shared" si="15"/>
        <v>75.218769202001724</v>
      </c>
    </row>
    <row r="465" spans="1:4">
      <c r="A465">
        <f t="shared" si="14"/>
        <v>463</v>
      </c>
      <c r="B465">
        <v>4630</v>
      </c>
      <c r="C465">
        <v>7460.4116108001726</v>
      </c>
      <c r="D465">
        <f t="shared" si="15"/>
        <v>74.604116108001733</v>
      </c>
    </row>
    <row r="466" spans="1:4">
      <c r="A466">
        <f t="shared" si="14"/>
        <v>464</v>
      </c>
      <c r="B466">
        <v>4640</v>
      </c>
      <c r="C466">
        <v>7398.9463014001731</v>
      </c>
      <c r="D466">
        <f t="shared" si="15"/>
        <v>73.989463014001728</v>
      </c>
    </row>
    <row r="467" spans="1:4">
      <c r="A467">
        <f t="shared" si="14"/>
        <v>465</v>
      </c>
      <c r="B467">
        <v>4650</v>
      </c>
      <c r="C467">
        <v>7337.4809920001735</v>
      </c>
      <c r="D467">
        <f t="shared" si="15"/>
        <v>73.374809920001738</v>
      </c>
    </row>
    <row r="468" spans="1:4">
      <c r="A468">
        <f t="shared" si="14"/>
        <v>466</v>
      </c>
      <c r="B468">
        <v>4660</v>
      </c>
      <c r="C468">
        <v>7276.0156826001739</v>
      </c>
      <c r="D468">
        <f t="shared" si="15"/>
        <v>72.760156826001733</v>
      </c>
    </row>
    <row r="469" spans="1:4">
      <c r="A469">
        <f t="shared" si="14"/>
        <v>467</v>
      </c>
      <c r="B469">
        <v>4670</v>
      </c>
      <c r="C469">
        <v>7214.5503732001744</v>
      </c>
      <c r="D469">
        <f t="shared" si="15"/>
        <v>72.145503732001742</v>
      </c>
    </row>
    <row r="470" spans="1:4">
      <c r="A470">
        <f t="shared" si="14"/>
        <v>468</v>
      </c>
      <c r="B470">
        <v>4680</v>
      </c>
      <c r="C470">
        <v>7153.0850638001748</v>
      </c>
      <c r="D470">
        <f t="shared" si="15"/>
        <v>71.530850638001752</v>
      </c>
    </row>
    <row r="471" spans="1:4">
      <c r="A471">
        <f t="shared" si="14"/>
        <v>469</v>
      </c>
      <c r="B471">
        <v>4690</v>
      </c>
      <c r="C471">
        <v>7091.6197544001752</v>
      </c>
      <c r="D471">
        <f t="shared" si="15"/>
        <v>70.916197544001747</v>
      </c>
    </row>
    <row r="472" spans="1:4">
      <c r="A472">
        <f t="shared" si="14"/>
        <v>470</v>
      </c>
      <c r="B472">
        <v>4700</v>
      </c>
      <c r="C472">
        <v>7030.1544450001757</v>
      </c>
      <c r="D472">
        <f t="shared" si="15"/>
        <v>70.301544450001757</v>
      </c>
    </row>
    <row r="473" spans="1:4">
      <c r="A473">
        <f t="shared" ref="A473:A514" si="16">B473/10</f>
        <v>471</v>
      </c>
      <c r="B473">
        <v>4710</v>
      </c>
      <c r="C473">
        <v>6968.6891356001761</v>
      </c>
      <c r="D473">
        <f t="shared" si="15"/>
        <v>69.686891356001766</v>
      </c>
    </row>
    <row r="474" spans="1:4">
      <c r="A474">
        <f t="shared" si="16"/>
        <v>472</v>
      </c>
      <c r="B474">
        <v>4720</v>
      </c>
      <c r="C474">
        <v>6907.2238262001765</v>
      </c>
      <c r="D474">
        <f t="shared" si="15"/>
        <v>69.072238262001761</v>
      </c>
    </row>
    <row r="475" spans="1:4">
      <c r="A475">
        <f t="shared" si="16"/>
        <v>473</v>
      </c>
      <c r="B475">
        <v>4730</v>
      </c>
      <c r="C475">
        <v>6845.7585168001769</v>
      </c>
      <c r="D475">
        <f t="shared" si="15"/>
        <v>68.457585168001771</v>
      </c>
    </row>
    <row r="476" spans="1:4">
      <c r="A476">
        <f t="shared" si="16"/>
        <v>474</v>
      </c>
      <c r="B476">
        <v>4740</v>
      </c>
      <c r="C476">
        <v>6784.2932074001774</v>
      </c>
      <c r="D476">
        <f t="shared" si="15"/>
        <v>67.84293207400178</v>
      </c>
    </row>
    <row r="477" spans="1:4">
      <c r="A477">
        <f t="shared" si="16"/>
        <v>475</v>
      </c>
      <c r="B477">
        <v>4750</v>
      </c>
      <c r="C477">
        <v>6722.8278980001778</v>
      </c>
      <c r="D477">
        <f t="shared" si="15"/>
        <v>67.228278980001775</v>
      </c>
    </row>
    <row r="478" spans="1:4">
      <c r="A478">
        <f t="shared" si="16"/>
        <v>476</v>
      </c>
      <c r="B478">
        <v>4760</v>
      </c>
      <c r="C478">
        <v>6661.3625886001782</v>
      </c>
      <c r="D478">
        <f t="shared" si="15"/>
        <v>66.613625886001785</v>
      </c>
    </row>
    <row r="479" spans="1:4">
      <c r="A479">
        <f t="shared" si="16"/>
        <v>477</v>
      </c>
      <c r="B479">
        <v>4770</v>
      </c>
      <c r="C479">
        <v>6599.8972792001787</v>
      </c>
      <c r="D479">
        <f t="shared" si="15"/>
        <v>65.99897279200178</v>
      </c>
    </row>
    <row r="480" spans="1:4">
      <c r="A480">
        <f t="shared" si="16"/>
        <v>478</v>
      </c>
      <c r="B480">
        <v>4780</v>
      </c>
      <c r="C480">
        <v>6538.4319698001791</v>
      </c>
      <c r="D480">
        <f t="shared" si="15"/>
        <v>65.384319698001789</v>
      </c>
    </row>
    <row r="481" spans="1:4">
      <c r="A481">
        <f t="shared" si="16"/>
        <v>479</v>
      </c>
      <c r="B481">
        <v>4790</v>
      </c>
      <c r="C481">
        <v>6476.9666604001795</v>
      </c>
      <c r="D481">
        <f t="shared" si="15"/>
        <v>64.769666604001799</v>
      </c>
    </row>
    <row r="482" spans="1:4">
      <c r="A482">
        <f t="shared" si="16"/>
        <v>480</v>
      </c>
      <c r="B482">
        <v>4800</v>
      </c>
      <c r="C482">
        <v>6415.50135100018</v>
      </c>
      <c r="D482">
        <f t="shared" si="15"/>
        <v>64.155013510001794</v>
      </c>
    </row>
    <row r="483" spans="1:4">
      <c r="A483">
        <f t="shared" si="16"/>
        <v>481</v>
      </c>
      <c r="B483">
        <v>4810</v>
      </c>
      <c r="C483">
        <v>6354.0360416001804</v>
      </c>
      <c r="D483">
        <f t="shared" si="15"/>
        <v>63.540360416001803</v>
      </c>
    </row>
    <row r="484" spans="1:4">
      <c r="A484">
        <f t="shared" si="16"/>
        <v>482</v>
      </c>
      <c r="B484">
        <v>4820</v>
      </c>
      <c r="C484">
        <v>6292.5707322001808</v>
      </c>
      <c r="D484">
        <f t="shared" si="15"/>
        <v>62.925707322001806</v>
      </c>
    </row>
    <row r="485" spans="1:4">
      <c r="A485">
        <f t="shared" si="16"/>
        <v>483</v>
      </c>
      <c r="B485">
        <v>4830</v>
      </c>
      <c r="C485">
        <v>6231.1054228001813</v>
      </c>
      <c r="D485">
        <f t="shared" si="15"/>
        <v>62.311054228001815</v>
      </c>
    </row>
    <row r="486" spans="1:4">
      <c r="A486">
        <f t="shared" si="16"/>
        <v>484</v>
      </c>
      <c r="B486">
        <v>4840</v>
      </c>
      <c r="C486">
        <v>6169.6401134001817</v>
      </c>
      <c r="D486">
        <f t="shared" si="15"/>
        <v>61.696401134001817</v>
      </c>
    </row>
    <row r="487" spans="1:4">
      <c r="A487">
        <f t="shared" si="16"/>
        <v>485</v>
      </c>
      <c r="B487">
        <v>4850</v>
      </c>
      <c r="C487">
        <v>6108.1748040001821</v>
      </c>
      <c r="D487">
        <f t="shared" si="15"/>
        <v>61.08174804000182</v>
      </c>
    </row>
    <row r="488" spans="1:4">
      <c r="A488">
        <f t="shared" si="16"/>
        <v>486</v>
      </c>
      <c r="B488">
        <v>4860</v>
      </c>
      <c r="C488">
        <v>6046.7094946001826</v>
      </c>
      <c r="D488">
        <f t="shared" si="15"/>
        <v>60.467094946001822</v>
      </c>
    </row>
    <row r="489" spans="1:4">
      <c r="A489">
        <f t="shared" si="16"/>
        <v>487</v>
      </c>
      <c r="B489">
        <v>4870</v>
      </c>
      <c r="C489">
        <v>5985.244185200183</v>
      </c>
      <c r="D489">
        <f t="shared" si="15"/>
        <v>59.852441852001832</v>
      </c>
    </row>
    <row r="490" spans="1:4">
      <c r="A490">
        <f t="shared" si="16"/>
        <v>488</v>
      </c>
      <c r="B490">
        <v>4880</v>
      </c>
      <c r="C490">
        <v>5923.7788758001834</v>
      </c>
      <c r="D490">
        <f t="shared" si="15"/>
        <v>59.237788758001834</v>
      </c>
    </row>
    <row r="491" spans="1:4">
      <c r="A491">
        <f t="shared" si="16"/>
        <v>489</v>
      </c>
      <c r="B491">
        <v>4890</v>
      </c>
      <c r="C491">
        <v>5862.3135664001838</v>
      </c>
      <c r="D491">
        <f t="shared" si="15"/>
        <v>58.623135664001836</v>
      </c>
    </row>
    <row r="492" spans="1:4">
      <c r="A492">
        <f t="shared" si="16"/>
        <v>490</v>
      </c>
      <c r="B492">
        <v>4900</v>
      </c>
      <c r="C492">
        <v>5800.8482570001843</v>
      </c>
      <c r="D492">
        <f t="shared" si="15"/>
        <v>58.008482570001846</v>
      </c>
    </row>
    <row r="493" spans="1:4">
      <c r="A493">
        <f t="shared" si="16"/>
        <v>491</v>
      </c>
      <c r="B493">
        <v>4910</v>
      </c>
      <c r="C493">
        <v>5739.3829476001847</v>
      </c>
      <c r="D493">
        <f t="shared" si="15"/>
        <v>57.393829476001848</v>
      </c>
    </row>
    <row r="494" spans="1:4">
      <c r="A494">
        <f t="shared" si="16"/>
        <v>492</v>
      </c>
      <c r="B494">
        <v>4920</v>
      </c>
      <c r="C494">
        <v>5677.9176382001851</v>
      </c>
      <c r="D494">
        <f t="shared" si="15"/>
        <v>56.77917638200185</v>
      </c>
    </row>
    <row r="495" spans="1:4">
      <c r="A495">
        <f t="shared" si="16"/>
        <v>493</v>
      </c>
      <c r="B495">
        <v>4930</v>
      </c>
      <c r="C495">
        <v>5616.4523288001856</v>
      </c>
      <c r="D495">
        <f t="shared" si="15"/>
        <v>56.164523288001853</v>
      </c>
    </row>
    <row r="496" spans="1:4">
      <c r="A496">
        <f t="shared" si="16"/>
        <v>494</v>
      </c>
      <c r="B496">
        <v>4940</v>
      </c>
      <c r="C496">
        <v>5554.987019400186</v>
      </c>
      <c r="D496">
        <f t="shared" si="15"/>
        <v>55.549870194001862</v>
      </c>
    </row>
    <row r="497" spans="1:4">
      <c r="A497">
        <f t="shared" si="16"/>
        <v>495</v>
      </c>
      <c r="B497">
        <v>4950</v>
      </c>
      <c r="C497">
        <v>5493.5217100001864</v>
      </c>
      <c r="D497">
        <f t="shared" si="15"/>
        <v>54.935217100001864</v>
      </c>
    </row>
    <row r="498" spans="1:4">
      <c r="A498">
        <f t="shared" si="16"/>
        <v>496</v>
      </c>
      <c r="B498">
        <v>4960</v>
      </c>
      <c r="C498">
        <v>5432.0564006001869</v>
      </c>
      <c r="D498">
        <f t="shared" si="15"/>
        <v>54.320564006001867</v>
      </c>
    </row>
    <row r="499" spans="1:4">
      <c r="A499">
        <f t="shared" si="16"/>
        <v>497</v>
      </c>
      <c r="B499">
        <v>4970</v>
      </c>
      <c r="C499">
        <v>5370.5910912001873</v>
      </c>
      <c r="D499">
        <f t="shared" si="15"/>
        <v>53.705910912001876</v>
      </c>
    </row>
    <row r="500" spans="1:4">
      <c r="A500">
        <f t="shared" si="16"/>
        <v>498</v>
      </c>
      <c r="B500">
        <v>4980</v>
      </c>
      <c r="C500">
        <v>5309.1257818001877</v>
      </c>
      <c r="D500">
        <f t="shared" si="15"/>
        <v>53.091257818001878</v>
      </c>
    </row>
    <row r="501" spans="1:4">
      <c r="A501">
        <f t="shared" si="16"/>
        <v>499</v>
      </c>
      <c r="B501">
        <v>4990</v>
      </c>
      <c r="C501">
        <v>5247.6604724001882</v>
      </c>
      <c r="D501">
        <f t="shared" si="15"/>
        <v>52.476604724001881</v>
      </c>
    </row>
    <row r="502" spans="1:4">
      <c r="A502">
        <f t="shared" si="16"/>
        <v>500</v>
      </c>
      <c r="B502">
        <v>5000</v>
      </c>
      <c r="C502">
        <v>5186.1951630001886</v>
      </c>
      <c r="D502">
        <f t="shared" si="15"/>
        <v>51.861951630001883</v>
      </c>
    </row>
    <row r="503" spans="1:4">
      <c r="A503">
        <f t="shared" si="16"/>
        <v>501</v>
      </c>
      <c r="B503">
        <v>5010</v>
      </c>
      <c r="C503">
        <v>5124.729853600189</v>
      </c>
      <c r="D503">
        <f t="shared" si="15"/>
        <v>51.247298536001892</v>
      </c>
    </row>
    <row r="504" spans="1:4">
      <c r="A504">
        <f t="shared" si="16"/>
        <v>502</v>
      </c>
      <c r="B504">
        <v>5020</v>
      </c>
      <c r="C504">
        <v>5063.2645442001894</v>
      </c>
      <c r="D504">
        <f t="shared" si="15"/>
        <v>50.632645442001895</v>
      </c>
    </row>
    <row r="505" spans="1:4">
      <c r="A505">
        <f t="shared" si="16"/>
        <v>503</v>
      </c>
      <c r="B505">
        <v>5030</v>
      </c>
      <c r="C505">
        <v>5001.7992348001899</v>
      </c>
      <c r="D505">
        <f t="shared" si="15"/>
        <v>50.017992348001897</v>
      </c>
    </row>
    <row r="506" spans="1:4">
      <c r="A506">
        <f t="shared" si="16"/>
        <v>504</v>
      </c>
      <c r="B506">
        <v>5040</v>
      </c>
      <c r="C506">
        <v>4940.3339254001903</v>
      </c>
      <c r="D506">
        <f t="shared" si="15"/>
        <v>49.403339254001907</v>
      </c>
    </row>
    <row r="507" spans="1:4">
      <c r="A507">
        <f t="shared" si="16"/>
        <v>505</v>
      </c>
      <c r="B507">
        <v>5050</v>
      </c>
      <c r="C507">
        <v>4878.8686160001907</v>
      </c>
      <c r="D507">
        <f t="shared" si="15"/>
        <v>48.788686160001909</v>
      </c>
    </row>
    <row r="508" spans="1:4">
      <c r="A508">
        <f t="shared" si="16"/>
        <v>506</v>
      </c>
      <c r="B508">
        <v>5060</v>
      </c>
      <c r="C508">
        <v>4817.4033066001912</v>
      </c>
      <c r="D508">
        <f t="shared" si="15"/>
        <v>48.174033066001911</v>
      </c>
    </row>
    <row r="509" spans="1:4">
      <c r="A509">
        <f t="shared" si="16"/>
        <v>507</v>
      </c>
      <c r="B509">
        <v>5070</v>
      </c>
      <c r="C509">
        <v>4755.9379972001916</v>
      </c>
      <c r="D509">
        <f t="shared" si="15"/>
        <v>47.559379972001913</v>
      </c>
    </row>
    <row r="510" spans="1:4">
      <c r="A510">
        <f t="shared" si="16"/>
        <v>508</v>
      </c>
      <c r="B510">
        <v>5080</v>
      </c>
      <c r="C510">
        <v>4694.472687800192</v>
      </c>
      <c r="D510">
        <f t="shared" si="15"/>
        <v>46.944726878001923</v>
      </c>
    </row>
    <row r="511" spans="1:4">
      <c r="A511">
        <f t="shared" si="16"/>
        <v>509</v>
      </c>
      <c r="B511">
        <v>5090</v>
      </c>
      <c r="C511">
        <v>4633.0073784001925</v>
      </c>
      <c r="D511">
        <f t="shared" si="15"/>
        <v>46.330073784001925</v>
      </c>
    </row>
    <row r="512" spans="1:4">
      <c r="A512">
        <f t="shared" si="16"/>
        <v>510</v>
      </c>
      <c r="B512">
        <v>5100</v>
      </c>
      <c r="C512">
        <v>4571.5420690001929</v>
      </c>
      <c r="D512">
        <f t="shared" si="15"/>
        <v>45.715420690001928</v>
      </c>
    </row>
    <row r="513" spans="1:4">
      <c r="A513">
        <f t="shared" si="16"/>
        <v>511</v>
      </c>
      <c r="B513">
        <v>5110</v>
      </c>
      <c r="C513">
        <v>4510.0767596001933</v>
      </c>
      <c r="D513">
        <f t="shared" si="15"/>
        <v>45.10076759600193</v>
      </c>
    </row>
    <row r="514" spans="1:4">
      <c r="A514">
        <f t="shared" si="16"/>
        <v>512</v>
      </c>
      <c r="B514">
        <v>5120</v>
      </c>
      <c r="C514">
        <v>4448.6114502001938</v>
      </c>
      <c r="D514">
        <f t="shared" si="15"/>
        <v>44.486114502001939</v>
      </c>
    </row>
    <row r="515" spans="1:4">
      <c r="A515">
        <f t="shared" ref="A515:A578" si="17">B515/10</f>
        <v>513</v>
      </c>
      <c r="B515">
        <v>5130</v>
      </c>
      <c r="C515">
        <v>4387.1461408001942</v>
      </c>
      <c r="D515">
        <f t="shared" ref="D515:D578" si="18">C515/100</f>
        <v>43.871461408001942</v>
      </c>
    </row>
    <row r="516" spans="1:4">
      <c r="A516">
        <f t="shared" si="17"/>
        <v>514</v>
      </c>
      <c r="B516">
        <v>5140</v>
      </c>
      <c r="C516">
        <v>4325.6808314001946</v>
      </c>
      <c r="D516">
        <f t="shared" si="18"/>
        <v>43.256808314001944</v>
      </c>
    </row>
    <row r="517" spans="1:4">
      <c r="A517">
        <f t="shared" si="17"/>
        <v>515</v>
      </c>
      <c r="B517">
        <v>5150</v>
      </c>
      <c r="C517">
        <v>4264.2155220001951</v>
      </c>
      <c r="D517">
        <f t="shared" si="18"/>
        <v>42.642155220001953</v>
      </c>
    </row>
    <row r="518" spans="1:4">
      <c r="A518">
        <f t="shared" si="17"/>
        <v>516</v>
      </c>
      <c r="B518">
        <v>5160</v>
      </c>
      <c r="C518">
        <v>4202.7502126001955</v>
      </c>
      <c r="D518">
        <f t="shared" si="18"/>
        <v>42.027502126001956</v>
      </c>
    </row>
    <row r="519" spans="1:4">
      <c r="A519">
        <f t="shared" si="17"/>
        <v>517</v>
      </c>
      <c r="B519">
        <v>5170</v>
      </c>
      <c r="C519">
        <v>4141.2849032001959</v>
      </c>
      <c r="D519">
        <f t="shared" si="18"/>
        <v>41.412849032001958</v>
      </c>
    </row>
    <row r="520" spans="1:4">
      <c r="A520">
        <f t="shared" si="17"/>
        <v>518</v>
      </c>
      <c r="B520">
        <v>5180</v>
      </c>
      <c r="C520">
        <v>4079.8195938001959</v>
      </c>
      <c r="D520">
        <f t="shared" si="18"/>
        <v>40.79819593800196</v>
      </c>
    </row>
    <row r="521" spans="1:4">
      <c r="A521">
        <f t="shared" si="17"/>
        <v>519</v>
      </c>
      <c r="B521">
        <v>5190</v>
      </c>
      <c r="C521">
        <v>4018.3542844001959</v>
      </c>
      <c r="D521">
        <f t="shared" si="18"/>
        <v>40.183542844001956</v>
      </c>
    </row>
    <row r="522" spans="1:4">
      <c r="A522">
        <f t="shared" si="17"/>
        <v>520</v>
      </c>
      <c r="B522">
        <v>5200</v>
      </c>
      <c r="C522">
        <v>3956.8889750001958</v>
      </c>
      <c r="D522">
        <f t="shared" si="18"/>
        <v>39.568889750001958</v>
      </c>
    </row>
    <row r="523" spans="1:4">
      <c r="A523">
        <f t="shared" si="17"/>
        <v>521</v>
      </c>
      <c r="B523">
        <v>5210</v>
      </c>
      <c r="C523">
        <v>3895.4236656001958</v>
      </c>
      <c r="D523">
        <f t="shared" si="18"/>
        <v>38.95423665600196</v>
      </c>
    </row>
    <row r="524" spans="1:4">
      <c r="A524">
        <f t="shared" si="17"/>
        <v>522</v>
      </c>
      <c r="B524">
        <v>5220</v>
      </c>
      <c r="C524">
        <v>3833.9583562001958</v>
      </c>
      <c r="D524">
        <f t="shared" si="18"/>
        <v>38.339583562001955</v>
      </c>
    </row>
    <row r="525" spans="1:4">
      <c r="A525">
        <f t="shared" si="17"/>
        <v>523</v>
      </c>
      <c r="B525">
        <v>5230</v>
      </c>
      <c r="C525">
        <v>3772.4930468001958</v>
      </c>
      <c r="D525">
        <f t="shared" si="18"/>
        <v>37.724930468001958</v>
      </c>
    </row>
    <row r="526" spans="1:4">
      <c r="A526">
        <f t="shared" si="17"/>
        <v>524</v>
      </c>
      <c r="B526">
        <v>5240</v>
      </c>
      <c r="C526">
        <v>3711.0277374001957</v>
      </c>
      <c r="D526">
        <f t="shared" si="18"/>
        <v>37.11027737400196</v>
      </c>
    </row>
    <row r="527" spans="1:4">
      <c r="A527">
        <f t="shared" si="17"/>
        <v>525</v>
      </c>
      <c r="B527">
        <v>5250</v>
      </c>
      <c r="C527">
        <v>3649.5624280001957</v>
      </c>
      <c r="D527">
        <f t="shared" si="18"/>
        <v>36.495624280001955</v>
      </c>
    </row>
    <row r="528" spans="1:4">
      <c r="A528">
        <f t="shared" si="17"/>
        <v>526</v>
      </c>
      <c r="B528">
        <v>5260</v>
      </c>
      <c r="C528">
        <v>3588.0971186001957</v>
      </c>
      <c r="D528">
        <f t="shared" si="18"/>
        <v>35.880971186001958</v>
      </c>
    </row>
    <row r="529" spans="1:4">
      <c r="A529">
        <f t="shared" si="17"/>
        <v>527</v>
      </c>
      <c r="B529">
        <v>5270</v>
      </c>
      <c r="C529">
        <v>3526.6318092001957</v>
      </c>
      <c r="D529">
        <f t="shared" si="18"/>
        <v>35.26631809200196</v>
      </c>
    </row>
    <row r="530" spans="1:4">
      <c r="A530">
        <f t="shared" si="17"/>
        <v>528</v>
      </c>
      <c r="B530">
        <v>5280</v>
      </c>
      <c r="C530">
        <v>3465.1664998001957</v>
      </c>
      <c r="D530">
        <f t="shared" si="18"/>
        <v>34.651664998001955</v>
      </c>
    </row>
    <row r="531" spans="1:4">
      <c r="A531">
        <f t="shared" si="17"/>
        <v>529</v>
      </c>
      <c r="B531">
        <v>5290</v>
      </c>
      <c r="C531">
        <v>3403.7011904001956</v>
      </c>
      <c r="D531">
        <f t="shared" si="18"/>
        <v>34.037011904001957</v>
      </c>
    </row>
    <row r="532" spans="1:4">
      <c r="A532">
        <f t="shared" si="17"/>
        <v>530</v>
      </c>
      <c r="B532">
        <v>5300</v>
      </c>
      <c r="C532">
        <v>3342.2358810001956</v>
      </c>
      <c r="D532">
        <f t="shared" si="18"/>
        <v>33.422358810001953</v>
      </c>
    </row>
    <row r="533" spans="1:4">
      <c r="A533">
        <f t="shared" si="17"/>
        <v>531</v>
      </c>
      <c r="B533">
        <v>5310</v>
      </c>
      <c r="C533">
        <v>3280.7705716001956</v>
      </c>
      <c r="D533">
        <f t="shared" si="18"/>
        <v>32.807705716001955</v>
      </c>
    </row>
    <row r="534" spans="1:4">
      <c r="A534">
        <f t="shared" si="17"/>
        <v>532</v>
      </c>
      <c r="B534">
        <v>5320</v>
      </c>
      <c r="C534">
        <v>3219.3052622001956</v>
      </c>
      <c r="D534">
        <f t="shared" si="18"/>
        <v>32.193052622001957</v>
      </c>
    </row>
    <row r="535" spans="1:4">
      <c r="A535">
        <f t="shared" si="17"/>
        <v>533</v>
      </c>
      <c r="B535">
        <v>5330</v>
      </c>
      <c r="C535">
        <v>3157.8399528001955</v>
      </c>
      <c r="D535">
        <f t="shared" si="18"/>
        <v>31.578399528001956</v>
      </c>
    </row>
    <row r="536" spans="1:4">
      <c r="A536">
        <f t="shared" si="17"/>
        <v>534</v>
      </c>
      <c r="B536">
        <v>5340</v>
      </c>
      <c r="C536">
        <v>3096.3746434001955</v>
      </c>
      <c r="D536">
        <f t="shared" si="18"/>
        <v>30.963746434001955</v>
      </c>
    </row>
    <row r="537" spans="1:4">
      <c r="A537">
        <f t="shared" si="17"/>
        <v>535</v>
      </c>
      <c r="B537">
        <v>5350</v>
      </c>
      <c r="C537">
        <v>3034.9093340001955</v>
      </c>
      <c r="D537">
        <f t="shared" si="18"/>
        <v>30.349093340001954</v>
      </c>
    </row>
    <row r="538" spans="1:4">
      <c r="A538">
        <f t="shared" si="17"/>
        <v>536</v>
      </c>
      <c r="B538">
        <v>5360</v>
      </c>
      <c r="C538">
        <v>2973.4440246001955</v>
      </c>
      <c r="D538">
        <f t="shared" si="18"/>
        <v>29.734440246001956</v>
      </c>
    </row>
    <row r="539" spans="1:4">
      <c r="A539">
        <f t="shared" si="17"/>
        <v>537</v>
      </c>
      <c r="B539">
        <v>5370</v>
      </c>
      <c r="C539">
        <v>2911.9787152001954</v>
      </c>
      <c r="D539">
        <f t="shared" si="18"/>
        <v>29.119787152001955</v>
      </c>
    </row>
    <row r="540" spans="1:4">
      <c r="A540">
        <f t="shared" si="17"/>
        <v>538</v>
      </c>
      <c r="B540">
        <v>5380</v>
      </c>
      <c r="C540">
        <v>2850.5134058001954</v>
      </c>
      <c r="D540">
        <f t="shared" si="18"/>
        <v>28.505134058001953</v>
      </c>
    </row>
    <row r="541" spans="1:4">
      <c r="A541">
        <f t="shared" si="17"/>
        <v>539</v>
      </c>
      <c r="B541">
        <v>5390</v>
      </c>
      <c r="C541">
        <v>2789.0480964001954</v>
      </c>
      <c r="D541">
        <f t="shared" si="18"/>
        <v>27.890480964001952</v>
      </c>
    </row>
    <row r="542" spans="1:4">
      <c r="A542">
        <f t="shared" si="17"/>
        <v>540</v>
      </c>
      <c r="B542">
        <v>5400</v>
      </c>
      <c r="C542">
        <v>2727.5827870001954</v>
      </c>
      <c r="D542">
        <f t="shared" si="18"/>
        <v>27.275827870001955</v>
      </c>
    </row>
    <row r="543" spans="1:4">
      <c r="A543">
        <f t="shared" si="17"/>
        <v>541</v>
      </c>
      <c r="B543">
        <v>5410</v>
      </c>
      <c r="C543">
        <v>2666.1174776001953</v>
      </c>
      <c r="D543">
        <f t="shared" si="18"/>
        <v>26.661174776001953</v>
      </c>
    </row>
    <row r="544" spans="1:4">
      <c r="A544">
        <f t="shared" si="17"/>
        <v>542</v>
      </c>
      <c r="B544">
        <v>5420</v>
      </c>
      <c r="C544">
        <v>2604.6521682001953</v>
      </c>
      <c r="D544">
        <f t="shared" si="18"/>
        <v>26.046521682001952</v>
      </c>
    </row>
    <row r="545" spans="1:4">
      <c r="A545">
        <f t="shared" si="17"/>
        <v>543</v>
      </c>
      <c r="B545">
        <v>5430</v>
      </c>
      <c r="C545">
        <v>2543.1868588001953</v>
      </c>
      <c r="D545">
        <f t="shared" si="18"/>
        <v>25.431868588001954</v>
      </c>
    </row>
    <row r="546" spans="1:4">
      <c r="A546">
        <f t="shared" si="17"/>
        <v>544</v>
      </c>
      <c r="B546">
        <v>5440</v>
      </c>
      <c r="C546">
        <v>2481.7215494001953</v>
      </c>
      <c r="D546">
        <f t="shared" si="18"/>
        <v>24.817215494001953</v>
      </c>
    </row>
    <row r="547" spans="1:4">
      <c r="A547">
        <f t="shared" si="17"/>
        <v>545</v>
      </c>
      <c r="B547">
        <v>5450</v>
      </c>
      <c r="C547">
        <v>2420.2562400001952</v>
      </c>
      <c r="D547">
        <f t="shared" si="18"/>
        <v>24.202562400001952</v>
      </c>
    </row>
    <row r="548" spans="1:4">
      <c r="A548">
        <f t="shared" si="17"/>
        <v>546</v>
      </c>
      <c r="B548">
        <v>5460</v>
      </c>
      <c r="C548">
        <v>2358.7909306001952</v>
      </c>
      <c r="D548">
        <f t="shared" si="18"/>
        <v>23.587909306001951</v>
      </c>
    </row>
    <row r="549" spans="1:4">
      <c r="A549">
        <f t="shared" si="17"/>
        <v>547</v>
      </c>
      <c r="B549">
        <v>5470</v>
      </c>
      <c r="C549">
        <v>2297.3256212001952</v>
      </c>
      <c r="D549">
        <f t="shared" si="18"/>
        <v>22.973256212001953</v>
      </c>
    </row>
    <row r="550" spans="1:4">
      <c r="A550">
        <f t="shared" si="17"/>
        <v>548</v>
      </c>
      <c r="B550">
        <v>5480</v>
      </c>
      <c r="C550">
        <v>2235.8603118001952</v>
      </c>
      <c r="D550">
        <f t="shared" si="18"/>
        <v>22.358603118001952</v>
      </c>
    </row>
    <row r="551" spans="1:4">
      <c r="A551">
        <f t="shared" si="17"/>
        <v>549</v>
      </c>
      <c r="B551">
        <v>5490</v>
      </c>
      <c r="C551">
        <v>2174.3950024001952</v>
      </c>
      <c r="D551">
        <f t="shared" si="18"/>
        <v>21.743950024001951</v>
      </c>
    </row>
    <row r="552" spans="1:4">
      <c r="A552">
        <f t="shared" si="17"/>
        <v>550</v>
      </c>
      <c r="B552">
        <v>5500</v>
      </c>
      <c r="C552">
        <v>2112.9296930001951</v>
      </c>
      <c r="D552">
        <f t="shared" si="18"/>
        <v>21.129296930001953</v>
      </c>
    </row>
    <row r="553" spans="1:4">
      <c r="A553">
        <f t="shared" si="17"/>
        <v>551</v>
      </c>
      <c r="B553">
        <v>5510</v>
      </c>
      <c r="C553">
        <v>2051.4643836001951</v>
      </c>
      <c r="D553">
        <f t="shared" si="18"/>
        <v>20.514643836001952</v>
      </c>
    </row>
    <row r="554" spans="1:4">
      <c r="A554">
        <f t="shared" si="17"/>
        <v>552</v>
      </c>
      <c r="B554">
        <v>5520</v>
      </c>
      <c r="C554">
        <v>1989.9990742001951</v>
      </c>
      <c r="D554">
        <f t="shared" si="18"/>
        <v>19.89999074200195</v>
      </c>
    </row>
    <row r="555" spans="1:4">
      <c r="A555">
        <f t="shared" si="17"/>
        <v>553</v>
      </c>
      <c r="B555">
        <v>5530</v>
      </c>
      <c r="C555">
        <v>1928.5337648001951</v>
      </c>
      <c r="D555">
        <f t="shared" si="18"/>
        <v>19.285337648001949</v>
      </c>
    </row>
    <row r="556" spans="1:4">
      <c r="A556">
        <f t="shared" si="17"/>
        <v>554</v>
      </c>
      <c r="B556">
        <v>5540</v>
      </c>
      <c r="C556">
        <v>1867.068455400195</v>
      </c>
      <c r="D556">
        <f t="shared" si="18"/>
        <v>18.670684554001951</v>
      </c>
    </row>
    <row r="557" spans="1:4">
      <c r="A557">
        <f t="shared" si="17"/>
        <v>555</v>
      </c>
      <c r="B557">
        <v>5550</v>
      </c>
      <c r="C557">
        <v>1805.603146000195</v>
      </c>
      <c r="D557">
        <f t="shared" si="18"/>
        <v>18.05603146000195</v>
      </c>
    </row>
    <row r="558" spans="1:4">
      <c r="A558">
        <f t="shared" si="17"/>
        <v>556</v>
      </c>
      <c r="B558">
        <v>5560</v>
      </c>
      <c r="C558">
        <v>1744.137836600195</v>
      </c>
      <c r="D558">
        <f t="shared" si="18"/>
        <v>17.441378366001949</v>
      </c>
    </row>
    <row r="559" spans="1:4">
      <c r="A559">
        <f t="shared" si="17"/>
        <v>557</v>
      </c>
      <c r="B559">
        <v>5570</v>
      </c>
      <c r="C559">
        <v>1682.672527200195</v>
      </c>
      <c r="D559">
        <f t="shared" si="18"/>
        <v>16.826725272001951</v>
      </c>
    </row>
    <row r="560" spans="1:4">
      <c r="A560">
        <f t="shared" si="17"/>
        <v>558</v>
      </c>
      <c r="B560">
        <v>5580</v>
      </c>
      <c r="C560">
        <v>1621.2072178001949</v>
      </c>
      <c r="D560">
        <f t="shared" si="18"/>
        <v>16.21207217800195</v>
      </c>
    </row>
    <row r="561" spans="1:4">
      <c r="A561">
        <f t="shared" si="17"/>
        <v>559</v>
      </c>
      <c r="B561">
        <v>5590</v>
      </c>
      <c r="C561">
        <v>1559.7419084001949</v>
      </c>
      <c r="D561">
        <f t="shared" si="18"/>
        <v>15.597419084001949</v>
      </c>
    </row>
    <row r="562" spans="1:4">
      <c r="A562">
        <f t="shared" si="17"/>
        <v>560</v>
      </c>
      <c r="B562">
        <v>5600</v>
      </c>
      <c r="C562">
        <v>1498.2765990001949</v>
      </c>
      <c r="D562">
        <f t="shared" si="18"/>
        <v>14.982765990001949</v>
      </c>
    </row>
    <row r="563" spans="1:4">
      <c r="A563">
        <f t="shared" si="17"/>
        <v>561</v>
      </c>
      <c r="B563">
        <v>5610</v>
      </c>
      <c r="C563">
        <v>1436.8112896001949</v>
      </c>
      <c r="D563">
        <f t="shared" si="18"/>
        <v>14.368112896001948</v>
      </c>
    </row>
    <row r="564" spans="1:4">
      <c r="A564">
        <f t="shared" si="17"/>
        <v>562</v>
      </c>
      <c r="B564">
        <v>5620</v>
      </c>
      <c r="C564">
        <v>1375.3459802001948</v>
      </c>
      <c r="D564">
        <f t="shared" si="18"/>
        <v>13.753459802001949</v>
      </c>
    </row>
    <row r="565" spans="1:4">
      <c r="A565">
        <f t="shared" si="17"/>
        <v>563</v>
      </c>
      <c r="B565">
        <v>5630</v>
      </c>
      <c r="C565">
        <v>1313.8806708001948</v>
      </c>
      <c r="D565">
        <f t="shared" si="18"/>
        <v>13.138806708001947</v>
      </c>
    </row>
    <row r="566" spans="1:4">
      <c r="A566">
        <f t="shared" si="17"/>
        <v>564</v>
      </c>
      <c r="B566">
        <v>5640</v>
      </c>
      <c r="C566">
        <v>1252.4153614001948</v>
      </c>
      <c r="D566">
        <f t="shared" si="18"/>
        <v>12.524153614001948</v>
      </c>
    </row>
    <row r="567" spans="1:4">
      <c r="A567">
        <f t="shared" si="17"/>
        <v>565</v>
      </c>
      <c r="B567">
        <v>5650</v>
      </c>
      <c r="C567">
        <v>1190.9500520001948</v>
      </c>
      <c r="D567">
        <f t="shared" si="18"/>
        <v>11.909500520001949</v>
      </c>
    </row>
    <row r="568" spans="1:4">
      <c r="A568">
        <f t="shared" si="17"/>
        <v>566</v>
      </c>
      <c r="B568">
        <v>5660</v>
      </c>
      <c r="C568">
        <v>1129.4847426001947</v>
      </c>
      <c r="D568">
        <f t="shared" si="18"/>
        <v>11.294847426001947</v>
      </c>
    </row>
    <row r="569" spans="1:4">
      <c r="A569">
        <f t="shared" si="17"/>
        <v>567</v>
      </c>
      <c r="B569">
        <v>5670</v>
      </c>
      <c r="C569">
        <v>1068.0194332001947</v>
      </c>
      <c r="D569">
        <f t="shared" si="18"/>
        <v>10.680194332001948</v>
      </c>
    </row>
    <row r="570" spans="1:4">
      <c r="A570">
        <f t="shared" si="17"/>
        <v>568</v>
      </c>
      <c r="B570">
        <v>5680</v>
      </c>
      <c r="C570">
        <v>1006.5541238001947</v>
      </c>
      <c r="D570">
        <f t="shared" si="18"/>
        <v>10.065541238001947</v>
      </c>
    </row>
    <row r="571" spans="1:4">
      <c r="A571">
        <f t="shared" si="17"/>
        <v>569</v>
      </c>
      <c r="B571">
        <v>5690</v>
      </c>
      <c r="C571">
        <v>945.08881440019468</v>
      </c>
      <c r="D571">
        <f t="shared" si="18"/>
        <v>9.4508881440019472</v>
      </c>
    </row>
    <row r="572" spans="1:4">
      <c r="A572">
        <f t="shared" si="17"/>
        <v>570</v>
      </c>
      <c r="B572">
        <v>5700</v>
      </c>
      <c r="C572">
        <v>883.62350500019465</v>
      </c>
      <c r="D572">
        <f t="shared" si="18"/>
        <v>8.836235050001946</v>
      </c>
    </row>
    <row r="573" spans="1:4">
      <c r="A573">
        <f t="shared" si="17"/>
        <v>571</v>
      </c>
      <c r="B573">
        <v>5710</v>
      </c>
      <c r="C573">
        <v>822.15819560019463</v>
      </c>
      <c r="D573">
        <f t="shared" si="18"/>
        <v>8.2215819560019465</v>
      </c>
    </row>
    <row r="574" spans="1:4">
      <c r="A574">
        <f t="shared" si="17"/>
        <v>572</v>
      </c>
      <c r="B574">
        <v>5720</v>
      </c>
      <c r="C574">
        <v>760.69288620019461</v>
      </c>
      <c r="D574">
        <f t="shared" si="18"/>
        <v>7.6069288620019462</v>
      </c>
    </row>
    <row r="575" spans="1:4">
      <c r="A575">
        <f t="shared" si="17"/>
        <v>573</v>
      </c>
      <c r="B575">
        <v>5730</v>
      </c>
      <c r="C575">
        <v>699.22757680019458</v>
      </c>
      <c r="D575">
        <f t="shared" si="18"/>
        <v>6.9922757680019458</v>
      </c>
    </row>
    <row r="576" spans="1:4">
      <c r="A576">
        <f t="shared" si="17"/>
        <v>574</v>
      </c>
      <c r="B576">
        <v>5740</v>
      </c>
      <c r="C576">
        <v>637.76226740019456</v>
      </c>
      <c r="D576">
        <f t="shared" si="18"/>
        <v>6.3776226740019455</v>
      </c>
    </row>
    <row r="577" spans="1:4">
      <c r="A577">
        <f t="shared" si="17"/>
        <v>575</v>
      </c>
      <c r="B577">
        <v>5750</v>
      </c>
      <c r="C577">
        <v>576.4</v>
      </c>
      <c r="D577">
        <f t="shared" si="18"/>
        <v>5.7639999999999993</v>
      </c>
    </row>
    <row r="578" spans="1:4">
      <c r="A578">
        <f t="shared" si="17"/>
        <v>576</v>
      </c>
      <c r="B578">
        <v>5760</v>
      </c>
      <c r="C578">
        <v>514.97</v>
      </c>
      <c r="D578">
        <f t="shared" si="18"/>
        <v>5.1497000000000002</v>
      </c>
    </row>
    <row r="579" spans="1:4">
      <c r="A579">
        <f>B579/10</f>
        <v>577</v>
      </c>
      <c r="B579">
        <v>5770</v>
      </c>
      <c r="C579">
        <v>453.54</v>
      </c>
      <c r="D579">
        <f>C579/100</f>
        <v>4.5354000000000001</v>
      </c>
    </row>
    <row r="580" spans="1:4">
      <c r="A580">
        <f>B580/10</f>
        <v>578</v>
      </c>
      <c r="B580">
        <v>5780</v>
      </c>
      <c r="C580">
        <v>392.11</v>
      </c>
      <c r="D580">
        <f>C580/100</f>
        <v>3.9211</v>
      </c>
    </row>
    <row r="581" spans="1:4">
      <c r="A581">
        <f t="shared" ref="A581:A585" si="19">B581/10</f>
        <v>579</v>
      </c>
      <c r="B581">
        <v>5790</v>
      </c>
      <c r="C581">
        <v>330.68</v>
      </c>
      <c r="D581">
        <f>C581/100</f>
        <v>3.3068</v>
      </c>
    </row>
    <row r="582" spans="1:4">
      <c r="A582">
        <f t="shared" si="19"/>
        <v>580</v>
      </c>
      <c r="B582">
        <v>5800</v>
      </c>
      <c r="C582">
        <v>269.25</v>
      </c>
      <c r="D582">
        <f t="shared" ref="D582:D585" si="20">C582/100</f>
        <v>2.6924999999999999</v>
      </c>
    </row>
    <row r="583" spans="1:4">
      <c r="A583">
        <f t="shared" si="19"/>
        <v>581</v>
      </c>
      <c r="B583">
        <v>5810</v>
      </c>
      <c r="C583">
        <v>276</v>
      </c>
      <c r="D583">
        <f t="shared" si="20"/>
        <v>2.76</v>
      </c>
    </row>
    <row r="584" spans="1:4">
      <c r="A584">
        <f t="shared" si="19"/>
        <v>582</v>
      </c>
      <c r="B584">
        <v>5820</v>
      </c>
      <c r="C584">
        <v>198.86</v>
      </c>
      <c r="D584">
        <f t="shared" si="20"/>
        <v>1.9886000000000001</v>
      </c>
    </row>
    <row r="585" spans="1:4">
      <c r="A585">
        <f t="shared" si="19"/>
        <v>583</v>
      </c>
      <c r="B585">
        <v>5830</v>
      </c>
      <c r="C585">
        <v>134</v>
      </c>
      <c r="D585">
        <f t="shared" si="20"/>
        <v>1.34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D544"/>
  <sheetViews>
    <sheetView workbookViewId="0">
      <selection activeCell="H10" sqref="H10"/>
    </sheetView>
  </sheetViews>
  <sheetFormatPr baseColWidth="10" defaultColWidth="10.3984375" defaultRowHeight="14.25"/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>
        <f>$B2/10</f>
        <v>0</v>
      </c>
      <c r="B2">
        <v>0</v>
      </c>
      <c r="C2">
        <v>2150</v>
      </c>
      <c r="D2">
        <f>$C2/100</f>
        <v>21.5</v>
      </c>
    </row>
    <row r="3" spans="1:4">
      <c r="A3">
        <f t="shared" ref="A3:A66" si="0">$B3/10</f>
        <v>1</v>
      </c>
      <c r="B3">
        <v>10</v>
      </c>
      <c r="C3">
        <v>2242</v>
      </c>
      <c r="D3">
        <f t="shared" ref="D3:D66" si="1">$C3/100</f>
        <v>22.42</v>
      </c>
    </row>
    <row r="4" spans="1:4">
      <c r="A4">
        <f t="shared" si="0"/>
        <v>2</v>
      </c>
      <c r="B4">
        <v>20</v>
      </c>
      <c r="C4">
        <v>2335</v>
      </c>
      <c r="D4">
        <f t="shared" si="1"/>
        <v>23.35</v>
      </c>
    </row>
    <row r="5" spans="1:4">
      <c r="A5">
        <f t="shared" si="0"/>
        <v>3</v>
      </c>
      <c r="B5">
        <v>30</v>
      </c>
      <c r="C5">
        <v>2428</v>
      </c>
      <c r="D5">
        <f t="shared" si="1"/>
        <v>24.28</v>
      </c>
    </row>
    <row r="6" spans="1:4">
      <c r="A6">
        <f t="shared" si="0"/>
        <v>4</v>
      </c>
      <c r="B6">
        <v>40</v>
      </c>
      <c r="C6">
        <v>2521</v>
      </c>
      <c r="D6">
        <f t="shared" si="1"/>
        <v>25.21</v>
      </c>
    </row>
    <row r="7" spans="1:4">
      <c r="A7">
        <f t="shared" si="0"/>
        <v>5</v>
      </c>
      <c r="B7">
        <v>50</v>
      </c>
      <c r="C7">
        <v>2614</v>
      </c>
      <c r="D7">
        <f t="shared" si="1"/>
        <v>26.14</v>
      </c>
    </row>
    <row r="8" spans="1:4">
      <c r="A8">
        <f t="shared" si="0"/>
        <v>6</v>
      </c>
      <c r="B8">
        <v>60</v>
      </c>
      <c r="C8">
        <v>2706</v>
      </c>
      <c r="D8">
        <f t="shared" si="1"/>
        <v>27.06</v>
      </c>
    </row>
    <row r="9" spans="1:4">
      <c r="A9">
        <f t="shared" si="0"/>
        <v>7</v>
      </c>
      <c r="B9">
        <v>70</v>
      </c>
      <c r="C9">
        <v>2799</v>
      </c>
      <c r="D9">
        <f t="shared" si="1"/>
        <v>27.99</v>
      </c>
    </row>
    <row r="10" spans="1:4">
      <c r="A10">
        <f t="shared" si="0"/>
        <v>8</v>
      </c>
      <c r="B10">
        <v>80</v>
      </c>
      <c r="C10">
        <v>2892</v>
      </c>
      <c r="D10">
        <f t="shared" si="1"/>
        <v>28.92</v>
      </c>
    </row>
    <row r="11" spans="1:4">
      <c r="A11">
        <f t="shared" si="0"/>
        <v>9</v>
      </c>
      <c r="B11">
        <v>90</v>
      </c>
      <c r="C11">
        <v>2985</v>
      </c>
      <c r="D11">
        <f t="shared" si="1"/>
        <v>29.85</v>
      </c>
    </row>
    <row r="12" spans="1:4">
      <c r="A12">
        <f t="shared" si="0"/>
        <v>10</v>
      </c>
      <c r="B12">
        <v>100</v>
      </c>
      <c r="C12">
        <v>3078</v>
      </c>
      <c r="D12">
        <f t="shared" si="1"/>
        <v>30.78</v>
      </c>
    </row>
    <row r="13" spans="1:4">
      <c r="A13">
        <f t="shared" si="0"/>
        <v>11</v>
      </c>
      <c r="B13">
        <v>110</v>
      </c>
      <c r="C13">
        <v>3170</v>
      </c>
      <c r="D13">
        <f t="shared" si="1"/>
        <v>31.7</v>
      </c>
    </row>
    <row r="14" spans="1:4">
      <c r="A14">
        <f t="shared" si="0"/>
        <v>12</v>
      </c>
      <c r="B14">
        <v>120</v>
      </c>
      <c r="C14">
        <v>3263</v>
      </c>
      <c r="D14">
        <f t="shared" si="1"/>
        <v>32.630000000000003</v>
      </c>
    </row>
    <row r="15" spans="1:4">
      <c r="A15">
        <f t="shared" si="0"/>
        <v>13</v>
      </c>
      <c r="B15">
        <v>130</v>
      </c>
      <c r="C15">
        <v>3356</v>
      </c>
      <c r="D15">
        <f t="shared" si="1"/>
        <v>33.56</v>
      </c>
    </row>
    <row r="16" spans="1:4">
      <c r="A16">
        <f t="shared" si="0"/>
        <v>14</v>
      </c>
      <c r="B16">
        <v>140</v>
      </c>
      <c r="C16">
        <v>3449</v>
      </c>
      <c r="D16">
        <f t="shared" si="1"/>
        <v>34.49</v>
      </c>
    </row>
    <row r="17" spans="1:4">
      <c r="A17">
        <f t="shared" si="0"/>
        <v>15</v>
      </c>
      <c r="B17">
        <v>150</v>
      </c>
      <c r="C17">
        <v>3542</v>
      </c>
      <c r="D17">
        <f t="shared" si="1"/>
        <v>35.42</v>
      </c>
    </row>
    <row r="18" spans="1:4">
      <c r="A18">
        <f t="shared" si="0"/>
        <v>16</v>
      </c>
      <c r="B18">
        <v>160</v>
      </c>
      <c r="C18">
        <v>3634</v>
      </c>
      <c r="D18">
        <f t="shared" si="1"/>
        <v>36.340000000000003</v>
      </c>
    </row>
    <row r="19" spans="1:4">
      <c r="A19">
        <f t="shared" si="0"/>
        <v>17</v>
      </c>
      <c r="B19">
        <v>170</v>
      </c>
      <c r="C19">
        <v>3727</v>
      </c>
      <c r="D19">
        <f t="shared" si="1"/>
        <v>37.270000000000003</v>
      </c>
    </row>
    <row r="20" spans="1:4">
      <c r="A20">
        <f t="shared" si="0"/>
        <v>18</v>
      </c>
      <c r="B20">
        <v>180</v>
      </c>
      <c r="C20">
        <v>3820</v>
      </c>
      <c r="D20">
        <f t="shared" si="1"/>
        <v>38.200000000000003</v>
      </c>
    </row>
    <row r="21" spans="1:4">
      <c r="A21">
        <f t="shared" si="0"/>
        <v>19</v>
      </c>
      <c r="B21">
        <v>190</v>
      </c>
      <c r="C21">
        <v>3913</v>
      </c>
      <c r="D21">
        <f t="shared" si="1"/>
        <v>39.130000000000003</v>
      </c>
    </row>
    <row r="22" spans="1:4">
      <c r="A22">
        <f t="shared" si="0"/>
        <v>20</v>
      </c>
      <c r="B22">
        <v>200</v>
      </c>
      <c r="C22">
        <v>4006</v>
      </c>
      <c r="D22">
        <f t="shared" si="1"/>
        <v>40.06</v>
      </c>
    </row>
    <row r="23" spans="1:4">
      <c r="A23">
        <f t="shared" si="0"/>
        <v>21</v>
      </c>
      <c r="B23">
        <v>210</v>
      </c>
      <c r="C23">
        <v>4099</v>
      </c>
      <c r="D23">
        <f t="shared" si="1"/>
        <v>40.99</v>
      </c>
    </row>
    <row r="24" spans="1:4">
      <c r="A24">
        <f t="shared" si="0"/>
        <v>22</v>
      </c>
      <c r="B24">
        <v>220</v>
      </c>
      <c r="C24">
        <v>4191</v>
      </c>
      <c r="D24">
        <f t="shared" si="1"/>
        <v>41.91</v>
      </c>
    </row>
    <row r="25" spans="1:4">
      <c r="A25">
        <f t="shared" si="0"/>
        <v>23</v>
      </c>
      <c r="B25">
        <v>230</v>
      </c>
      <c r="C25">
        <v>4284</v>
      </c>
      <c r="D25">
        <f t="shared" si="1"/>
        <v>42.84</v>
      </c>
    </row>
    <row r="26" spans="1:4">
      <c r="A26">
        <f t="shared" si="0"/>
        <v>24</v>
      </c>
      <c r="B26">
        <v>240</v>
      </c>
      <c r="C26">
        <v>4377</v>
      </c>
      <c r="D26">
        <f t="shared" si="1"/>
        <v>43.77</v>
      </c>
    </row>
    <row r="27" spans="1:4">
      <c r="A27">
        <f t="shared" si="0"/>
        <v>25</v>
      </c>
      <c r="B27">
        <v>250</v>
      </c>
      <c r="C27">
        <v>4470</v>
      </c>
      <c r="D27">
        <f t="shared" si="1"/>
        <v>44.7</v>
      </c>
    </row>
    <row r="28" spans="1:4">
      <c r="A28">
        <f t="shared" si="0"/>
        <v>26</v>
      </c>
      <c r="B28">
        <v>260</v>
      </c>
      <c r="C28">
        <v>4563</v>
      </c>
      <c r="D28">
        <f t="shared" si="1"/>
        <v>45.63</v>
      </c>
    </row>
    <row r="29" spans="1:4">
      <c r="A29">
        <f t="shared" si="0"/>
        <v>27</v>
      </c>
      <c r="B29">
        <v>270</v>
      </c>
      <c r="C29">
        <v>4655</v>
      </c>
      <c r="D29">
        <f t="shared" si="1"/>
        <v>46.55</v>
      </c>
    </row>
    <row r="30" spans="1:4">
      <c r="A30">
        <f t="shared" si="0"/>
        <v>28</v>
      </c>
      <c r="B30">
        <v>280</v>
      </c>
      <c r="C30">
        <v>4748</v>
      </c>
      <c r="D30">
        <f t="shared" si="1"/>
        <v>47.48</v>
      </c>
    </row>
    <row r="31" spans="1:4">
      <c r="A31">
        <f t="shared" si="0"/>
        <v>29</v>
      </c>
      <c r="B31">
        <v>290</v>
      </c>
      <c r="C31">
        <v>4841</v>
      </c>
      <c r="D31">
        <f t="shared" si="1"/>
        <v>48.41</v>
      </c>
    </row>
    <row r="32" spans="1:4">
      <c r="A32">
        <f t="shared" si="0"/>
        <v>30</v>
      </c>
      <c r="B32">
        <v>300</v>
      </c>
      <c r="C32">
        <v>4934</v>
      </c>
      <c r="D32">
        <f t="shared" si="1"/>
        <v>49.34</v>
      </c>
    </row>
    <row r="33" spans="1:4">
      <c r="A33">
        <f t="shared" si="0"/>
        <v>31</v>
      </c>
      <c r="B33">
        <v>310</v>
      </c>
      <c r="C33">
        <v>5027</v>
      </c>
      <c r="D33">
        <f t="shared" si="1"/>
        <v>50.27</v>
      </c>
    </row>
    <row r="34" spans="1:4">
      <c r="A34">
        <f t="shared" si="0"/>
        <v>32</v>
      </c>
      <c r="B34">
        <v>320</v>
      </c>
      <c r="C34">
        <v>5119</v>
      </c>
      <c r="D34">
        <f t="shared" si="1"/>
        <v>51.19</v>
      </c>
    </row>
    <row r="35" spans="1:4">
      <c r="A35">
        <f t="shared" si="0"/>
        <v>33</v>
      </c>
      <c r="B35">
        <v>330</v>
      </c>
      <c r="C35">
        <v>5212</v>
      </c>
      <c r="D35">
        <f t="shared" si="1"/>
        <v>52.12</v>
      </c>
    </row>
    <row r="36" spans="1:4">
      <c r="A36">
        <f t="shared" si="0"/>
        <v>34</v>
      </c>
      <c r="B36">
        <v>340</v>
      </c>
      <c r="C36">
        <v>5305</v>
      </c>
      <c r="D36">
        <f t="shared" si="1"/>
        <v>53.05</v>
      </c>
    </row>
    <row r="37" spans="1:4">
      <c r="A37">
        <f t="shared" si="0"/>
        <v>35</v>
      </c>
      <c r="B37">
        <v>350</v>
      </c>
      <c r="C37">
        <v>5398</v>
      </c>
      <c r="D37">
        <f t="shared" si="1"/>
        <v>53.98</v>
      </c>
    </row>
    <row r="38" spans="1:4">
      <c r="A38">
        <f t="shared" si="0"/>
        <v>36</v>
      </c>
      <c r="B38">
        <v>360</v>
      </c>
      <c r="C38">
        <v>5491</v>
      </c>
      <c r="D38">
        <f t="shared" si="1"/>
        <v>54.91</v>
      </c>
    </row>
    <row r="39" spans="1:4">
      <c r="A39">
        <f t="shared" si="0"/>
        <v>37</v>
      </c>
      <c r="B39">
        <v>370</v>
      </c>
      <c r="C39">
        <v>5583</v>
      </c>
      <c r="D39">
        <f t="shared" si="1"/>
        <v>55.83</v>
      </c>
    </row>
    <row r="40" spans="1:4">
      <c r="A40">
        <f t="shared" si="0"/>
        <v>38</v>
      </c>
      <c r="B40">
        <v>380</v>
      </c>
      <c r="C40">
        <v>5676</v>
      </c>
      <c r="D40">
        <f t="shared" si="1"/>
        <v>56.76</v>
      </c>
    </row>
    <row r="41" spans="1:4">
      <c r="A41">
        <f t="shared" si="0"/>
        <v>39</v>
      </c>
      <c r="B41">
        <v>390</v>
      </c>
      <c r="C41">
        <v>5769</v>
      </c>
      <c r="D41">
        <f t="shared" si="1"/>
        <v>57.69</v>
      </c>
    </row>
    <row r="42" spans="1:4">
      <c r="A42">
        <f t="shared" si="0"/>
        <v>40</v>
      </c>
      <c r="B42">
        <v>400</v>
      </c>
      <c r="C42">
        <v>5862</v>
      </c>
      <c r="D42">
        <f t="shared" si="1"/>
        <v>58.62</v>
      </c>
    </row>
    <row r="43" spans="1:4">
      <c r="A43">
        <f t="shared" si="0"/>
        <v>41</v>
      </c>
      <c r="B43">
        <v>410</v>
      </c>
      <c r="C43">
        <v>5955</v>
      </c>
      <c r="D43">
        <f t="shared" si="1"/>
        <v>59.55</v>
      </c>
    </row>
    <row r="44" spans="1:4">
      <c r="A44">
        <f t="shared" si="0"/>
        <v>42</v>
      </c>
      <c r="B44">
        <v>420</v>
      </c>
      <c r="C44">
        <v>6048</v>
      </c>
      <c r="D44">
        <f t="shared" si="1"/>
        <v>60.48</v>
      </c>
    </row>
    <row r="45" spans="1:4">
      <c r="A45">
        <f t="shared" si="0"/>
        <v>43</v>
      </c>
      <c r="B45">
        <v>430</v>
      </c>
      <c r="C45">
        <v>6140</v>
      </c>
      <c r="D45">
        <f t="shared" si="1"/>
        <v>61.4</v>
      </c>
    </row>
    <row r="46" spans="1:4">
      <c r="A46">
        <f t="shared" si="0"/>
        <v>44</v>
      </c>
      <c r="B46">
        <v>440</v>
      </c>
      <c r="C46">
        <v>6233</v>
      </c>
      <c r="D46">
        <f t="shared" si="1"/>
        <v>62.33</v>
      </c>
    </row>
    <row r="47" spans="1:4">
      <c r="A47">
        <f t="shared" si="0"/>
        <v>45</v>
      </c>
      <c r="B47">
        <v>450</v>
      </c>
      <c r="C47">
        <v>6326</v>
      </c>
      <c r="D47">
        <f t="shared" si="1"/>
        <v>63.26</v>
      </c>
    </row>
    <row r="48" spans="1:4">
      <c r="A48">
        <f t="shared" si="0"/>
        <v>46</v>
      </c>
      <c r="B48">
        <v>460</v>
      </c>
      <c r="C48">
        <v>6419</v>
      </c>
      <c r="D48">
        <f t="shared" si="1"/>
        <v>64.19</v>
      </c>
    </row>
    <row r="49" spans="1:4">
      <c r="A49">
        <f t="shared" si="0"/>
        <v>47</v>
      </c>
      <c r="B49">
        <v>470</v>
      </c>
      <c r="C49">
        <v>6512</v>
      </c>
      <c r="D49">
        <f t="shared" si="1"/>
        <v>65.12</v>
      </c>
    </row>
    <row r="50" spans="1:4">
      <c r="A50">
        <f t="shared" si="0"/>
        <v>48</v>
      </c>
      <c r="B50">
        <v>480</v>
      </c>
      <c r="C50">
        <v>6604</v>
      </c>
      <c r="D50">
        <f t="shared" si="1"/>
        <v>66.040000000000006</v>
      </c>
    </row>
    <row r="51" spans="1:4">
      <c r="A51">
        <f t="shared" si="0"/>
        <v>49</v>
      </c>
      <c r="B51">
        <v>490</v>
      </c>
      <c r="C51">
        <v>6697</v>
      </c>
      <c r="D51">
        <f t="shared" si="1"/>
        <v>66.97</v>
      </c>
    </row>
    <row r="52" spans="1:4">
      <c r="A52">
        <f t="shared" si="0"/>
        <v>50</v>
      </c>
      <c r="B52">
        <v>500</v>
      </c>
      <c r="C52">
        <v>6790</v>
      </c>
      <c r="D52">
        <f t="shared" si="1"/>
        <v>67.900000000000006</v>
      </c>
    </row>
    <row r="53" spans="1:4">
      <c r="A53">
        <f t="shared" si="0"/>
        <v>51</v>
      </c>
      <c r="B53">
        <v>510</v>
      </c>
      <c r="C53">
        <v>6883</v>
      </c>
      <c r="D53">
        <f t="shared" si="1"/>
        <v>68.83</v>
      </c>
    </row>
    <row r="54" spans="1:4">
      <c r="A54">
        <f t="shared" si="0"/>
        <v>52</v>
      </c>
      <c r="B54">
        <v>520</v>
      </c>
      <c r="C54">
        <v>6976</v>
      </c>
      <c r="D54">
        <f t="shared" si="1"/>
        <v>69.760000000000005</v>
      </c>
    </row>
    <row r="55" spans="1:4">
      <c r="A55">
        <f t="shared" si="0"/>
        <v>53</v>
      </c>
      <c r="B55">
        <v>530</v>
      </c>
      <c r="C55">
        <v>7068</v>
      </c>
      <c r="D55">
        <f t="shared" si="1"/>
        <v>70.680000000000007</v>
      </c>
    </row>
    <row r="56" spans="1:4">
      <c r="A56">
        <f t="shared" si="0"/>
        <v>54</v>
      </c>
      <c r="B56">
        <v>540</v>
      </c>
      <c r="C56">
        <v>7161</v>
      </c>
      <c r="D56">
        <f t="shared" si="1"/>
        <v>71.61</v>
      </c>
    </row>
    <row r="57" spans="1:4">
      <c r="A57">
        <f t="shared" si="0"/>
        <v>55</v>
      </c>
      <c r="B57">
        <v>550</v>
      </c>
      <c r="C57">
        <v>7254</v>
      </c>
      <c r="D57">
        <f t="shared" si="1"/>
        <v>72.540000000000006</v>
      </c>
    </row>
    <row r="58" spans="1:4">
      <c r="A58">
        <f t="shared" si="0"/>
        <v>56</v>
      </c>
      <c r="B58">
        <v>560</v>
      </c>
      <c r="C58">
        <v>7347</v>
      </c>
      <c r="D58">
        <f t="shared" si="1"/>
        <v>73.47</v>
      </c>
    </row>
    <row r="59" spans="1:4">
      <c r="A59">
        <f t="shared" si="0"/>
        <v>57</v>
      </c>
      <c r="B59">
        <v>570</v>
      </c>
      <c r="C59">
        <v>7440</v>
      </c>
      <c r="D59">
        <f t="shared" si="1"/>
        <v>74.400000000000006</v>
      </c>
    </row>
    <row r="60" spans="1:4">
      <c r="A60">
        <f t="shared" si="0"/>
        <v>58</v>
      </c>
      <c r="B60">
        <v>580</v>
      </c>
      <c r="C60">
        <v>7532</v>
      </c>
      <c r="D60">
        <f t="shared" si="1"/>
        <v>75.319999999999993</v>
      </c>
    </row>
    <row r="61" spans="1:4">
      <c r="A61">
        <f t="shared" si="0"/>
        <v>59</v>
      </c>
      <c r="B61">
        <v>590</v>
      </c>
      <c r="C61">
        <v>7625</v>
      </c>
      <c r="D61">
        <f t="shared" si="1"/>
        <v>76.25</v>
      </c>
    </row>
    <row r="62" spans="1:4">
      <c r="A62">
        <f t="shared" si="0"/>
        <v>60</v>
      </c>
      <c r="B62">
        <v>600</v>
      </c>
      <c r="C62">
        <v>7718</v>
      </c>
      <c r="D62">
        <f t="shared" si="1"/>
        <v>77.180000000000007</v>
      </c>
    </row>
    <row r="63" spans="1:4">
      <c r="A63">
        <f t="shared" si="0"/>
        <v>61</v>
      </c>
      <c r="B63">
        <v>610</v>
      </c>
      <c r="C63">
        <v>7811</v>
      </c>
      <c r="D63">
        <f t="shared" si="1"/>
        <v>78.11</v>
      </c>
    </row>
    <row r="64" spans="1:4">
      <c r="A64">
        <f t="shared" si="0"/>
        <v>62</v>
      </c>
      <c r="B64">
        <v>620</v>
      </c>
      <c r="C64">
        <v>7904</v>
      </c>
      <c r="D64">
        <f t="shared" si="1"/>
        <v>79.040000000000006</v>
      </c>
    </row>
    <row r="65" spans="1:4">
      <c r="A65">
        <f t="shared" si="0"/>
        <v>63</v>
      </c>
      <c r="B65">
        <v>630</v>
      </c>
      <c r="C65">
        <v>7997</v>
      </c>
      <c r="D65">
        <f t="shared" si="1"/>
        <v>79.97</v>
      </c>
    </row>
    <row r="66" spans="1:4">
      <c r="A66">
        <f t="shared" si="0"/>
        <v>64</v>
      </c>
      <c r="B66">
        <v>640</v>
      </c>
      <c r="C66">
        <v>8089</v>
      </c>
      <c r="D66">
        <f t="shared" si="1"/>
        <v>80.89</v>
      </c>
    </row>
    <row r="67" spans="1:4">
      <c r="A67">
        <f t="shared" ref="A67:A130" si="2">$B67/10</f>
        <v>65</v>
      </c>
      <c r="B67">
        <v>650</v>
      </c>
      <c r="C67">
        <v>8182</v>
      </c>
      <c r="D67">
        <f t="shared" ref="D67:D130" si="3">$C67/100</f>
        <v>81.819999999999993</v>
      </c>
    </row>
    <row r="68" spans="1:4">
      <c r="A68">
        <f t="shared" si="2"/>
        <v>66</v>
      </c>
      <c r="B68">
        <v>660</v>
      </c>
      <c r="C68">
        <v>8275</v>
      </c>
      <c r="D68">
        <f t="shared" si="3"/>
        <v>82.75</v>
      </c>
    </row>
    <row r="69" spans="1:4">
      <c r="A69">
        <f t="shared" si="2"/>
        <v>67</v>
      </c>
      <c r="B69">
        <v>670</v>
      </c>
      <c r="C69">
        <v>8368</v>
      </c>
      <c r="D69">
        <f t="shared" si="3"/>
        <v>83.68</v>
      </c>
    </row>
    <row r="70" spans="1:4">
      <c r="A70">
        <f t="shared" si="2"/>
        <v>68</v>
      </c>
      <c r="B70">
        <v>680</v>
      </c>
      <c r="C70">
        <v>8461</v>
      </c>
      <c r="D70">
        <f t="shared" si="3"/>
        <v>84.61</v>
      </c>
    </row>
    <row r="71" spans="1:4">
      <c r="A71">
        <f t="shared" si="2"/>
        <v>69</v>
      </c>
      <c r="B71">
        <v>690</v>
      </c>
      <c r="C71">
        <v>8553</v>
      </c>
      <c r="D71">
        <f t="shared" si="3"/>
        <v>85.53</v>
      </c>
    </row>
    <row r="72" spans="1:4">
      <c r="A72">
        <f t="shared" si="2"/>
        <v>70</v>
      </c>
      <c r="B72">
        <v>700</v>
      </c>
      <c r="C72">
        <v>8646</v>
      </c>
      <c r="D72">
        <f t="shared" si="3"/>
        <v>86.46</v>
      </c>
    </row>
    <row r="73" spans="1:4">
      <c r="A73">
        <f t="shared" si="2"/>
        <v>71</v>
      </c>
      <c r="B73">
        <v>710</v>
      </c>
      <c r="C73">
        <v>8739</v>
      </c>
      <c r="D73">
        <f t="shared" si="3"/>
        <v>87.39</v>
      </c>
    </row>
    <row r="74" spans="1:4">
      <c r="A74">
        <f t="shared" si="2"/>
        <v>72</v>
      </c>
      <c r="B74">
        <v>720</v>
      </c>
      <c r="C74">
        <v>8832</v>
      </c>
      <c r="D74">
        <f t="shared" si="3"/>
        <v>88.32</v>
      </c>
    </row>
    <row r="75" spans="1:4">
      <c r="A75">
        <f t="shared" si="2"/>
        <v>73</v>
      </c>
      <c r="B75">
        <v>730</v>
      </c>
      <c r="C75">
        <v>8925</v>
      </c>
      <c r="D75">
        <f t="shared" si="3"/>
        <v>89.25</v>
      </c>
    </row>
    <row r="76" spans="1:4">
      <c r="A76">
        <f t="shared" si="2"/>
        <v>74</v>
      </c>
      <c r="B76">
        <v>740</v>
      </c>
      <c r="C76">
        <v>9017</v>
      </c>
      <c r="D76">
        <f t="shared" si="3"/>
        <v>90.17</v>
      </c>
    </row>
    <row r="77" spans="1:4">
      <c r="A77">
        <f t="shared" si="2"/>
        <v>75</v>
      </c>
      <c r="B77">
        <v>750</v>
      </c>
      <c r="C77">
        <v>9110</v>
      </c>
      <c r="D77">
        <f t="shared" si="3"/>
        <v>91.1</v>
      </c>
    </row>
    <row r="78" spans="1:4">
      <c r="A78">
        <f t="shared" si="2"/>
        <v>76</v>
      </c>
      <c r="B78">
        <v>760</v>
      </c>
      <c r="C78">
        <v>9203</v>
      </c>
      <c r="D78">
        <f t="shared" si="3"/>
        <v>92.03</v>
      </c>
    </row>
    <row r="79" spans="1:4">
      <c r="A79">
        <f t="shared" si="2"/>
        <v>77</v>
      </c>
      <c r="B79">
        <v>770</v>
      </c>
      <c r="C79">
        <v>9296</v>
      </c>
      <c r="D79">
        <f t="shared" si="3"/>
        <v>92.96</v>
      </c>
    </row>
    <row r="80" spans="1:4">
      <c r="A80">
        <f t="shared" si="2"/>
        <v>78</v>
      </c>
      <c r="B80">
        <v>780</v>
      </c>
      <c r="C80">
        <v>9389</v>
      </c>
      <c r="D80">
        <f t="shared" si="3"/>
        <v>93.89</v>
      </c>
    </row>
    <row r="81" spans="1:4">
      <c r="A81">
        <f t="shared" si="2"/>
        <v>79</v>
      </c>
      <c r="B81">
        <v>790</v>
      </c>
      <c r="C81">
        <v>9482</v>
      </c>
      <c r="D81">
        <f t="shared" si="3"/>
        <v>94.82</v>
      </c>
    </row>
    <row r="82" spans="1:4">
      <c r="A82">
        <f t="shared" si="2"/>
        <v>80</v>
      </c>
      <c r="B82">
        <v>800</v>
      </c>
      <c r="C82">
        <v>9574</v>
      </c>
      <c r="D82">
        <f t="shared" si="3"/>
        <v>95.74</v>
      </c>
    </row>
    <row r="83" spans="1:4">
      <c r="A83">
        <f t="shared" si="2"/>
        <v>81</v>
      </c>
      <c r="B83">
        <v>810</v>
      </c>
      <c r="C83">
        <v>9667</v>
      </c>
      <c r="D83">
        <f t="shared" si="3"/>
        <v>96.67</v>
      </c>
    </row>
    <row r="84" spans="1:4">
      <c r="A84">
        <f t="shared" si="2"/>
        <v>82</v>
      </c>
      <c r="B84">
        <v>820</v>
      </c>
      <c r="C84">
        <v>9760</v>
      </c>
      <c r="D84">
        <f t="shared" si="3"/>
        <v>97.6</v>
      </c>
    </row>
    <row r="85" spans="1:4">
      <c r="A85">
        <f t="shared" si="2"/>
        <v>83</v>
      </c>
      <c r="B85">
        <v>830</v>
      </c>
      <c r="C85">
        <v>9853</v>
      </c>
      <c r="D85">
        <f t="shared" si="3"/>
        <v>98.53</v>
      </c>
    </row>
    <row r="86" spans="1:4">
      <c r="A86">
        <f t="shared" si="2"/>
        <v>84</v>
      </c>
      <c r="B86">
        <v>840</v>
      </c>
      <c r="C86">
        <v>9946</v>
      </c>
      <c r="D86">
        <f t="shared" si="3"/>
        <v>99.46</v>
      </c>
    </row>
    <row r="87" spans="1:4">
      <c r="A87">
        <f t="shared" si="2"/>
        <v>85</v>
      </c>
      <c r="B87">
        <v>850</v>
      </c>
      <c r="C87">
        <v>10038</v>
      </c>
      <c r="D87">
        <f t="shared" si="3"/>
        <v>100.38</v>
      </c>
    </row>
    <row r="88" spans="1:4">
      <c r="A88">
        <f t="shared" si="2"/>
        <v>86</v>
      </c>
      <c r="B88">
        <v>860</v>
      </c>
      <c r="C88">
        <v>10131</v>
      </c>
      <c r="D88">
        <f t="shared" si="3"/>
        <v>101.31</v>
      </c>
    </row>
    <row r="89" spans="1:4">
      <c r="A89">
        <f t="shared" si="2"/>
        <v>87</v>
      </c>
      <c r="B89">
        <v>870</v>
      </c>
      <c r="C89">
        <v>10224</v>
      </c>
      <c r="D89">
        <f t="shared" si="3"/>
        <v>102.24</v>
      </c>
    </row>
    <row r="90" spans="1:4">
      <c r="A90">
        <f t="shared" si="2"/>
        <v>88</v>
      </c>
      <c r="B90">
        <v>880</v>
      </c>
      <c r="C90">
        <v>10317</v>
      </c>
      <c r="D90">
        <f t="shared" si="3"/>
        <v>103.17</v>
      </c>
    </row>
    <row r="91" spans="1:4">
      <c r="A91">
        <f t="shared" si="2"/>
        <v>89</v>
      </c>
      <c r="B91">
        <v>890</v>
      </c>
      <c r="C91">
        <v>10410</v>
      </c>
      <c r="D91">
        <f t="shared" si="3"/>
        <v>104.1</v>
      </c>
    </row>
    <row r="92" spans="1:4">
      <c r="A92">
        <f t="shared" si="2"/>
        <v>90</v>
      </c>
      <c r="B92">
        <v>900</v>
      </c>
      <c r="C92">
        <v>10502</v>
      </c>
      <c r="D92">
        <f t="shared" si="3"/>
        <v>105.02</v>
      </c>
    </row>
    <row r="93" spans="1:4">
      <c r="A93">
        <f t="shared" si="2"/>
        <v>91</v>
      </c>
      <c r="B93">
        <v>910</v>
      </c>
      <c r="C93">
        <v>10595</v>
      </c>
      <c r="D93">
        <f t="shared" si="3"/>
        <v>105.95</v>
      </c>
    </row>
    <row r="94" spans="1:4">
      <c r="A94">
        <f t="shared" si="2"/>
        <v>92</v>
      </c>
      <c r="B94">
        <v>920</v>
      </c>
      <c r="C94">
        <v>10688</v>
      </c>
      <c r="D94">
        <f t="shared" si="3"/>
        <v>106.88</v>
      </c>
    </row>
    <row r="95" spans="1:4">
      <c r="A95">
        <f t="shared" si="2"/>
        <v>93</v>
      </c>
      <c r="B95">
        <v>930</v>
      </c>
      <c r="C95">
        <v>10781</v>
      </c>
      <c r="D95">
        <f t="shared" si="3"/>
        <v>107.81</v>
      </c>
    </row>
    <row r="96" spans="1:4">
      <c r="A96">
        <f t="shared" si="2"/>
        <v>94</v>
      </c>
      <c r="B96">
        <v>940</v>
      </c>
      <c r="C96">
        <v>10874</v>
      </c>
      <c r="D96">
        <f t="shared" si="3"/>
        <v>108.74</v>
      </c>
    </row>
    <row r="97" spans="1:4">
      <c r="A97">
        <f t="shared" si="2"/>
        <v>95</v>
      </c>
      <c r="B97">
        <v>950</v>
      </c>
      <c r="C97">
        <v>10966</v>
      </c>
      <c r="D97">
        <f t="shared" si="3"/>
        <v>109.66</v>
      </c>
    </row>
    <row r="98" spans="1:4">
      <c r="A98">
        <f t="shared" si="2"/>
        <v>96</v>
      </c>
      <c r="B98">
        <v>960</v>
      </c>
      <c r="C98">
        <v>11059</v>
      </c>
      <c r="D98">
        <f t="shared" si="3"/>
        <v>110.59</v>
      </c>
    </row>
    <row r="99" spans="1:4">
      <c r="A99">
        <f t="shared" si="2"/>
        <v>97</v>
      </c>
      <c r="B99">
        <v>970</v>
      </c>
      <c r="C99">
        <v>11152</v>
      </c>
      <c r="D99">
        <f t="shared" si="3"/>
        <v>111.52</v>
      </c>
    </row>
    <row r="100" spans="1:4">
      <c r="A100">
        <f t="shared" si="2"/>
        <v>98</v>
      </c>
      <c r="B100">
        <v>980</v>
      </c>
      <c r="C100">
        <v>11245</v>
      </c>
      <c r="D100">
        <f t="shared" si="3"/>
        <v>112.45</v>
      </c>
    </row>
    <row r="101" spans="1:4">
      <c r="A101">
        <f t="shared" si="2"/>
        <v>99</v>
      </c>
      <c r="B101">
        <v>990</v>
      </c>
      <c r="C101">
        <v>11338</v>
      </c>
      <c r="D101">
        <f t="shared" si="3"/>
        <v>113.38</v>
      </c>
    </row>
    <row r="102" spans="1:4">
      <c r="A102">
        <f t="shared" si="2"/>
        <v>100</v>
      </c>
      <c r="B102">
        <v>1000</v>
      </c>
      <c r="C102">
        <v>11431</v>
      </c>
      <c r="D102">
        <f t="shared" si="3"/>
        <v>114.31</v>
      </c>
    </row>
    <row r="103" spans="1:4">
      <c r="A103">
        <f t="shared" si="2"/>
        <v>101</v>
      </c>
      <c r="B103">
        <v>1010</v>
      </c>
      <c r="C103">
        <v>11523</v>
      </c>
      <c r="D103">
        <f t="shared" si="3"/>
        <v>115.23</v>
      </c>
    </row>
    <row r="104" spans="1:4">
      <c r="A104">
        <f t="shared" si="2"/>
        <v>102</v>
      </c>
      <c r="B104">
        <v>1020</v>
      </c>
      <c r="C104">
        <v>11616</v>
      </c>
      <c r="D104">
        <f t="shared" si="3"/>
        <v>116.16</v>
      </c>
    </row>
    <row r="105" spans="1:4">
      <c r="A105">
        <f t="shared" si="2"/>
        <v>103</v>
      </c>
      <c r="B105">
        <v>1030</v>
      </c>
      <c r="C105">
        <v>11709</v>
      </c>
      <c r="D105">
        <f t="shared" si="3"/>
        <v>117.09</v>
      </c>
    </row>
    <row r="106" spans="1:4">
      <c r="A106">
        <f t="shared" si="2"/>
        <v>104</v>
      </c>
      <c r="B106">
        <v>1040</v>
      </c>
      <c r="C106">
        <v>11802</v>
      </c>
      <c r="D106">
        <f t="shared" si="3"/>
        <v>118.02</v>
      </c>
    </row>
    <row r="107" spans="1:4">
      <c r="A107">
        <f t="shared" si="2"/>
        <v>105</v>
      </c>
      <c r="B107">
        <v>1050</v>
      </c>
      <c r="C107">
        <v>11895</v>
      </c>
      <c r="D107">
        <f t="shared" si="3"/>
        <v>118.95</v>
      </c>
    </row>
    <row r="108" spans="1:4">
      <c r="A108">
        <f t="shared" si="2"/>
        <v>106</v>
      </c>
      <c r="B108">
        <v>1060</v>
      </c>
      <c r="C108">
        <v>11987</v>
      </c>
      <c r="D108">
        <f t="shared" si="3"/>
        <v>119.87</v>
      </c>
    </row>
    <row r="109" spans="1:4">
      <c r="A109">
        <f t="shared" si="2"/>
        <v>107</v>
      </c>
      <c r="B109">
        <v>1070</v>
      </c>
      <c r="C109">
        <v>12080</v>
      </c>
      <c r="D109">
        <f t="shared" si="3"/>
        <v>120.8</v>
      </c>
    </row>
    <row r="110" spans="1:4">
      <c r="A110">
        <f t="shared" si="2"/>
        <v>108</v>
      </c>
      <c r="B110">
        <v>1080</v>
      </c>
      <c r="C110">
        <v>12173</v>
      </c>
      <c r="D110">
        <f t="shared" si="3"/>
        <v>121.73</v>
      </c>
    </row>
    <row r="111" spans="1:4">
      <c r="A111">
        <f t="shared" si="2"/>
        <v>109</v>
      </c>
      <c r="B111">
        <v>1090</v>
      </c>
      <c r="C111">
        <v>12266</v>
      </c>
      <c r="D111">
        <f t="shared" si="3"/>
        <v>122.66</v>
      </c>
    </row>
    <row r="112" spans="1:4">
      <c r="A112">
        <f t="shared" si="2"/>
        <v>110</v>
      </c>
      <c r="B112">
        <v>1100</v>
      </c>
      <c r="C112">
        <v>12359</v>
      </c>
      <c r="D112">
        <f t="shared" si="3"/>
        <v>123.59</v>
      </c>
    </row>
    <row r="113" spans="1:4">
      <c r="A113">
        <f t="shared" si="2"/>
        <v>111</v>
      </c>
      <c r="B113">
        <v>1110</v>
      </c>
      <c r="C113">
        <v>12451</v>
      </c>
      <c r="D113">
        <f t="shared" si="3"/>
        <v>124.51</v>
      </c>
    </row>
    <row r="114" spans="1:4">
      <c r="A114">
        <f t="shared" si="2"/>
        <v>112</v>
      </c>
      <c r="B114">
        <v>1120</v>
      </c>
      <c r="C114">
        <v>12544</v>
      </c>
      <c r="D114">
        <f t="shared" si="3"/>
        <v>125.44</v>
      </c>
    </row>
    <row r="115" spans="1:4">
      <c r="A115">
        <f t="shared" si="2"/>
        <v>113</v>
      </c>
      <c r="B115">
        <v>1130</v>
      </c>
      <c r="C115">
        <v>12637</v>
      </c>
      <c r="D115">
        <f t="shared" si="3"/>
        <v>126.37</v>
      </c>
    </row>
    <row r="116" spans="1:4">
      <c r="A116">
        <f t="shared" si="2"/>
        <v>114</v>
      </c>
      <c r="B116">
        <v>1140</v>
      </c>
      <c r="C116">
        <v>12730</v>
      </c>
      <c r="D116">
        <f t="shared" si="3"/>
        <v>127.3</v>
      </c>
    </row>
    <row r="117" spans="1:4">
      <c r="A117">
        <f t="shared" si="2"/>
        <v>115</v>
      </c>
      <c r="B117">
        <v>1150</v>
      </c>
      <c r="C117">
        <v>12823</v>
      </c>
      <c r="D117">
        <f t="shared" si="3"/>
        <v>128.22999999999999</v>
      </c>
    </row>
    <row r="118" spans="1:4">
      <c r="A118">
        <f t="shared" si="2"/>
        <v>116</v>
      </c>
      <c r="B118">
        <v>1160</v>
      </c>
      <c r="C118">
        <v>12915</v>
      </c>
      <c r="D118">
        <f t="shared" si="3"/>
        <v>129.15</v>
      </c>
    </row>
    <row r="119" spans="1:4">
      <c r="A119">
        <f t="shared" si="2"/>
        <v>117</v>
      </c>
      <c r="B119">
        <v>1170</v>
      </c>
      <c r="C119">
        <v>13008</v>
      </c>
      <c r="D119">
        <f t="shared" si="3"/>
        <v>130.08000000000001</v>
      </c>
    </row>
    <row r="120" spans="1:4">
      <c r="A120">
        <f t="shared" si="2"/>
        <v>118</v>
      </c>
      <c r="B120">
        <v>1180</v>
      </c>
      <c r="C120">
        <v>13101</v>
      </c>
      <c r="D120">
        <f t="shared" si="3"/>
        <v>131.01</v>
      </c>
    </row>
    <row r="121" spans="1:4">
      <c r="A121">
        <f t="shared" si="2"/>
        <v>119</v>
      </c>
      <c r="B121">
        <v>1190</v>
      </c>
      <c r="C121">
        <v>13194</v>
      </c>
      <c r="D121">
        <f t="shared" si="3"/>
        <v>131.94</v>
      </c>
    </row>
    <row r="122" spans="1:4">
      <c r="A122">
        <f t="shared" si="2"/>
        <v>120</v>
      </c>
      <c r="B122">
        <v>1200</v>
      </c>
      <c r="C122">
        <v>13287</v>
      </c>
      <c r="D122">
        <f t="shared" si="3"/>
        <v>132.87</v>
      </c>
    </row>
    <row r="123" spans="1:4">
      <c r="A123">
        <f t="shared" si="2"/>
        <v>121</v>
      </c>
      <c r="B123">
        <v>1210</v>
      </c>
      <c r="C123">
        <v>13380</v>
      </c>
      <c r="D123">
        <f t="shared" si="3"/>
        <v>133.80000000000001</v>
      </c>
    </row>
    <row r="124" spans="1:4">
      <c r="A124">
        <f t="shared" si="2"/>
        <v>122</v>
      </c>
      <c r="B124">
        <v>1220</v>
      </c>
      <c r="C124">
        <v>13472</v>
      </c>
      <c r="D124">
        <f t="shared" si="3"/>
        <v>134.72</v>
      </c>
    </row>
    <row r="125" spans="1:4">
      <c r="A125">
        <f t="shared" si="2"/>
        <v>123</v>
      </c>
      <c r="B125">
        <v>1230</v>
      </c>
      <c r="C125">
        <v>13565</v>
      </c>
      <c r="D125">
        <f t="shared" si="3"/>
        <v>135.65</v>
      </c>
    </row>
    <row r="126" spans="1:4">
      <c r="A126">
        <f t="shared" si="2"/>
        <v>124</v>
      </c>
      <c r="B126">
        <v>1240</v>
      </c>
      <c r="C126">
        <v>13658</v>
      </c>
      <c r="D126">
        <f t="shared" si="3"/>
        <v>136.58000000000001</v>
      </c>
    </row>
    <row r="127" spans="1:4">
      <c r="A127">
        <f t="shared" si="2"/>
        <v>125</v>
      </c>
      <c r="B127">
        <v>1250</v>
      </c>
      <c r="C127">
        <v>13751</v>
      </c>
      <c r="D127">
        <f t="shared" si="3"/>
        <v>137.51</v>
      </c>
    </row>
    <row r="128" spans="1:4">
      <c r="A128">
        <f t="shared" si="2"/>
        <v>126</v>
      </c>
      <c r="B128">
        <v>1260</v>
      </c>
      <c r="C128">
        <v>13844</v>
      </c>
      <c r="D128">
        <f t="shared" si="3"/>
        <v>138.44</v>
      </c>
    </row>
    <row r="129" spans="1:4">
      <c r="A129">
        <f t="shared" si="2"/>
        <v>127</v>
      </c>
      <c r="B129">
        <v>1270</v>
      </c>
      <c r="C129">
        <v>13936</v>
      </c>
      <c r="D129">
        <f t="shared" si="3"/>
        <v>139.36000000000001</v>
      </c>
    </row>
    <row r="130" spans="1:4">
      <c r="A130">
        <f t="shared" si="2"/>
        <v>128</v>
      </c>
      <c r="B130">
        <v>1280</v>
      </c>
      <c r="C130">
        <v>14029</v>
      </c>
      <c r="D130">
        <f t="shared" si="3"/>
        <v>140.29</v>
      </c>
    </row>
    <row r="131" spans="1:4">
      <c r="A131">
        <f t="shared" ref="A131:A194" si="4">$B131/10</f>
        <v>129</v>
      </c>
      <c r="B131">
        <v>1290</v>
      </c>
      <c r="C131">
        <v>14122</v>
      </c>
      <c r="D131">
        <f t="shared" ref="D131:D194" si="5">$C131/100</f>
        <v>141.22</v>
      </c>
    </row>
    <row r="132" spans="1:4">
      <c r="A132">
        <f t="shared" si="4"/>
        <v>130</v>
      </c>
      <c r="B132">
        <v>1300</v>
      </c>
      <c r="C132">
        <v>14215</v>
      </c>
      <c r="D132">
        <f t="shared" si="5"/>
        <v>142.15</v>
      </c>
    </row>
    <row r="133" spans="1:4">
      <c r="A133">
        <f t="shared" si="4"/>
        <v>131</v>
      </c>
      <c r="B133">
        <v>1310</v>
      </c>
      <c r="C133">
        <v>14308</v>
      </c>
      <c r="D133">
        <f t="shared" si="5"/>
        <v>143.08000000000001</v>
      </c>
    </row>
    <row r="134" spans="1:4">
      <c r="A134">
        <f t="shared" si="4"/>
        <v>132</v>
      </c>
      <c r="B134">
        <v>1320</v>
      </c>
      <c r="C134">
        <v>14400</v>
      </c>
      <c r="D134">
        <f t="shared" si="5"/>
        <v>144</v>
      </c>
    </row>
    <row r="135" spans="1:4">
      <c r="A135">
        <f t="shared" si="4"/>
        <v>133</v>
      </c>
      <c r="B135">
        <v>1330</v>
      </c>
      <c r="C135">
        <v>14493</v>
      </c>
      <c r="D135">
        <f t="shared" si="5"/>
        <v>144.93</v>
      </c>
    </row>
    <row r="136" spans="1:4">
      <c r="A136">
        <f t="shared" si="4"/>
        <v>134</v>
      </c>
      <c r="B136">
        <v>1340</v>
      </c>
      <c r="C136">
        <v>14586</v>
      </c>
      <c r="D136">
        <f t="shared" si="5"/>
        <v>145.86000000000001</v>
      </c>
    </row>
    <row r="137" spans="1:4">
      <c r="A137">
        <f t="shared" si="4"/>
        <v>135</v>
      </c>
      <c r="B137">
        <v>1350</v>
      </c>
      <c r="C137">
        <v>14679</v>
      </c>
      <c r="D137">
        <f t="shared" si="5"/>
        <v>146.79</v>
      </c>
    </row>
    <row r="138" spans="1:4">
      <c r="A138">
        <f t="shared" si="4"/>
        <v>136</v>
      </c>
      <c r="B138">
        <v>1360</v>
      </c>
      <c r="C138">
        <v>14772</v>
      </c>
      <c r="D138">
        <f t="shared" si="5"/>
        <v>147.72</v>
      </c>
    </row>
    <row r="139" spans="1:4">
      <c r="A139">
        <f t="shared" si="4"/>
        <v>137</v>
      </c>
      <c r="B139">
        <v>1370</v>
      </c>
      <c r="C139">
        <v>14864</v>
      </c>
      <c r="D139">
        <f t="shared" si="5"/>
        <v>148.63999999999999</v>
      </c>
    </row>
    <row r="140" spans="1:4">
      <c r="A140">
        <f t="shared" si="4"/>
        <v>138</v>
      </c>
      <c r="B140">
        <v>1380</v>
      </c>
      <c r="C140">
        <v>14957</v>
      </c>
      <c r="D140">
        <f t="shared" si="5"/>
        <v>149.57</v>
      </c>
    </row>
    <row r="141" spans="1:4">
      <c r="A141">
        <f t="shared" si="4"/>
        <v>139</v>
      </c>
      <c r="B141">
        <v>1390</v>
      </c>
      <c r="C141">
        <v>15050</v>
      </c>
      <c r="D141">
        <f t="shared" si="5"/>
        <v>150.5</v>
      </c>
    </row>
    <row r="142" spans="1:4">
      <c r="A142">
        <f t="shared" si="4"/>
        <v>140</v>
      </c>
      <c r="B142">
        <v>1400</v>
      </c>
      <c r="C142">
        <v>15143</v>
      </c>
      <c r="D142">
        <f t="shared" si="5"/>
        <v>151.43</v>
      </c>
    </row>
    <row r="143" spans="1:4">
      <c r="A143">
        <f t="shared" si="4"/>
        <v>141</v>
      </c>
      <c r="B143">
        <v>1410</v>
      </c>
      <c r="C143">
        <v>15236</v>
      </c>
      <c r="D143">
        <f t="shared" si="5"/>
        <v>152.36000000000001</v>
      </c>
    </row>
    <row r="144" spans="1:4">
      <c r="A144">
        <f t="shared" si="4"/>
        <v>142</v>
      </c>
      <c r="B144">
        <v>1420</v>
      </c>
      <c r="C144">
        <v>15329</v>
      </c>
      <c r="D144">
        <f t="shared" si="5"/>
        <v>153.29</v>
      </c>
    </row>
    <row r="145" spans="1:4">
      <c r="A145">
        <f t="shared" si="4"/>
        <v>143</v>
      </c>
      <c r="B145">
        <v>1430</v>
      </c>
      <c r="C145">
        <v>15421</v>
      </c>
      <c r="D145">
        <f t="shared" si="5"/>
        <v>154.21</v>
      </c>
    </row>
    <row r="146" spans="1:4">
      <c r="A146">
        <f t="shared" si="4"/>
        <v>144</v>
      </c>
      <c r="B146">
        <v>1440</v>
      </c>
      <c r="C146">
        <v>15514</v>
      </c>
      <c r="D146">
        <f t="shared" si="5"/>
        <v>155.13999999999999</v>
      </c>
    </row>
    <row r="147" spans="1:4">
      <c r="A147">
        <f t="shared" si="4"/>
        <v>145</v>
      </c>
      <c r="B147">
        <v>1450</v>
      </c>
      <c r="C147">
        <v>15607</v>
      </c>
      <c r="D147">
        <f t="shared" si="5"/>
        <v>156.07</v>
      </c>
    </row>
    <row r="148" spans="1:4">
      <c r="A148">
        <f t="shared" si="4"/>
        <v>146</v>
      </c>
      <c r="B148">
        <v>1460</v>
      </c>
      <c r="C148">
        <v>15700</v>
      </c>
      <c r="D148">
        <f t="shared" si="5"/>
        <v>157</v>
      </c>
    </row>
    <row r="149" spans="1:4">
      <c r="A149">
        <f t="shared" si="4"/>
        <v>147</v>
      </c>
      <c r="B149">
        <v>1470</v>
      </c>
      <c r="C149">
        <v>15793</v>
      </c>
      <c r="D149">
        <f t="shared" si="5"/>
        <v>157.93</v>
      </c>
    </row>
    <row r="150" spans="1:4">
      <c r="A150">
        <f t="shared" si="4"/>
        <v>148</v>
      </c>
      <c r="B150">
        <v>1480</v>
      </c>
      <c r="C150">
        <v>15885</v>
      </c>
      <c r="D150">
        <f t="shared" si="5"/>
        <v>158.85</v>
      </c>
    </row>
    <row r="151" spans="1:4">
      <c r="A151">
        <f t="shared" si="4"/>
        <v>149</v>
      </c>
      <c r="B151">
        <v>1490</v>
      </c>
      <c r="C151">
        <v>15978</v>
      </c>
      <c r="D151">
        <f t="shared" si="5"/>
        <v>159.78</v>
      </c>
    </row>
    <row r="152" spans="1:4">
      <c r="A152">
        <f t="shared" si="4"/>
        <v>150</v>
      </c>
      <c r="B152">
        <v>1500</v>
      </c>
      <c r="C152">
        <v>16071</v>
      </c>
      <c r="D152">
        <f t="shared" si="5"/>
        <v>160.71</v>
      </c>
    </row>
    <row r="153" spans="1:4">
      <c r="A153">
        <f t="shared" si="4"/>
        <v>151</v>
      </c>
      <c r="B153">
        <v>1510</v>
      </c>
      <c r="C153">
        <v>16164</v>
      </c>
      <c r="D153">
        <f t="shared" si="5"/>
        <v>161.63999999999999</v>
      </c>
    </row>
    <row r="154" spans="1:4">
      <c r="A154">
        <f t="shared" si="4"/>
        <v>152</v>
      </c>
      <c r="B154">
        <v>1520</v>
      </c>
      <c r="C154">
        <v>16257</v>
      </c>
      <c r="D154">
        <f t="shared" si="5"/>
        <v>162.57</v>
      </c>
    </row>
    <row r="155" spans="1:4">
      <c r="A155">
        <f t="shared" si="4"/>
        <v>153</v>
      </c>
      <c r="B155">
        <v>1530</v>
      </c>
      <c r="C155">
        <v>16349</v>
      </c>
      <c r="D155">
        <f t="shared" si="5"/>
        <v>163.49</v>
      </c>
    </row>
    <row r="156" spans="1:4">
      <c r="A156">
        <f t="shared" si="4"/>
        <v>154</v>
      </c>
      <c r="B156">
        <v>1540</v>
      </c>
      <c r="C156">
        <v>16442</v>
      </c>
      <c r="D156">
        <f t="shared" si="5"/>
        <v>164.42</v>
      </c>
    </row>
    <row r="157" spans="1:4">
      <c r="A157">
        <f t="shared" si="4"/>
        <v>155</v>
      </c>
      <c r="B157">
        <v>1550</v>
      </c>
      <c r="C157">
        <v>16535</v>
      </c>
      <c r="D157">
        <f t="shared" si="5"/>
        <v>165.35</v>
      </c>
    </row>
    <row r="158" spans="1:4">
      <c r="A158">
        <f t="shared" si="4"/>
        <v>156</v>
      </c>
      <c r="B158">
        <v>1560</v>
      </c>
      <c r="C158">
        <v>16628</v>
      </c>
      <c r="D158">
        <f t="shared" si="5"/>
        <v>166.28</v>
      </c>
    </row>
    <row r="159" spans="1:4">
      <c r="A159">
        <f t="shared" si="4"/>
        <v>157</v>
      </c>
      <c r="B159">
        <v>1570</v>
      </c>
      <c r="C159">
        <v>16721</v>
      </c>
      <c r="D159">
        <f t="shared" si="5"/>
        <v>167.21</v>
      </c>
    </row>
    <row r="160" spans="1:4">
      <c r="A160">
        <f t="shared" si="4"/>
        <v>158</v>
      </c>
      <c r="B160">
        <v>1580</v>
      </c>
      <c r="C160">
        <v>16813</v>
      </c>
      <c r="D160">
        <f t="shared" si="5"/>
        <v>168.13</v>
      </c>
    </row>
    <row r="161" spans="1:4">
      <c r="A161">
        <f t="shared" si="4"/>
        <v>159</v>
      </c>
      <c r="B161">
        <v>1590</v>
      </c>
      <c r="C161">
        <v>16906</v>
      </c>
      <c r="D161">
        <f t="shared" si="5"/>
        <v>169.06</v>
      </c>
    </row>
    <row r="162" spans="1:4">
      <c r="A162">
        <f t="shared" si="4"/>
        <v>160</v>
      </c>
      <c r="B162">
        <v>1600</v>
      </c>
      <c r="C162">
        <v>16999</v>
      </c>
      <c r="D162">
        <f t="shared" si="5"/>
        <v>169.99</v>
      </c>
    </row>
    <row r="163" spans="1:4">
      <c r="A163">
        <f t="shared" si="4"/>
        <v>161</v>
      </c>
      <c r="B163">
        <v>1610</v>
      </c>
      <c r="C163">
        <v>17092</v>
      </c>
      <c r="D163">
        <f t="shared" si="5"/>
        <v>170.92</v>
      </c>
    </row>
    <row r="164" spans="1:4">
      <c r="A164">
        <f t="shared" si="4"/>
        <v>162</v>
      </c>
      <c r="B164">
        <v>1620</v>
      </c>
      <c r="C164">
        <v>17185</v>
      </c>
      <c r="D164">
        <f t="shared" si="5"/>
        <v>171.85</v>
      </c>
    </row>
    <row r="165" spans="1:4">
      <c r="A165">
        <f t="shared" si="4"/>
        <v>163</v>
      </c>
      <c r="B165">
        <v>1630</v>
      </c>
      <c r="C165">
        <v>17278</v>
      </c>
      <c r="D165">
        <f t="shared" si="5"/>
        <v>172.78</v>
      </c>
    </row>
    <row r="166" spans="1:4">
      <c r="A166">
        <f t="shared" si="4"/>
        <v>164</v>
      </c>
      <c r="B166">
        <v>1640</v>
      </c>
      <c r="C166">
        <v>17370</v>
      </c>
      <c r="D166">
        <f t="shared" si="5"/>
        <v>173.7</v>
      </c>
    </row>
    <row r="167" spans="1:4">
      <c r="A167">
        <f t="shared" si="4"/>
        <v>165</v>
      </c>
      <c r="B167">
        <v>1650</v>
      </c>
      <c r="C167">
        <v>17463</v>
      </c>
      <c r="D167">
        <f t="shared" si="5"/>
        <v>174.63</v>
      </c>
    </row>
    <row r="168" spans="1:4">
      <c r="A168">
        <f t="shared" si="4"/>
        <v>166</v>
      </c>
      <c r="B168">
        <v>1660</v>
      </c>
      <c r="C168">
        <v>17556</v>
      </c>
      <c r="D168">
        <f t="shared" si="5"/>
        <v>175.56</v>
      </c>
    </row>
    <row r="169" spans="1:4">
      <c r="A169">
        <f t="shared" si="4"/>
        <v>167</v>
      </c>
      <c r="B169">
        <v>1670</v>
      </c>
      <c r="C169">
        <v>17649</v>
      </c>
      <c r="D169">
        <f t="shared" si="5"/>
        <v>176.49</v>
      </c>
    </row>
    <row r="170" spans="1:4">
      <c r="A170">
        <f t="shared" si="4"/>
        <v>168</v>
      </c>
      <c r="B170">
        <v>1680</v>
      </c>
      <c r="C170">
        <v>17742</v>
      </c>
      <c r="D170">
        <f t="shared" si="5"/>
        <v>177.42</v>
      </c>
    </row>
    <row r="171" spans="1:4">
      <c r="A171">
        <f t="shared" si="4"/>
        <v>169</v>
      </c>
      <c r="B171">
        <v>1690</v>
      </c>
      <c r="C171">
        <v>17834</v>
      </c>
      <c r="D171">
        <f t="shared" si="5"/>
        <v>178.34</v>
      </c>
    </row>
    <row r="172" spans="1:4">
      <c r="A172">
        <f t="shared" si="4"/>
        <v>170</v>
      </c>
      <c r="B172">
        <v>1700</v>
      </c>
      <c r="C172">
        <v>17927</v>
      </c>
      <c r="D172">
        <f t="shared" si="5"/>
        <v>179.27</v>
      </c>
    </row>
    <row r="173" spans="1:4">
      <c r="A173">
        <f t="shared" si="4"/>
        <v>171</v>
      </c>
      <c r="B173">
        <v>1710</v>
      </c>
      <c r="C173">
        <v>18020</v>
      </c>
      <c r="D173">
        <f t="shared" si="5"/>
        <v>180.2</v>
      </c>
    </row>
    <row r="174" spans="1:4">
      <c r="A174">
        <f t="shared" si="4"/>
        <v>172</v>
      </c>
      <c r="B174">
        <v>1720</v>
      </c>
      <c r="C174">
        <v>18113</v>
      </c>
      <c r="D174">
        <f t="shared" si="5"/>
        <v>181.13</v>
      </c>
    </row>
    <row r="175" spans="1:4">
      <c r="A175">
        <f t="shared" si="4"/>
        <v>173</v>
      </c>
      <c r="B175">
        <v>1730</v>
      </c>
      <c r="C175">
        <v>18206</v>
      </c>
      <c r="D175">
        <f t="shared" si="5"/>
        <v>182.06</v>
      </c>
    </row>
    <row r="176" spans="1:4">
      <c r="A176">
        <f t="shared" si="4"/>
        <v>174</v>
      </c>
      <c r="B176">
        <v>1740</v>
      </c>
      <c r="C176">
        <v>18298</v>
      </c>
      <c r="D176">
        <f t="shared" si="5"/>
        <v>182.98</v>
      </c>
    </row>
    <row r="177" spans="1:4">
      <c r="A177">
        <f t="shared" si="4"/>
        <v>175</v>
      </c>
      <c r="B177">
        <v>1750</v>
      </c>
      <c r="C177">
        <v>18391</v>
      </c>
      <c r="D177">
        <f t="shared" si="5"/>
        <v>183.91</v>
      </c>
    </row>
    <row r="178" spans="1:4">
      <c r="A178">
        <f t="shared" si="4"/>
        <v>176</v>
      </c>
      <c r="B178">
        <v>1760</v>
      </c>
      <c r="C178">
        <v>18484</v>
      </c>
      <c r="D178">
        <f t="shared" si="5"/>
        <v>184.84</v>
      </c>
    </row>
    <row r="179" spans="1:4">
      <c r="A179">
        <f t="shared" si="4"/>
        <v>177</v>
      </c>
      <c r="B179">
        <v>1770</v>
      </c>
      <c r="C179">
        <v>18577</v>
      </c>
      <c r="D179">
        <f t="shared" si="5"/>
        <v>185.77</v>
      </c>
    </row>
    <row r="180" spans="1:4">
      <c r="A180">
        <f t="shared" si="4"/>
        <v>178</v>
      </c>
      <c r="B180">
        <v>1780</v>
      </c>
      <c r="C180">
        <v>18670</v>
      </c>
      <c r="D180">
        <f t="shared" si="5"/>
        <v>186.7</v>
      </c>
    </row>
    <row r="181" spans="1:4">
      <c r="A181">
        <f t="shared" si="4"/>
        <v>179</v>
      </c>
      <c r="B181">
        <v>1790</v>
      </c>
      <c r="C181">
        <v>18763</v>
      </c>
      <c r="D181">
        <f t="shared" si="5"/>
        <v>187.63</v>
      </c>
    </row>
    <row r="182" spans="1:4">
      <c r="A182">
        <f t="shared" si="4"/>
        <v>180</v>
      </c>
      <c r="B182">
        <v>1800</v>
      </c>
      <c r="C182">
        <v>18855</v>
      </c>
      <c r="D182">
        <f t="shared" si="5"/>
        <v>188.55</v>
      </c>
    </row>
    <row r="183" spans="1:4">
      <c r="A183">
        <f t="shared" si="4"/>
        <v>181</v>
      </c>
      <c r="B183">
        <v>1810</v>
      </c>
      <c r="C183">
        <v>18948</v>
      </c>
      <c r="D183">
        <f t="shared" si="5"/>
        <v>189.48</v>
      </c>
    </row>
    <row r="184" spans="1:4">
      <c r="A184">
        <f t="shared" si="4"/>
        <v>182</v>
      </c>
      <c r="B184">
        <v>1820</v>
      </c>
      <c r="C184">
        <v>19041</v>
      </c>
      <c r="D184">
        <f t="shared" si="5"/>
        <v>190.41</v>
      </c>
    </row>
    <row r="185" spans="1:4">
      <c r="A185">
        <f t="shared" si="4"/>
        <v>183</v>
      </c>
      <c r="B185">
        <v>1830</v>
      </c>
      <c r="C185">
        <v>19134</v>
      </c>
      <c r="D185">
        <f t="shared" si="5"/>
        <v>191.34</v>
      </c>
    </row>
    <row r="186" spans="1:4">
      <c r="A186">
        <f t="shared" si="4"/>
        <v>184</v>
      </c>
      <c r="B186">
        <v>1840</v>
      </c>
      <c r="C186">
        <v>19227</v>
      </c>
      <c r="D186">
        <f t="shared" si="5"/>
        <v>192.27</v>
      </c>
    </row>
    <row r="187" spans="1:4">
      <c r="A187">
        <f t="shared" si="4"/>
        <v>185</v>
      </c>
      <c r="B187">
        <v>1850</v>
      </c>
      <c r="C187">
        <v>19319</v>
      </c>
      <c r="D187">
        <f t="shared" si="5"/>
        <v>193.19</v>
      </c>
    </row>
    <row r="188" spans="1:4">
      <c r="A188">
        <f t="shared" si="4"/>
        <v>186</v>
      </c>
      <c r="B188">
        <v>1860</v>
      </c>
      <c r="C188">
        <v>19412</v>
      </c>
      <c r="D188">
        <f t="shared" si="5"/>
        <v>194.12</v>
      </c>
    </row>
    <row r="189" spans="1:4">
      <c r="A189">
        <f t="shared" si="4"/>
        <v>187</v>
      </c>
      <c r="B189">
        <v>1870</v>
      </c>
      <c r="C189">
        <v>19505</v>
      </c>
      <c r="D189">
        <f t="shared" si="5"/>
        <v>195.05</v>
      </c>
    </row>
    <row r="190" spans="1:4">
      <c r="A190">
        <f t="shared" si="4"/>
        <v>188</v>
      </c>
      <c r="B190">
        <v>1880</v>
      </c>
      <c r="C190">
        <v>19598</v>
      </c>
      <c r="D190">
        <f t="shared" si="5"/>
        <v>195.98</v>
      </c>
    </row>
    <row r="191" spans="1:4">
      <c r="A191">
        <f t="shared" si="4"/>
        <v>189</v>
      </c>
      <c r="B191">
        <v>1890</v>
      </c>
      <c r="C191">
        <v>19691</v>
      </c>
      <c r="D191">
        <f t="shared" si="5"/>
        <v>196.91</v>
      </c>
    </row>
    <row r="192" spans="1:4">
      <c r="A192">
        <f t="shared" si="4"/>
        <v>190</v>
      </c>
      <c r="B192">
        <v>1900</v>
      </c>
      <c r="C192">
        <v>19783</v>
      </c>
      <c r="D192">
        <f t="shared" si="5"/>
        <v>197.83</v>
      </c>
    </row>
    <row r="193" spans="1:4">
      <c r="A193">
        <f t="shared" si="4"/>
        <v>191</v>
      </c>
      <c r="B193">
        <v>1910</v>
      </c>
      <c r="C193">
        <v>19876</v>
      </c>
      <c r="D193">
        <f t="shared" si="5"/>
        <v>198.76</v>
      </c>
    </row>
    <row r="194" spans="1:4">
      <c r="A194">
        <f t="shared" si="4"/>
        <v>192</v>
      </c>
      <c r="B194">
        <v>1920</v>
      </c>
      <c r="C194">
        <v>19969</v>
      </c>
      <c r="D194">
        <f t="shared" si="5"/>
        <v>199.69</v>
      </c>
    </row>
    <row r="195" spans="1:4">
      <c r="A195">
        <f t="shared" ref="A195:A258" si="6">$B195/10</f>
        <v>193</v>
      </c>
      <c r="B195">
        <v>1930</v>
      </c>
      <c r="C195">
        <v>20062</v>
      </c>
      <c r="D195">
        <f t="shared" ref="D195:D258" si="7">$C195/100</f>
        <v>200.62</v>
      </c>
    </row>
    <row r="196" spans="1:4">
      <c r="A196">
        <f t="shared" si="6"/>
        <v>194</v>
      </c>
      <c r="B196">
        <v>1940</v>
      </c>
      <c r="C196">
        <v>20155</v>
      </c>
      <c r="D196">
        <f t="shared" si="7"/>
        <v>201.55</v>
      </c>
    </row>
    <row r="197" spans="1:4">
      <c r="A197">
        <f t="shared" si="6"/>
        <v>195</v>
      </c>
      <c r="B197">
        <v>1950</v>
      </c>
      <c r="C197">
        <v>20247</v>
      </c>
      <c r="D197">
        <f t="shared" si="7"/>
        <v>202.47</v>
      </c>
    </row>
    <row r="198" spans="1:4">
      <c r="A198">
        <f t="shared" si="6"/>
        <v>196</v>
      </c>
      <c r="B198">
        <v>1960</v>
      </c>
      <c r="C198">
        <v>20340</v>
      </c>
      <c r="D198">
        <f t="shared" si="7"/>
        <v>203.4</v>
      </c>
    </row>
    <row r="199" spans="1:4">
      <c r="A199">
        <f t="shared" si="6"/>
        <v>197</v>
      </c>
      <c r="B199">
        <v>1970</v>
      </c>
      <c r="C199">
        <v>20433</v>
      </c>
      <c r="D199">
        <f t="shared" si="7"/>
        <v>204.33</v>
      </c>
    </row>
    <row r="200" spans="1:4">
      <c r="A200">
        <f t="shared" si="6"/>
        <v>198</v>
      </c>
      <c r="B200">
        <v>1980</v>
      </c>
      <c r="C200">
        <v>20526</v>
      </c>
      <c r="D200">
        <f t="shared" si="7"/>
        <v>205.26</v>
      </c>
    </row>
    <row r="201" spans="1:4">
      <c r="A201">
        <f t="shared" si="6"/>
        <v>199</v>
      </c>
      <c r="B201">
        <v>1990</v>
      </c>
      <c r="C201">
        <v>20619</v>
      </c>
      <c r="D201">
        <f t="shared" si="7"/>
        <v>206.19</v>
      </c>
    </row>
    <row r="202" spans="1:4">
      <c r="A202">
        <f t="shared" si="6"/>
        <v>200</v>
      </c>
      <c r="B202">
        <v>2000</v>
      </c>
      <c r="C202">
        <v>20712</v>
      </c>
      <c r="D202">
        <f t="shared" si="7"/>
        <v>207.12</v>
      </c>
    </row>
    <row r="203" spans="1:4">
      <c r="A203">
        <f t="shared" si="6"/>
        <v>201</v>
      </c>
      <c r="B203">
        <v>2010</v>
      </c>
      <c r="C203">
        <v>20804</v>
      </c>
      <c r="D203">
        <f t="shared" si="7"/>
        <v>208.04</v>
      </c>
    </row>
    <row r="204" spans="1:4">
      <c r="A204">
        <f t="shared" si="6"/>
        <v>202</v>
      </c>
      <c r="B204">
        <v>2020</v>
      </c>
      <c r="C204">
        <v>20897</v>
      </c>
      <c r="D204">
        <f t="shared" si="7"/>
        <v>208.97</v>
      </c>
    </row>
    <row r="205" spans="1:4">
      <c r="A205">
        <f t="shared" si="6"/>
        <v>203</v>
      </c>
      <c r="B205">
        <v>2030</v>
      </c>
      <c r="C205">
        <v>20990</v>
      </c>
      <c r="D205">
        <f t="shared" si="7"/>
        <v>209.9</v>
      </c>
    </row>
    <row r="206" spans="1:4">
      <c r="A206">
        <f t="shared" si="6"/>
        <v>204</v>
      </c>
      <c r="B206">
        <v>2040</v>
      </c>
      <c r="C206">
        <v>21083</v>
      </c>
      <c r="D206">
        <f t="shared" si="7"/>
        <v>210.83</v>
      </c>
    </row>
    <row r="207" spans="1:4">
      <c r="A207">
        <f t="shared" si="6"/>
        <v>205</v>
      </c>
      <c r="B207">
        <v>2050</v>
      </c>
      <c r="C207">
        <v>21176</v>
      </c>
      <c r="D207">
        <f t="shared" si="7"/>
        <v>211.76</v>
      </c>
    </row>
    <row r="208" spans="1:4">
      <c r="A208">
        <f t="shared" si="6"/>
        <v>206</v>
      </c>
      <c r="B208">
        <v>2060</v>
      </c>
      <c r="C208">
        <v>21268</v>
      </c>
      <c r="D208">
        <f t="shared" si="7"/>
        <v>212.68</v>
      </c>
    </row>
    <row r="209" spans="1:4">
      <c r="A209">
        <f t="shared" si="6"/>
        <v>207</v>
      </c>
      <c r="B209">
        <v>2070</v>
      </c>
      <c r="C209">
        <v>21361</v>
      </c>
      <c r="D209">
        <f t="shared" si="7"/>
        <v>213.61</v>
      </c>
    </row>
    <row r="210" spans="1:4">
      <c r="A210">
        <f t="shared" si="6"/>
        <v>208</v>
      </c>
      <c r="B210">
        <v>2080</v>
      </c>
      <c r="C210">
        <v>21454</v>
      </c>
      <c r="D210">
        <f t="shared" si="7"/>
        <v>214.54</v>
      </c>
    </row>
    <row r="211" spans="1:4">
      <c r="A211">
        <f t="shared" si="6"/>
        <v>209</v>
      </c>
      <c r="B211">
        <v>2090</v>
      </c>
      <c r="C211">
        <v>21547</v>
      </c>
      <c r="D211">
        <f t="shared" si="7"/>
        <v>215.47</v>
      </c>
    </row>
    <row r="212" spans="1:4">
      <c r="A212">
        <f t="shared" si="6"/>
        <v>210</v>
      </c>
      <c r="B212">
        <v>2100</v>
      </c>
      <c r="C212">
        <v>21640</v>
      </c>
      <c r="D212">
        <f t="shared" si="7"/>
        <v>216.4</v>
      </c>
    </row>
    <row r="213" spans="1:4">
      <c r="A213">
        <f t="shared" si="6"/>
        <v>211</v>
      </c>
      <c r="B213">
        <v>2110</v>
      </c>
      <c r="C213">
        <v>21732</v>
      </c>
      <c r="D213">
        <f t="shared" si="7"/>
        <v>217.32</v>
      </c>
    </row>
    <row r="214" spans="1:4">
      <c r="A214">
        <f t="shared" si="6"/>
        <v>212</v>
      </c>
      <c r="B214">
        <v>2120</v>
      </c>
      <c r="C214">
        <v>21825</v>
      </c>
      <c r="D214">
        <f t="shared" si="7"/>
        <v>218.25</v>
      </c>
    </row>
    <row r="215" spans="1:4">
      <c r="A215">
        <f t="shared" si="6"/>
        <v>213</v>
      </c>
      <c r="B215">
        <v>2130</v>
      </c>
      <c r="C215">
        <v>21918</v>
      </c>
      <c r="D215">
        <f t="shared" si="7"/>
        <v>219.18</v>
      </c>
    </row>
    <row r="216" spans="1:4">
      <c r="A216">
        <f t="shared" si="6"/>
        <v>214</v>
      </c>
      <c r="B216">
        <v>2140</v>
      </c>
      <c r="C216">
        <v>22011</v>
      </c>
      <c r="D216">
        <f t="shared" si="7"/>
        <v>220.11</v>
      </c>
    </row>
    <row r="217" spans="1:4">
      <c r="A217">
        <f t="shared" si="6"/>
        <v>215</v>
      </c>
      <c r="B217">
        <v>2150</v>
      </c>
      <c r="C217">
        <v>22104</v>
      </c>
      <c r="D217">
        <f t="shared" si="7"/>
        <v>221.04</v>
      </c>
    </row>
    <row r="218" spans="1:4">
      <c r="A218">
        <f t="shared" si="6"/>
        <v>216</v>
      </c>
      <c r="B218">
        <v>2160</v>
      </c>
      <c r="C218">
        <v>22196</v>
      </c>
      <c r="D218">
        <f t="shared" si="7"/>
        <v>221.96</v>
      </c>
    </row>
    <row r="219" spans="1:4">
      <c r="A219">
        <f t="shared" si="6"/>
        <v>217</v>
      </c>
      <c r="B219">
        <v>2170</v>
      </c>
      <c r="C219">
        <v>22289</v>
      </c>
      <c r="D219">
        <f t="shared" si="7"/>
        <v>222.89</v>
      </c>
    </row>
    <row r="220" spans="1:4">
      <c r="A220">
        <f t="shared" si="6"/>
        <v>218</v>
      </c>
      <c r="B220">
        <v>2180</v>
      </c>
      <c r="C220">
        <v>22382</v>
      </c>
      <c r="D220">
        <f t="shared" si="7"/>
        <v>223.82</v>
      </c>
    </row>
    <row r="221" spans="1:4">
      <c r="A221">
        <f t="shared" si="6"/>
        <v>219</v>
      </c>
      <c r="B221">
        <v>2190</v>
      </c>
      <c r="C221">
        <v>22475</v>
      </c>
      <c r="D221">
        <f t="shared" si="7"/>
        <v>224.75</v>
      </c>
    </row>
    <row r="222" spans="1:4">
      <c r="A222">
        <f t="shared" si="6"/>
        <v>220</v>
      </c>
      <c r="B222">
        <v>2200</v>
      </c>
      <c r="C222">
        <v>22568</v>
      </c>
      <c r="D222">
        <f t="shared" si="7"/>
        <v>225.68</v>
      </c>
    </row>
    <row r="223" spans="1:4">
      <c r="A223">
        <f t="shared" si="6"/>
        <v>221</v>
      </c>
      <c r="B223">
        <v>2210</v>
      </c>
      <c r="C223">
        <v>22661</v>
      </c>
      <c r="D223">
        <f t="shared" si="7"/>
        <v>226.61</v>
      </c>
    </row>
    <row r="224" spans="1:4">
      <c r="A224">
        <f t="shared" si="6"/>
        <v>222</v>
      </c>
      <c r="B224">
        <v>2220</v>
      </c>
      <c r="C224">
        <v>22753</v>
      </c>
      <c r="D224">
        <f t="shared" si="7"/>
        <v>227.53</v>
      </c>
    </row>
    <row r="225" spans="1:4">
      <c r="A225">
        <f t="shared" si="6"/>
        <v>223</v>
      </c>
      <c r="B225">
        <v>2230</v>
      </c>
      <c r="C225">
        <v>22846</v>
      </c>
      <c r="D225">
        <f t="shared" si="7"/>
        <v>228.46</v>
      </c>
    </row>
    <row r="226" spans="1:4">
      <c r="A226">
        <f t="shared" si="6"/>
        <v>224</v>
      </c>
      <c r="B226">
        <v>2240</v>
      </c>
      <c r="C226">
        <v>22939</v>
      </c>
      <c r="D226">
        <f t="shared" si="7"/>
        <v>229.39</v>
      </c>
    </row>
    <row r="227" spans="1:4">
      <c r="A227">
        <f t="shared" si="6"/>
        <v>225</v>
      </c>
      <c r="B227">
        <v>2250</v>
      </c>
      <c r="C227">
        <v>23032</v>
      </c>
      <c r="D227">
        <f t="shared" si="7"/>
        <v>230.32</v>
      </c>
    </row>
    <row r="228" spans="1:4">
      <c r="A228">
        <f t="shared" si="6"/>
        <v>226</v>
      </c>
      <c r="B228">
        <v>2260</v>
      </c>
      <c r="C228">
        <v>23125</v>
      </c>
      <c r="D228">
        <f t="shared" si="7"/>
        <v>231.25</v>
      </c>
    </row>
    <row r="229" spans="1:4">
      <c r="A229">
        <f t="shared" si="6"/>
        <v>227</v>
      </c>
      <c r="B229">
        <v>2270</v>
      </c>
      <c r="C229">
        <v>23217</v>
      </c>
      <c r="D229">
        <f t="shared" si="7"/>
        <v>232.17</v>
      </c>
    </row>
    <row r="230" spans="1:4">
      <c r="A230">
        <f t="shared" si="6"/>
        <v>228</v>
      </c>
      <c r="B230">
        <v>2280</v>
      </c>
      <c r="C230">
        <v>23310</v>
      </c>
      <c r="D230">
        <f t="shared" si="7"/>
        <v>233.1</v>
      </c>
    </row>
    <row r="231" spans="1:4">
      <c r="A231">
        <f t="shared" si="6"/>
        <v>229</v>
      </c>
      <c r="B231">
        <v>2290</v>
      </c>
      <c r="C231">
        <v>23403</v>
      </c>
      <c r="D231">
        <f t="shared" si="7"/>
        <v>234.03</v>
      </c>
    </row>
    <row r="232" spans="1:4">
      <c r="A232">
        <f t="shared" si="6"/>
        <v>230</v>
      </c>
      <c r="B232">
        <v>2300</v>
      </c>
      <c r="C232">
        <v>23496</v>
      </c>
      <c r="D232">
        <f t="shared" si="7"/>
        <v>234.96</v>
      </c>
    </row>
    <row r="233" spans="1:4">
      <c r="A233">
        <f t="shared" si="6"/>
        <v>231</v>
      </c>
      <c r="B233">
        <v>2310</v>
      </c>
      <c r="C233">
        <v>23589</v>
      </c>
      <c r="D233">
        <f t="shared" si="7"/>
        <v>235.89</v>
      </c>
    </row>
    <row r="234" spans="1:4">
      <c r="A234">
        <f t="shared" si="6"/>
        <v>232</v>
      </c>
      <c r="B234">
        <v>2320</v>
      </c>
      <c r="C234">
        <v>23681</v>
      </c>
      <c r="D234">
        <f t="shared" si="7"/>
        <v>236.81</v>
      </c>
    </row>
    <row r="235" spans="1:4">
      <c r="A235">
        <f t="shared" si="6"/>
        <v>233</v>
      </c>
      <c r="B235">
        <v>2330</v>
      </c>
      <c r="C235">
        <v>23774</v>
      </c>
      <c r="D235">
        <f t="shared" si="7"/>
        <v>237.74</v>
      </c>
    </row>
    <row r="236" spans="1:4">
      <c r="A236">
        <f t="shared" si="6"/>
        <v>234</v>
      </c>
      <c r="B236">
        <v>2340</v>
      </c>
      <c r="C236">
        <v>23867</v>
      </c>
      <c r="D236">
        <f t="shared" si="7"/>
        <v>238.67</v>
      </c>
    </row>
    <row r="237" spans="1:4">
      <c r="A237">
        <f t="shared" si="6"/>
        <v>235</v>
      </c>
      <c r="B237">
        <v>2350</v>
      </c>
      <c r="C237">
        <v>23960</v>
      </c>
      <c r="D237">
        <f t="shared" si="7"/>
        <v>239.6</v>
      </c>
    </row>
    <row r="238" spans="1:4">
      <c r="A238">
        <f t="shared" si="6"/>
        <v>236</v>
      </c>
      <c r="B238">
        <v>2360</v>
      </c>
      <c r="C238">
        <v>24053</v>
      </c>
      <c r="D238">
        <f t="shared" si="7"/>
        <v>240.53</v>
      </c>
    </row>
    <row r="239" spans="1:4">
      <c r="A239">
        <f t="shared" si="6"/>
        <v>237</v>
      </c>
      <c r="B239">
        <v>2370</v>
      </c>
      <c r="C239">
        <v>24145</v>
      </c>
      <c r="D239">
        <f t="shared" si="7"/>
        <v>241.45</v>
      </c>
    </row>
    <row r="240" spans="1:4">
      <c r="A240">
        <f t="shared" si="6"/>
        <v>238</v>
      </c>
      <c r="B240">
        <v>2380</v>
      </c>
      <c r="C240">
        <v>24238</v>
      </c>
      <c r="D240">
        <f t="shared" si="7"/>
        <v>242.38</v>
      </c>
    </row>
    <row r="241" spans="1:4">
      <c r="A241">
        <f t="shared" si="6"/>
        <v>239</v>
      </c>
      <c r="B241">
        <v>2390</v>
      </c>
      <c r="C241">
        <v>24331</v>
      </c>
      <c r="D241">
        <f t="shared" si="7"/>
        <v>243.31</v>
      </c>
    </row>
    <row r="242" spans="1:4">
      <c r="A242">
        <f t="shared" si="6"/>
        <v>240</v>
      </c>
      <c r="B242">
        <v>2400</v>
      </c>
      <c r="C242">
        <v>24424</v>
      </c>
      <c r="D242">
        <f t="shared" si="7"/>
        <v>244.24</v>
      </c>
    </row>
    <row r="243" spans="1:4">
      <c r="A243">
        <f t="shared" si="6"/>
        <v>241</v>
      </c>
      <c r="B243">
        <v>2410</v>
      </c>
      <c r="C243">
        <v>24517</v>
      </c>
      <c r="D243">
        <f t="shared" si="7"/>
        <v>245.17</v>
      </c>
    </row>
    <row r="244" spans="1:4">
      <c r="A244">
        <f t="shared" si="6"/>
        <v>242</v>
      </c>
      <c r="B244">
        <v>2420</v>
      </c>
      <c r="C244">
        <v>24610</v>
      </c>
      <c r="D244">
        <f t="shared" si="7"/>
        <v>246.1</v>
      </c>
    </row>
    <row r="245" spans="1:4">
      <c r="A245">
        <f t="shared" si="6"/>
        <v>243</v>
      </c>
      <c r="B245">
        <v>2430</v>
      </c>
      <c r="C245">
        <v>24702</v>
      </c>
      <c r="D245">
        <f t="shared" si="7"/>
        <v>247.02</v>
      </c>
    </row>
    <row r="246" spans="1:4">
      <c r="A246">
        <f t="shared" si="6"/>
        <v>244</v>
      </c>
      <c r="B246">
        <v>2440</v>
      </c>
      <c r="C246">
        <v>24795</v>
      </c>
      <c r="D246">
        <f t="shared" si="7"/>
        <v>247.95</v>
      </c>
    </row>
    <row r="247" spans="1:4">
      <c r="A247">
        <f t="shared" si="6"/>
        <v>245</v>
      </c>
      <c r="B247">
        <v>2450</v>
      </c>
      <c r="C247">
        <v>24888</v>
      </c>
      <c r="D247">
        <f t="shared" si="7"/>
        <v>248.88</v>
      </c>
    </row>
    <row r="248" spans="1:4">
      <c r="A248">
        <f t="shared" si="6"/>
        <v>246</v>
      </c>
      <c r="B248">
        <v>2460</v>
      </c>
      <c r="C248">
        <v>24981</v>
      </c>
      <c r="D248">
        <f t="shared" si="7"/>
        <v>249.81</v>
      </c>
    </row>
    <row r="249" spans="1:4">
      <c r="A249">
        <f t="shared" si="6"/>
        <v>247</v>
      </c>
      <c r="B249">
        <v>2470</v>
      </c>
      <c r="C249">
        <v>25074</v>
      </c>
      <c r="D249">
        <f t="shared" si="7"/>
        <v>250.74</v>
      </c>
    </row>
    <row r="250" spans="1:4">
      <c r="A250">
        <f t="shared" si="6"/>
        <v>248</v>
      </c>
      <c r="B250">
        <v>2480</v>
      </c>
      <c r="C250">
        <v>25166</v>
      </c>
      <c r="D250">
        <f t="shared" si="7"/>
        <v>251.66</v>
      </c>
    </row>
    <row r="251" spans="1:4">
      <c r="A251">
        <f t="shared" si="6"/>
        <v>249</v>
      </c>
      <c r="B251">
        <v>2490</v>
      </c>
      <c r="C251">
        <v>25259</v>
      </c>
      <c r="D251">
        <f t="shared" si="7"/>
        <v>252.59</v>
      </c>
    </row>
    <row r="252" spans="1:4">
      <c r="A252">
        <f t="shared" si="6"/>
        <v>250</v>
      </c>
      <c r="B252">
        <v>2500</v>
      </c>
      <c r="C252">
        <v>25352</v>
      </c>
      <c r="D252">
        <f t="shared" si="7"/>
        <v>253.52</v>
      </c>
    </row>
    <row r="253" spans="1:4">
      <c r="A253">
        <f t="shared" si="6"/>
        <v>251</v>
      </c>
      <c r="B253">
        <v>2510</v>
      </c>
      <c r="C253">
        <v>25445</v>
      </c>
      <c r="D253">
        <f t="shared" si="7"/>
        <v>254.45</v>
      </c>
    </row>
    <row r="254" spans="1:4">
      <c r="A254">
        <f t="shared" si="6"/>
        <v>252</v>
      </c>
      <c r="B254">
        <v>2520</v>
      </c>
      <c r="C254">
        <v>25538</v>
      </c>
      <c r="D254">
        <f t="shared" si="7"/>
        <v>255.38</v>
      </c>
    </row>
    <row r="255" spans="1:4">
      <c r="A255">
        <f t="shared" si="6"/>
        <v>253</v>
      </c>
      <c r="B255">
        <v>2530</v>
      </c>
      <c r="C255">
        <v>25630</v>
      </c>
      <c r="D255">
        <f t="shared" si="7"/>
        <v>256.3</v>
      </c>
    </row>
    <row r="256" spans="1:4">
      <c r="A256">
        <f t="shared" si="6"/>
        <v>254</v>
      </c>
      <c r="B256">
        <v>2540</v>
      </c>
      <c r="C256">
        <v>25723</v>
      </c>
      <c r="D256">
        <f t="shared" si="7"/>
        <v>257.23</v>
      </c>
    </row>
    <row r="257" spans="1:4">
      <c r="A257">
        <f t="shared" si="6"/>
        <v>255</v>
      </c>
      <c r="B257">
        <v>2550</v>
      </c>
      <c r="C257">
        <v>25816</v>
      </c>
      <c r="D257">
        <f t="shared" si="7"/>
        <v>258.16000000000003</v>
      </c>
    </row>
    <row r="258" spans="1:4">
      <c r="A258">
        <f t="shared" si="6"/>
        <v>256</v>
      </c>
      <c r="B258">
        <v>2560</v>
      </c>
      <c r="C258">
        <v>25909</v>
      </c>
      <c r="D258">
        <f t="shared" si="7"/>
        <v>259.08999999999997</v>
      </c>
    </row>
    <row r="259" spans="1:4">
      <c r="A259">
        <f t="shared" ref="A259:A322" si="8">$B259/10</f>
        <v>257</v>
      </c>
      <c r="B259">
        <v>2570</v>
      </c>
      <c r="C259">
        <v>26002</v>
      </c>
      <c r="D259">
        <f t="shared" ref="D259:D322" si="9">$C259/100</f>
        <v>260.02</v>
      </c>
    </row>
    <row r="260" spans="1:4">
      <c r="A260">
        <f t="shared" si="8"/>
        <v>258</v>
      </c>
      <c r="B260">
        <v>2580</v>
      </c>
      <c r="C260">
        <v>26095</v>
      </c>
      <c r="D260">
        <f t="shared" si="9"/>
        <v>260.95</v>
      </c>
    </row>
    <row r="261" spans="1:4">
      <c r="A261">
        <f t="shared" si="8"/>
        <v>259</v>
      </c>
      <c r="B261">
        <v>2590</v>
      </c>
      <c r="C261">
        <v>26187</v>
      </c>
      <c r="D261">
        <f t="shared" si="9"/>
        <v>261.87</v>
      </c>
    </row>
    <row r="262" spans="1:4">
      <c r="A262">
        <f t="shared" si="8"/>
        <v>260</v>
      </c>
      <c r="B262">
        <v>2600</v>
      </c>
      <c r="C262">
        <v>26280</v>
      </c>
      <c r="D262">
        <f t="shared" si="9"/>
        <v>262.8</v>
      </c>
    </row>
    <row r="263" spans="1:4">
      <c r="A263">
        <f t="shared" si="8"/>
        <v>261</v>
      </c>
      <c r="B263">
        <v>2610</v>
      </c>
      <c r="C263">
        <v>26373</v>
      </c>
      <c r="D263">
        <f t="shared" si="9"/>
        <v>263.73</v>
      </c>
    </row>
    <row r="264" spans="1:4">
      <c r="A264">
        <f t="shared" si="8"/>
        <v>262</v>
      </c>
      <c r="B264">
        <v>2620</v>
      </c>
      <c r="C264">
        <v>26466</v>
      </c>
      <c r="D264">
        <f t="shared" si="9"/>
        <v>264.66000000000003</v>
      </c>
    </row>
    <row r="265" spans="1:4">
      <c r="A265">
        <f t="shared" si="8"/>
        <v>263</v>
      </c>
      <c r="B265">
        <v>2630</v>
      </c>
      <c r="C265">
        <v>26559</v>
      </c>
      <c r="D265">
        <f t="shared" si="9"/>
        <v>265.58999999999997</v>
      </c>
    </row>
    <row r="266" spans="1:4">
      <c r="A266">
        <f t="shared" si="8"/>
        <v>264</v>
      </c>
      <c r="B266">
        <v>2640</v>
      </c>
      <c r="C266">
        <v>26651</v>
      </c>
      <c r="D266">
        <f t="shared" si="9"/>
        <v>266.51</v>
      </c>
    </row>
    <row r="267" spans="1:4">
      <c r="A267">
        <f t="shared" si="8"/>
        <v>265</v>
      </c>
      <c r="B267">
        <v>2650</v>
      </c>
      <c r="C267">
        <v>26744</v>
      </c>
      <c r="D267">
        <f t="shared" si="9"/>
        <v>267.44</v>
      </c>
    </row>
    <row r="268" spans="1:4">
      <c r="A268">
        <f t="shared" si="8"/>
        <v>266</v>
      </c>
      <c r="B268">
        <v>2660</v>
      </c>
      <c r="C268">
        <v>26837</v>
      </c>
      <c r="D268">
        <f t="shared" si="9"/>
        <v>268.37</v>
      </c>
    </row>
    <row r="269" spans="1:4">
      <c r="A269">
        <f t="shared" si="8"/>
        <v>267</v>
      </c>
      <c r="B269">
        <v>2670</v>
      </c>
      <c r="C269">
        <v>26930</v>
      </c>
      <c r="D269">
        <f t="shared" si="9"/>
        <v>269.3</v>
      </c>
    </row>
    <row r="270" spans="1:4">
      <c r="A270">
        <f t="shared" si="8"/>
        <v>268</v>
      </c>
      <c r="B270">
        <v>2680</v>
      </c>
      <c r="C270">
        <v>27023</v>
      </c>
      <c r="D270">
        <f t="shared" si="9"/>
        <v>270.23</v>
      </c>
    </row>
    <row r="271" spans="1:4">
      <c r="A271">
        <f t="shared" si="8"/>
        <v>269</v>
      </c>
      <c r="B271">
        <v>2690</v>
      </c>
      <c r="C271">
        <v>27115</v>
      </c>
      <c r="D271">
        <f t="shared" si="9"/>
        <v>271.14999999999998</v>
      </c>
    </row>
    <row r="272" spans="1:4">
      <c r="A272">
        <f t="shared" si="8"/>
        <v>270</v>
      </c>
      <c r="B272">
        <v>2700</v>
      </c>
      <c r="C272">
        <v>27208</v>
      </c>
      <c r="D272">
        <f t="shared" si="9"/>
        <v>272.08</v>
      </c>
    </row>
    <row r="273" spans="1:4">
      <c r="A273">
        <f t="shared" si="8"/>
        <v>271</v>
      </c>
      <c r="B273">
        <v>2710</v>
      </c>
      <c r="C273">
        <v>27301</v>
      </c>
      <c r="D273">
        <f t="shared" si="9"/>
        <v>273.01</v>
      </c>
    </row>
    <row r="274" spans="1:4">
      <c r="A274">
        <f t="shared" si="8"/>
        <v>272</v>
      </c>
      <c r="B274">
        <v>2720</v>
      </c>
      <c r="C274">
        <v>27394</v>
      </c>
      <c r="D274">
        <f t="shared" si="9"/>
        <v>273.94</v>
      </c>
    </row>
    <row r="275" spans="1:4">
      <c r="A275">
        <f t="shared" si="8"/>
        <v>273</v>
      </c>
      <c r="B275">
        <v>2730</v>
      </c>
      <c r="C275">
        <v>27487</v>
      </c>
      <c r="D275">
        <f t="shared" si="9"/>
        <v>274.87</v>
      </c>
    </row>
    <row r="276" spans="1:4">
      <c r="A276">
        <f t="shared" si="8"/>
        <v>274</v>
      </c>
      <c r="B276">
        <v>2740</v>
      </c>
      <c r="C276">
        <v>27579</v>
      </c>
      <c r="D276">
        <f t="shared" si="9"/>
        <v>275.79000000000002</v>
      </c>
    </row>
    <row r="277" spans="1:4">
      <c r="A277">
        <f t="shared" si="8"/>
        <v>275</v>
      </c>
      <c r="B277">
        <v>2750</v>
      </c>
      <c r="C277">
        <v>27672</v>
      </c>
      <c r="D277">
        <f t="shared" si="9"/>
        <v>276.72000000000003</v>
      </c>
    </row>
    <row r="278" spans="1:4">
      <c r="A278">
        <f t="shared" si="8"/>
        <v>276</v>
      </c>
      <c r="B278">
        <v>2760</v>
      </c>
      <c r="C278">
        <v>27765</v>
      </c>
      <c r="D278">
        <f t="shared" si="9"/>
        <v>277.64999999999998</v>
      </c>
    </row>
    <row r="279" spans="1:4">
      <c r="A279">
        <f t="shared" si="8"/>
        <v>277</v>
      </c>
      <c r="B279">
        <v>2770</v>
      </c>
      <c r="C279">
        <v>27858</v>
      </c>
      <c r="D279">
        <f t="shared" si="9"/>
        <v>278.58</v>
      </c>
    </row>
    <row r="280" spans="1:4">
      <c r="A280">
        <f t="shared" si="8"/>
        <v>278</v>
      </c>
      <c r="B280">
        <v>2780</v>
      </c>
      <c r="C280">
        <v>27951</v>
      </c>
      <c r="D280">
        <f t="shared" si="9"/>
        <v>279.51</v>
      </c>
    </row>
    <row r="281" spans="1:4">
      <c r="A281">
        <f t="shared" si="8"/>
        <v>279</v>
      </c>
      <c r="B281">
        <v>2790</v>
      </c>
      <c r="C281">
        <v>28044</v>
      </c>
      <c r="D281">
        <f t="shared" si="9"/>
        <v>280.44</v>
      </c>
    </row>
    <row r="282" spans="1:4">
      <c r="A282">
        <f t="shared" si="8"/>
        <v>280</v>
      </c>
      <c r="B282">
        <v>2800</v>
      </c>
      <c r="C282">
        <v>28136</v>
      </c>
      <c r="D282">
        <f t="shared" si="9"/>
        <v>281.36</v>
      </c>
    </row>
    <row r="283" spans="1:4">
      <c r="A283">
        <f t="shared" si="8"/>
        <v>281</v>
      </c>
      <c r="B283">
        <v>2810</v>
      </c>
      <c r="C283">
        <v>28229</v>
      </c>
      <c r="D283">
        <f t="shared" si="9"/>
        <v>282.29000000000002</v>
      </c>
    </row>
    <row r="284" spans="1:4">
      <c r="A284">
        <f t="shared" si="8"/>
        <v>282</v>
      </c>
      <c r="B284">
        <v>2820</v>
      </c>
      <c r="C284">
        <v>28322</v>
      </c>
      <c r="D284">
        <f t="shared" si="9"/>
        <v>283.22000000000003</v>
      </c>
    </row>
    <row r="285" spans="1:4">
      <c r="A285">
        <f t="shared" si="8"/>
        <v>283</v>
      </c>
      <c r="B285">
        <v>2830</v>
      </c>
      <c r="C285">
        <v>28415</v>
      </c>
      <c r="D285">
        <f t="shared" si="9"/>
        <v>284.14999999999998</v>
      </c>
    </row>
    <row r="286" spans="1:4">
      <c r="A286">
        <f t="shared" si="8"/>
        <v>284</v>
      </c>
      <c r="B286">
        <v>2840</v>
      </c>
      <c r="C286">
        <v>28508</v>
      </c>
      <c r="D286">
        <f t="shared" si="9"/>
        <v>285.08</v>
      </c>
    </row>
    <row r="287" spans="1:4">
      <c r="A287">
        <f t="shared" si="8"/>
        <v>285</v>
      </c>
      <c r="B287">
        <v>2850</v>
      </c>
      <c r="C287">
        <v>28600</v>
      </c>
      <c r="D287">
        <f t="shared" si="9"/>
        <v>286</v>
      </c>
    </row>
    <row r="288" spans="1:4">
      <c r="A288">
        <f t="shared" si="8"/>
        <v>286</v>
      </c>
      <c r="B288">
        <v>2860</v>
      </c>
      <c r="C288">
        <v>28693</v>
      </c>
      <c r="D288">
        <f t="shared" si="9"/>
        <v>286.93</v>
      </c>
    </row>
    <row r="289" spans="1:4">
      <c r="A289">
        <f t="shared" si="8"/>
        <v>287</v>
      </c>
      <c r="B289">
        <v>2870</v>
      </c>
      <c r="C289">
        <v>28786</v>
      </c>
      <c r="D289">
        <f t="shared" si="9"/>
        <v>287.86</v>
      </c>
    </row>
    <row r="290" spans="1:4">
      <c r="A290">
        <f t="shared" si="8"/>
        <v>288</v>
      </c>
      <c r="B290">
        <v>2880</v>
      </c>
      <c r="C290">
        <v>28879</v>
      </c>
      <c r="D290">
        <f t="shared" si="9"/>
        <v>288.79000000000002</v>
      </c>
    </row>
    <row r="291" spans="1:4">
      <c r="A291">
        <f t="shared" si="8"/>
        <v>289</v>
      </c>
      <c r="B291">
        <v>2890</v>
      </c>
      <c r="C291">
        <v>28972</v>
      </c>
      <c r="D291">
        <f t="shared" si="9"/>
        <v>289.72000000000003</v>
      </c>
    </row>
    <row r="292" spans="1:4">
      <c r="A292">
        <f t="shared" si="8"/>
        <v>290</v>
      </c>
      <c r="B292">
        <v>2900</v>
      </c>
      <c r="C292">
        <v>29064</v>
      </c>
      <c r="D292">
        <f t="shared" si="9"/>
        <v>290.64</v>
      </c>
    </row>
    <row r="293" spans="1:4">
      <c r="A293">
        <f t="shared" si="8"/>
        <v>291</v>
      </c>
      <c r="B293">
        <v>2910</v>
      </c>
      <c r="C293">
        <v>29157</v>
      </c>
      <c r="D293">
        <f t="shared" si="9"/>
        <v>291.57</v>
      </c>
    </row>
    <row r="294" spans="1:4">
      <c r="A294">
        <f t="shared" si="8"/>
        <v>292</v>
      </c>
      <c r="B294">
        <v>2920</v>
      </c>
      <c r="C294">
        <v>29250</v>
      </c>
      <c r="D294">
        <f t="shared" si="9"/>
        <v>292.5</v>
      </c>
    </row>
    <row r="295" spans="1:4">
      <c r="A295">
        <f t="shared" si="8"/>
        <v>293</v>
      </c>
      <c r="B295">
        <v>2930</v>
      </c>
      <c r="C295">
        <v>29343</v>
      </c>
      <c r="D295">
        <f t="shared" si="9"/>
        <v>293.43</v>
      </c>
    </row>
    <row r="296" spans="1:4">
      <c r="A296">
        <f t="shared" si="8"/>
        <v>294</v>
      </c>
      <c r="B296">
        <v>2940</v>
      </c>
      <c r="C296">
        <v>29436</v>
      </c>
      <c r="D296">
        <f t="shared" si="9"/>
        <v>294.36</v>
      </c>
    </row>
    <row r="297" spans="1:4">
      <c r="A297">
        <f t="shared" si="8"/>
        <v>295</v>
      </c>
      <c r="B297">
        <v>2950</v>
      </c>
      <c r="C297">
        <v>29528</v>
      </c>
      <c r="D297">
        <f t="shared" si="9"/>
        <v>295.27999999999997</v>
      </c>
    </row>
    <row r="298" spans="1:4">
      <c r="A298">
        <f t="shared" si="8"/>
        <v>296</v>
      </c>
      <c r="B298">
        <v>2960</v>
      </c>
      <c r="C298">
        <v>29621</v>
      </c>
      <c r="D298">
        <f t="shared" si="9"/>
        <v>296.20999999999998</v>
      </c>
    </row>
    <row r="299" spans="1:4">
      <c r="A299">
        <f t="shared" si="8"/>
        <v>297</v>
      </c>
      <c r="B299">
        <v>2970</v>
      </c>
      <c r="C299">
        <v>29714</v>
      </c>
      <c r="D299">
        <f t="shared" si="9"/>
        <v>297.14</v>
      </c>
    </row>
    <row r="300" spans="1:4">
      <c r="A300">
        <f t="shared" si="8"/>
        <v>298</v>
      </c>
      <c r="B300">
        <v>2980</v>
      </c>
      <c r="C300">
        <v>29807</v>
      </c>
      <c r="D300">
        <f t="shared" si="9"/>
        <v>298.07</v>
      </c>
    </row>
    <row r="301" spans="1:4">
      <c r="A301">
        <f t="shared" si="8"/>
        <v>299</v>
      </c>
      <c r="B301">
        <v>2990</v>
      </c>
      <c r="C301">
        <v>29900</v>
      </c>
      <c r="D301">
        <f t="shared" si="9"/>
        <v>299</v>
      </c>
    </row>
    <row r="302" spans="1:4">
      <c r="A302">
        <f t="shared" si="8"/>
        <v>300</v>
      </c>
      <c r="B302">
        <v>3000</v>
      </c>
      <c r="C302">
        <v>29993</v>
      </c>
      <c r="D302">
        <f t="shared" si="9"/>
        <v>299.93</v>
      </c>
    </row>
    <row r="303" spans="1:4">
      <c r="A303">
        <f t="shared" si="8"/>
        <v>301</v>
      </c>
      <c r="B303">
        <v>3010</v>
      </c>
      <c r="C303">
        <v>30085</v>
      </c>
      <c r="D303">
        <f t="shared" si="9"/>
        <v>300.85000000000002</v>
      </c>
    </row>
    <row r="304" spans="1:4">
      <c r="A304">
        <f t="shared" si="8"/>
        <v>302</v>
      </c>
      <c r="B304">
        <v>3020</v>
      </c>
      <c r="C304">
        <v>30178</v>
      </c>
      <c r="D304">
        <f t="shared" si="9"/>
        <v>301.77999999999997</v>
      </c>
    </row>
    <row r="305" spans="1:4">
      <c r="A305">
        <f t="shared" si="8"/>
        <v>303</v>
      </c>
      <c r="B305">
        <v>3030</v>
      </c>
      <c r="C305">
        <v>30271</v>
      </c>
      <c r="D305">
        <f t="shared" si="9"/>
        <v>302.70999999999998</v>
      </c>
    </row>
    <row r="306" spans="1:4">
      <c r="A306">
        <f t="shared" si="8"/>
        <v>304</v>
      </c>
      <c r="B306">
        <v>3040</v>
      </c>
      <c r="C306">
        <v>30364</v>
      </c>
      <c r="D306">
        <f t="shared" si="9"/>
        <v>303.64</v>
      </c>
    </row>
    <row r="307" spans="1:4">
      <c r="A307">
        <f t="shared" si="8"/>
        <v>305</v>
      </c>
      <c r="B307">
        <v>3050</v>
      </c>
      <c r="C307">
        <v>30457</v>
      </c>
      <c r="D307">
        <f t="shared" si="9"/>
        <v>304.57</v>
      </c>
    </row>
    <row r="308" spans="1:4">
      <c r="A308">
        <f t="shared" si="8"/>
        <v>306</v>
      </c>
      <c r="B308">
        <v>3060</v>
      </c>
      <c r="C308">
        <v>30549</v>
      </c>
      <c r="D308">
        <f t="shared" si="9"/>
        <v>305.49</v>
      </c>
    </row>
    <row r="309" spans="1:4">
      <c r="A309">
        <f t="shared" si="8"/>
        <v>307</v>
      </c>
      <c r="B309">
        <v>3070</v>
      </c>
      <c r="C309">
        <v>30642</v>
      </c>
      <c r="D309">
        <f t="shared" si="9"/>
        <v>306.42</v>
      </c>
    </row>
    <row r="310" spans="1:4">
      <c r="A310">
        <f t="shared" si="8"/>
        <v>308</v>
      </c>
      <c r="B310">
        <v>3080</v>
      </c>
      <c r="C310">
        <v>30735</v>
      </c>
      <c r="D310">
        <f t="shared" si="9"/>
        <v>307.35000000000002</v>
      </c>
    </row>
    <row r="311" spans="1:4">
      <c r="A311">
        <f t="shared" si="8"/>
        <v>309</v>
      </c>
      <c r="B311">
        <v>3090</v>
      </c>
      <c r="C311">
        <v>30828</v>
      </c>
      <c r="D311">
        <f t="shared" si="9"/>
        <v>308.27999999999997</v>
      </c>
    </row>
    <row r="312" spans="1:4">
      <c r="A312">
        <f t="shared" si="8"/>
        <v>310</v>
      </c>
      <c r="B312">
        <v>3100</v>
      </c>
      <c r="C312">
        <v>30921</v>
      </c>
      <c r="D312">
        <f t="shared" si="9"/>
        <v>309.20999999999998</v>
      </c>
    </row>
    <row r="313" spans="1:4">
      <c r="A313">
        <f t="shared" si="8"/>
        <v>311</v>
      </c>
      <c r="B313">
        <v>3110</v>
      </c>
      <c r="C313">
        <v>31013</v>
      </c>
      <c r="D313">
        <f t="shared" si="9"/>
        <v>310.13</v>
      </c>
    </row>
    <row r="314" spans="1:4">
      <c r="A314">
        <f t="shared" si="8"/>
        <v>312</v>
      </c>
      <c r="B314">
        <v>3120</v>
      </c>
      <c r="C314">
        <v>31106</v>
      </c>
      <c r="D314">
        <f t="shared" si="9"/>
        <v>311.06</v>
      </c>
    </row>
    <row r="315" spans="1:4">
      <c r="A315">
        <f t="shared" si="8"/>
        <v>313</v>
      </c>
      <c r="B315">
        <v>3130</v>
      </c>
      <c r="C315">
        <v>31199</v>
      </c>
      <c r="D315">
        <f t="shared" si="9"/>
        <v>311.99</v>
      </c>
    </row>
    <row r="316" spans="1:4">
      <c r="A316">
        <f t="shared" si="8"/>
        <v>314</v>
      </c>
      <c r="B316">
        <v>3140</v>
      </c>
      <c r="C316">
        <v>31292</v>
      </c>
      <c r="D316">
        <f t="shared" si="9"/>
        <v>312.92</v>
      </c>
    </row>
    <row r="317" spans="1:4">
      <c r="A317">
        <f t="shared" si="8"/>
        <v>315</v>
      </c>
      <c r="B317">
        <v>3150</v>
      </c>
      <c r="C317">
        <v>31385</v>
      </c>
      <c r="D317">
        <f t="shared" si="9"/>
        <v>313.85000000000002</v>
      </c>
    </row>
    <row r="318" spans="1:4">
      <c r="A318">
        <f t="shared" si="8"/>
        <v>316</v>
      </c>
      <c r="B318">
        <v>3160</v>
      </c>
      <c r="C318">
        <v>31477</v>
      </c>
      <c r="D318">
        <f t="shared" si="9"/>
        <v>314.77</v>
      </c>
    </row>
    <row r="319" spans="1:4">
      <c r="A319">
        <f t="shared" si="8"/>
        <v>317</v>
      </c>
      <c r="B319">
        <v>3170</v>
      </c>
      <c r="C319">
        <v>31570</v>
      </c>
      <c r="D319">
        <f t="shared" si="9"/>
        <v>315.7</v>
      </c>
    </row>
    <row r="320" spans="1:4">
      <c r="A320">
        <f t="shared" si="8"/>
        <v>318</v>
      </c>
      <c r="B320">
        <v>3180</v>
      </c>
      <c r="C320">
        <v>31663</v>
      </c>
      <c r="D320">
        <f t="shared" si="9"/>
        <v>316.63</v>
      </c>
    </row>
    <row r="321" spans="1:4">
      <c r="A321">
        <f t="shared" si="8"/>
        <v>319</v>
      </c>
      <c r="B321">
        <v>3190</v>
      </c>
      <c r="C321">
        <v>31756</v>
      </c>
      <c r="D321">
        <f t="shared" si="9"/>
        <v>317.56</v>
      </c>
    </row>
    <row r="322" spans="1:4">
      <c r="A322">
        <f t="shared" si="8"/>
        <v>320</v>
      </c>
      <c r="B322">
        <v>3200</v>
      </c>
      <c r="C322">
        <v>31849</v>
      </c>
      <c r="D322">
        <f t="shared" si="9"/>
        <v>318.49</v>
      </c>
    </row>
    <row r="323" spans="1:4">
      <c r="A323">
        <f t="shared" ref="A323:A386" si="10">$B323/10</f>
        <v>321</v>
      </c>
      <c r="B323">
        <v>3210</v>
      </c>
      <c r="C323">
        <v>31942</v>
      </c>
      <c r="D323">
        <f t="shared" ref="D323:D386" si="11">$C323/100</f>
        <v>319.42</v>
      </c>
    </row>
    <row r="324" spans="1:4">
      <c r="A324">
        <f t="shared" si="10"/>
        <v>322</v>
      </c>
      <c r="B324">
        <v>3220</v>
      </c>
      <c r="C324">
        <v>32034</v>
      </c>
      <c r="D324">
        <f t="shared" si="11"/>
        <v>320.33999999999997</v>
      </c>
    </row>
    <row r="325" spans="1:4">
      <c r="A325">
        <f t="shared" si="10"/>
        <v>323</v>
      </c>
      <c r="B325">
        <v>3230</v>
      </c>
      <c r="C325">
        <v>32127</v>
      </c>
      <c r="D325">
        <f t="shared" si="11"/>
        <v>321.27</v>
      </c>
    </row>
    <row r="326" spans="1:4">
      <c r="A326">
        <f t="shared" si="10"/>
        <v>324</v>
      </c>
      <c r="B326">
        <v>3240</v>
      </c>
      <c r="C326">
        <v>32220</v>
      </c>
      <c r="D326">
        <f t="shared" si="11"/>
        <v>322.2</v>
      </c>
    </row>
    <row r="327" spans="1:4">
      <c r="A327">
        <f t="shared" si="10"/>
        <v>325</v>
      </c>
      <c r="B327">
        <v>3250</v>
      </c>
      <c r="C327">
        <v>32313</v>
      </c>
      <c r="D327">
        <f t="shared" si="11"/>
        <v>323.13</v>
      </c>
    </row>
    <row r="328" spans="1:4">
      <c r="A328">
        <f t="shared" si="10"/>
        <v>326</v>
      </c>
      <c r="B328">
        <v>3260</v>
      </c>
      <c r="C328">
        <v>32406</v>
      </c>
      <c r="D328">
        <f t="shared" si="11"/>
        <v>324.06</v>
      </c>
    </row>
    <row r="329" spans="1:4">
      <c r="A329">
        <f t="shared" si="10"/>
        <v>327</v>
      </c>
      <c r="B329">
        <v>3270</v>
      </c>
      <c r="C329">
        <v>32498</v>
      </c>
      <c r="D329">
        <f t="shared" si="11"/>
        <v>324.98</v>
      </c>
    </row>
    <row r="330" spans="1:4">
      <c r="A330">
        <f t="shared" si="10"/>
        <v>328</v>
      </c>
      <c r="B330">
        <v>3280</v>
      </c>
      <c r="C330">
        <v>32591</v>
      </c>
      <c r="D330">
        <f t="shared" si="11"/>
        <v>325.91000000000003</v>
      </c>
    </row>
    <row r="331" spans="1:4">
      <c r="A331">
        <f t="shared" si="10"/>
        <v>329</v>
      </c>
      <c r="B331">
        <v>3290</v>
      </c>
      <c r="C331">
        <v>32684</v>
      </c>
      <c r="D331">
        <f t="shared" si="11"/>
        <v>326.83999999999997</v>
      </c>
    </row>
    <row r="332" spans="1:4">
      <c r="A332">
        <f t="shared" si="10"/>
        <v>330</v>
      </c>
      <c r="B332">
        <v>3300</v>
      </c>
      <c r="C332">
        <v>32777</v>
      </c>
      <c r="D332">
        <f t="shared" si="11"/>
        <v>327.77</v>
      </c>
    </row>
    <row r="333" spans="1:4">
      <c r="A333">
        <f t="shared" si="10"/>
        <v>331</v>
      </c>
      <c r="B333">
        <v>3310</v>
      </c>
      <c r="C333">
        <v>32870</v>
      </c>
      <c r="D333">
        <f t="shared" si="11"/>
        <v>328.7</v>
      </c>
    </row>
    <row r="334" spans="1:4">
      <c r="A334">
        <f t="shared" si="10"/>
        <v>332</v>
      </c>
      <c r="B334">
        <v>3320</v>
      </c>
      <c r="C334">
        <v>32962</v>
      </c>
      <c r="D334">
        <f t="shared" si="11"/>
        <v>329.62</v>
      </c>
    </row>
    <row r="335" spans="1:4">
      <c r="A335">
        <f t="shared" si="10"/>
        <v>333</v>
      </c>
      <c r="B335">
        <v>3330</v>
      </c>
      <c r="C335">
        <v>33055</v>
      </c>
      <c r="D335">
        <f t="shared" si="11"/>
        <v>330.55</v>
      </c>
    </row>
    <row r="336" spans="1:4">
      <c r="A336">
        <f t="shared" si="10"/>
        <v>334</v>
      </c>
      <c r="B336">
        <v>3340</v>
      </c>
      <c r="C336">
        <v>33148</v>
      </c>
      <c r="D336">
        <f t="shared" si="11"/>
        <v>331.48</v>
      </c>
    </row>
    <row r="337" spans="1:4">
      <c r="A337">
        <f t="shared" si="10"/>
        <v>335</v>
      </c>
      <c r="B337">
        <v>3350</v>
      </c>
      <c r="C337">
        <v>33241</v>
      </c>
      <c r="D337">
        <f t="shared" si="11"/>
        <v>332.41</v>
      </c>
    </row>
    <row r="338" spans="1:4">
      <c r="A338">
        <f t="shared" si="10"/>
        <v>336</v>
      </c>
      <c r="B338">
        <v>3360</v>
      </c>
      <c r="C338">
        <v>33334</v>
      </c>
      <c r="D338">
        <f t="shared" si="11"/>
        <v>333.34</v>
      </c>
    </row>
    <row r="339" spans="1:4">
      <c r="A339">
        <f t="shared" si="10"/>
        <v>337</v>
      </c>
      <c r="B339">
        <v>3370</v>
      </c>
      <c r="C339">
        <v>33426</v>
      </c>
      <c r="D339">
        <f t="shared" si="11"/>
        <v>334.26</v>
      </c>
    </row>
    <row r="340" spans="1:4">
      <c r="A340">
        <f t="shared" si="10"/>
        <v>338</v>
      </c>
      <c r="B340">
        <v>3380</v>
      </c>
      <c r="C340">
        <v>33519</v>
      </c>
      <c r="D340">
        <f t="shared" si="11"/>
        <v>335.19</v>
      </c>
    </row>
    <row r="341" spans="1:4">
      <c r="A341">
        <f t="shared" si="10"/>
        <v>339</v>
      </c>
      <c r="B341">
        <v>3390</v>
      </c>
      <c r="C341">
        <v>33612</v>
      </c>
      <c r="D341">
        <f t="shared" si="11"/>
        <v>336.12</v>
      </c>
    </row>
    <row r="342" spans="1:4">
      <c r="A342">
        <f t="shared" si="10"/>
        <v>340</v>
      </c>
      <c r="B342">
        <v>3400</v>
      </c>
      <c r="C342">
        <v>33705</v>
      </c>
      <c r="D342">
        <f t="shared" si="11"/>
        <v>337.05</v>
      </c>
    </row>
    <row r="343" spans="1:4">
      <c r="A343">
        <f t="shared" si="10"/>
        <v>341</v>
      </c>
      <c r="B343">
        <v>3410</v>
      </c>
      <c r="C343">
        <v>33798</v>
      </c>
      <c r="D343">
        <f t="shared" si="11"/>
        <v>337.98</v>
      </c>
    </row>
    <row r="344" spans="1:4">
      <c r="A344">
        <f t="shared" si="10"/>
        <v>342</v>
      </c>
      <c r="B344">
        <v>3420</v>
      </c>
      <c r="C344">
        <v>33891</v>
      </c>
      <c r="D344">
        <f t="shared" si="11"/>
        <v>338.91</v>
      </c>
    </row>
    <row r="345" spans="1:4">
      <c r="A345">
        <f t="shared" si="10"/>
        <v>343</v>
      </c>
      <c r="B345">
        <v>3430</v>
      </c>
      <c r="C345">
        <v>33983</v>
      </c>
      <c r="D345">
        <f t="shared" si="11"/>
        <v>339.83</v>
      </c>
    </row>
    <row r="346" spans="1:4">
      <c r="A346">
        <f t="shared" si="10"/>
        <v>344</v>
      </c>
      <c r="B346">
        <v>3440</v>
      </c>
      <c r="C346">
        <v>34076</v>
      </c>
      <c r="D346">
        <f t="shared" si="11"/>
        <v>340.76</v>
      </c>
    </row>
    <row r="347" spans="1:4">
      <c r="A347">
        <f t="shared" si="10"/>
        <v>345</v>
      </c>
      <c r="B347">
        <v>3450</v>
      </c>
      <c r="C347">
        <v>34169</v>
      </c>
      <c r="D347">
        <f t="shared" si="11"/>
        <v>341.69</v>
      </c>
    </row>
    <row r="348" spans="1:4">
      <c r="A348">
        <f t="shared" si="10"/>
        <v>346</v>
      </c>
      <c r="B348">
        <v>3460</v>
      </c>
      <c r="C348">
        <v>34262</v>
      </c>
      <c r="D348">
        <f t="shared" si="11"/>
        <v>342.62</v>
      </c>
    </row>
    <row r="349" spans="1:4">
      <c r="A349">
        <f t="shared" si="10"/>
        <v>347</v>
      </c>
      <c r="B349">
        <v>3470</v>
      </c>
      <c r="C349">
        <v>34355</v>
      </c>
      <c r="D349">
        <f t="shared" si="11"/>
        <v>343.55</v>
      </c>
    </row>
    <row r="350" spans="1:4">
      <c r="A350">
        <f t="shared" si="10"/>
        <v>348</v>
      </c>
      <c r="B350">
        <v>3480</v>
      </c>
      <c r="C350">
        <v>34447</v>
      </c>
      <c r="D350">
        <f t="shared" si="11"/>
        <v>344.47</v>
      </c>
    </row>
    <row r="351" spans="1:4">
      <c r="A351">
        <f t="shared" si="10"/>
        <v>349</v>
      </c>
      <c r="B351">
        <v>3490</v>
      </c>
      <c r="C351">
        <v>34540</v>
      </c>
      <c r="D351">
        <f t="shared" si="11"/>
        <v>345.4</v>
      </c>
    </row>
    <row r="352" spans="1:4">
      <c r="A352">
        <f t="shared" si="10"/>
        <v>350</v>
      </c>
      <c r="B352">
        <v>3500</v>
      </c>
      <c r="C352">
        <v>34633</v>
      </c>
      <c r="D352">
        <f t="shared" si="11"/>
        <v>346.33</v>
      </c>
    </row>
    <row r="353" spans="1:4">
      <c r="A353">
        <f t="shared" si="10"/>
        <v>351</v>
      </c>
      <c r="B353">
        <v>3510</v>
      </c>
      <c r="C353">
        <v>34726</v>
      </c>
      <c r="D353">
        <f t="shared" si="11"/>
        <v>347.26</v>
      </c>
    </row>
    <row r="354" spans="1:4">
      <c r="A354">
        <f t="shared" si="10"/>
        <v>352</v>
      </c>
      <c r="B354">
        <v>3520</v>
      </c>
      <c r="C354">
        <v>34819</v>
      </c>
      <c r="D354">
        <f t="shared" si="11"/>
        <v>348.19</v>
      </c>
    </row>
    <row r="355" spans="1:4">
      <c r="A355">
        <f t="shared" si="10"/>
        <v>353</v>
      </c>
      <c r="B355">
        <v>3530</v>
      </c>
      <c r="C355">
        <v>34911</v>
      </c>
      <c r="D355">
        <f t="shared" si="11"/>
        <v>349.11</v>
      </c>
    </row>
    <row r="356" spans="1:4">
      <c r="A356">
        <f t="shared" si="10"/>
        <v>354</v>
      </c>
      <c r="B356">
        <v>3540</v>
      </c>
      <c r="C356">
        <v>35004</v>
      </c>
      <c r="D356">
        <f t="shared" si="11"/>
        <v>350.04</v>
      </c>
    </row>
    <row r="357" spans="1:4">
      <c r="A357">
        <f t="shared" si="10"/>
        <v>355</v>
      </c>
      <c r="B357">
        <v>3550</v>
      </c>
      <c r="C357">
        <v>35097</v>
      </c>
      <c r="D357">
        <f t="shared" si="11"/>
        <v>350.97</v>
      </c>
    </row>
    <row r="358" spans="1:4">
      <c r="A358">
        <f t="shared" si="10"/>
        <v>356</v>
      </c>
      <c r="B358">
        <v>3560</v>
      </c>
      <c r="C358">
        <v>35190</v>
      </c>
      <c r="D358">
        <f t="shared" si="11"/>
        <v>351.9</v>
      </c>
    </row>
    <row r="359" spans="1:4">
      <c r="A359">
        <f t="shared" si="10"/>
        <v>357</v>
      </c>
      <c r="B359">
        <v>3570</v>
      </c>
      <c r="C359">
        <v>35283</v>
      </c>
      <c r="D359">
        <f t="shared" si="11"/>
        <v>352.83</v>
      </c>
    </row>
    <row r="360" spans="1:4">
      <c r="A360">
        <f t="shared" si="10"/>
        <v>358</v>
      </c>
      <c r="B360">
        <v>3580</v>
      </c>
      <c r="C360">
        <v>35376</v>
      </c>
      <c r="D360">
        <f t="shared" si="11"/>
        <v>353.76</v>
      </c>
    </row>
    <row r="361" spans="1:4">
      <c r="A361">
        <f t="shared" si="10"/>
        <v>359</v>
      </c>
      <c r="B361">
        <v>3590</v>
      </c>
      <c r="C361">
        <v>35468</v>
      </c>
      <c r="D361">
        <f t="shared" si="11"/>
        <v>354.68</v>
      </c>
    </row>
    <row r="362" spans="1:4">
      <c r="A362">
        <f t="shared" si="10"/>
        <v>360</v>
      </c>
      <c r="B362">
        <v>3600</v>
      </c>
      <c r="C362">
        <v>35561</v>
      </c>
      <c r="D362">
        <f t="shared" si="11"/>
        <v>355.61</v>
      </c>
    </row>
    <row r="363" spans="1:4">
      <c r="A363">
        <f t="shared" si="10"/>
        <v>361</v>
      </c>
      <c r="B363">
        <v>3610</v>
      </c>
      <c r="C363">
        <v>35654</v>
      </c>
      <c r="D363">
        <f t="shared" si="11"/>
        <v>356.54</v>
      </c>
    </row>
    <row r="364" spans="1:4">
      <c r="A364">
        <f t="shared" si="10"/>
        <v>362</v>
      </c>
      <c r="B364">
        <v>3620</v>
      </c>
      <c r="C364">
        <v>35747</v>
      </c>
      <c r="D364">
        <f t="shared" si="11"/>
        <v>357.47</v>
      </c>
    </row>
    <row r="365" spans="1:4">
      <c r="A365">
        <f t="shared" si="10"/>
        <v>363</v>
      </c>
      <c r="B365">
        <v>3630</v>
      </c>
      <c r="C365">
        <v>35840</v>
      </c>
      <c r="D365">
        <f t="shared" si="11"/>
        <v>358.4</v>
      </c>
    </row>
    <row r="366" spans="1:4">
      <c r="A366">
        <f t="shared" si="10"/>
        <v>364</v>
      </c>
      <c r="B366">
        <v>3640</v>
      </c>
      <c r="C366">
        <v>35932</v>
      </c>
      <c r="D366">
        <f t="shared" si="11"/>
        <v>359.32</v>
      </c>
    </row>
    <row r="367" spans="1:4">
      <c r="A367">
        <f t="shared" si="10"/>
        <v>365</v>
      </c>
      <c r="B367">
        <v>3650</v>
      </c>
      <c r="C367">
        <v>36025</v>
      </c>
      <c r="D367">
        <f t="shared" si="11"/>
        <v>360.25</v>
      </c>
    </row>
    <row r="368" spans="1:4">
      <c r="A368">
        <f t="shared" si="10"/>
        <v>366</v>
      </c>
      <c r="B368">
        <v>3660</v>
      </c>
      <c r="C368">
        <v>36118</v>
      </c>
      <c r="D368">
        <f t="shared" si="11"/>
        <v>361.18</v>
      </c>
    </row>
    <row r="369" spans="1:4">
      <c r="A369">
        <f t="shared" si="10"/>
        <v>367</v>
      </c>
      <c r="B369">
        <v>3670</v>
      </c>
      <c r="C369">
        <v>36211</v>
      </c>
      <c r="D369">
        <f t="shared" si="11"/>
        <v>362.11</v>
      </c>
    </row>
    <row r="370" spans="1:4">
      <c r="A370">
        <f t="shared" si="10"/>
        <v>368</v>
      </c>
      <c r="B370">
        <v>3680</v>
      </c>
      <c r="C370">
        <v>36304</v>
      </c>
      <c r="D370">
        <f t="shared" si="11"/>
        <v>363.04</v>
      </c>
    </row>
    <row r="371" spans="1:4">
      <c r="A371">
        <f t="shared" si="10"/>
        <v>369</v>
      </c>
      <c r="B371">
        <v>3690</v>
      </c>
      <c r="C371">
        <v>36396</v>
      </c>
      <c r="D371">
        <f t="shared" si="11"/>
        <v>363.96</v>
      </c>
    </row>
    <row r="372" spans="1:4">
      <c r="A372">
        <f t="shared" si="10"/>
        <v>370</v>
      </c>
      <c r="B372">
        <v>3700</v>
      </c>
      <c r="C372">
        <v>36489</v>
      </c>
      <c r="D372">
        <f t="shared" si="11"/>
        <v>364.89</v>
      </c>
    </row>
    <row r="373" spans="1:4">
      <c r="A373">
        <f t="shared" si="10"/>
        <v>371</v>
      </c>
      <c r="B373">
        <v>3710</v>
      </c>
      <c r="C373">
        <v>36582</v>
      </c>
      <c r="D373">
        <f t="shared" si="11"/>
        <v>365.82</v>
      </c>
    </row>
    <row r="374" spans="1:4">
      <c r="A374">
        <f t="shared" si="10"/>
        <v>372</v>
      </c>
      <c r="B374">
        <v>3720</v>
      </c>
      <c r="C374">
        <v>36675</v>
      </c>
      <c r="D374">
        <f t="shared" si="11"/>
        <v>366.75</v>
      </c>
    </row>
    <row r="375" spans="1:4">
      <c r="A375">
        <f t="shared" si="10"/>
        <v>373</v>
      </c>
      <c r="B375">
        <v>3730</v>
      </c>
      <c r="C375">
        <v>36768</v>
      </c>
      <c r="D375">
        <f t="shared" si="11"/>
        <v>367.68</v>
      </c>
    </row>
    <row r="376" spans="1:4">
      <c r="A376">
        <f t="shared" si="10"/>
        <v>374</v>
      </c>
      <c r="B376">
        <v>3740</v>
      </c>
      <c r="C376">
        <v>36860</v>
      </c>
      <c r="D376">
        <f t="shared" si="11"/>
        <v>368.6</v>
      </c>
    </row>
    <row r="377" spans="1:4">
      <c r="A377">
        <f t="shared" si="10"/>
        <v>375</v>
      </c>
      <c r="B377">
        <v>3750</v>
      </c>
      <c r="C377">
        <v>36953</v>
      </c>
      <c r="D377">
        <f t="shared" si="11"/>
        <v>369.53</v>
      </c>
    </row>
    <row r="378" spans="1:4">
      <c r="A378">
        <f t="shared" si="10"/>
        <v>376</v>
      </c>
      <c r="B378">
        <v>3760</v>
      </c>
      <c r="C378">
        <v>37046</v>
      </c>
      <c r="D378">
        <f t="shared" si="11"/>
        <v>370.46</v>
      </c>
    </row>
    <row r="379" spans="1:4">
      <c r="A379">
        <f t="shared" si="10"/>
        <v>377</v>
      </c>
      <c r="B379">
        <v>3770</v>
      </c>
      <c r="C379">
        <v>37139</v>
      </c>
      <c r="D379">
        <f t="shared" si="11"/>
        <v>371.39</v>
      </c>
    </row>
    <row r="380" spans="1:4">
      <c r="A380">
        <f t="shared" si="10"/>
        <v>378</v>
      </c>
      <c r="B380">
        <v>3780</v>
      </c>
      <c r="C380">
        <v>37232</v>
      </c>
      <c r="D380">
        <f t="shared" si="11"/>
        <v>372.32</v>
      </c>
    </row>
    <row r="381" spans="1:4">
      <c r="A381">
        <f t="shared" si="10"/>
        <v>379</v>
      </c>
      <c r="B381">
        <v>3790</v>
      </c>
      <c r="C381">
        <v>37325</v>
      </c>
      <c r="D381">
        <f t="shared" si="11"/>
        <v>373.25</v>
      </c>
    </row>
    <row r="382" spans="1:4">
      <c r="A382">
        <f t="shared" si="10"/>
        <v>380</v>
      </c>
      <c r="B382">
        <v>3800</v>
      </c>
      <c r="C382">
        <v>37417</v>
      </c>
      <c r="D382">
        <f t="shared" si="11"/>
        <v>374.17</v>
      </c>
    </row>
    <row r="383" spans="1:4">
      <c r="A383">
        <f t="shared" si="10"/>
        <v>381</v>
      </c>
      <c r="B383">
        <v>3810</v>
      </c>
      <c r="C383">
        <v>37510</v>
      </c>
      <c r="D383">
        <f t="shared" si="11"/>
        <v>375.1</v>
      </c>
    </row>
    <row r="384" spans="1:4">
      <c r="A384">
        <f t="shared" si="10"/>
        <v>382</v>
      </c>
      <c r="B384">
        <v>3820</v>
      </c>
      <c r="C384">
        <v>37603</v>
      </c>
      <c r="D384">
        <f t="shared" si="11"/>
        <v>376.03</v>
      </c>
    </row>
    <row r="385" spans="1:4">
      <c r="A385">
        <f t="shared" si="10"/>
        <v>383</v>
      </c>
      <c r="B385">
        <v>3830</v>
      </c>
      <c r="C385">
        <v>37696</v>
      </c>
      <c r="D385">
        <f t="shared" si="11"/>
        <v>376.96</v>
      </c>
    </row>
    <row r="386" spans="1:4">
      <c r="A386">
        <f t="shared" si="10"/>
        <v>384</v>
      </c>
      <c r="B386">
        <v>3840</v>
      </c>
      <c r="C386">
        <v>37789</v>
      </c>
      <c r="D386">
        <f t="shared" si="11"/>
        <v>377.89</v>
      </c>
    </row>
    <row r="387" spans="1:4">
      <c r="A387">
        <f t="shared" ref="A387:A450" si="12">$B387/10</f>
        <v>385</v>
      </c>
      <c r="B387">
        <v>3850</v>
      </c>
      <c r="C387">
        <v>37881</v>
      </c>
      <c r="D387">
        <f t="shared" ref="D387:D450" si="13">$C387/100</f>
        <v>378.81</v>
      </c>
    </row>
    <row r="388" spans="1:4">
      <c r="A388">
        <f t="shared" si="12"/>
        <v>386</v>
      </c>
      <c r="B388">
        <v>3860</v>
      </c>
      <c r="C388">
        <v>37974</v>
      </c>
      <c r="D388">
        <f t="shared" si="13"/>
        <v>379.74</v>
      </c>
    </row>
    <row r="389" spans="1:4">
      <c r="A389">
        <f t="shared" si="12"/>
        <v>387</v>
      </c>
      <c r="B389">
        <v>3870</v>
      </c>
      <c r="C389">
        <v>38067</v>
      </c>
      <c r="D389">
        <f t="shared" si="13"/>
        <v>380.67</v>
      </c>
    </row>
    <row r="390" spans="1:4">
      <c r="A390">
        <f t="shared" si="12"/>
        <v>388</v>
      </c>
      <c r="B390">
        <v>3880</v>
      </c>
      <c r="C390">
        <v>38160</v>
      </c>
      <c r="D390">
        <f t="shared" si="13"/>
        <v>381.6</v>
      </c>
    </row>
    <row r="391" spans="1:4">
      <c r="A391">
        <f t="shared" si="12"/>
        <v>389</v>
      </c>
      <c r="B391">
        <v>3890</v>
      </c>
      <c r="C391">
        <v>38253</v>
      </c>
      <c r="D391">
        <f t="shared" si="13"/>
        <v>382.53</v>
      </c>
    </row>
    <row r="392" spans="1:4">
      <c r="A392">
        <f t="shared" si="12"/>
        <v>390</v>
      </c>
      <c r="B392">
        <v>3900</v>
      </c>
      <c r="C392">
        <v>38345</v>
      </c>
      <c r="D392">
        <f t="shared" si="13"/>
        <v>383.45</v>
      </c>
    </row>
    <row r="393" spans="1:4">
      <c r="A393">
        <f t="shared" si="12"/>
        <v>391</v>
      </c>
      <c r="B393">
        <v>3910</v>
      </c>
      <c r="C393">
        <v>38438</v>
      </c>
      <c r="D393">
        <f t="shared" si="13"/>
        <v>384.38</v>
      </c>
    </row>
    <row r="394" spans="1:4">
      <c r="A394">
        <f t="shared" si="12"/>
        <v>392</v>
      </c>
      <c r="B394">
        <v>3920</v>
      </c>
      <c r="C394">
        <v>38531</v>
      </c>
      <c r="D394">
        <f t="shared" si="13"/>
        <v>385.31</v>
      </c>
    </row>
    <row r="395" spans="1:4">
      <c r="A395">
        <f t="shared" si="12"/>
        <v>393</v>
      </c>
      <c r="B395">
        <v>3930</v>
      </c>
      <c r="C395">
        <v>38624</v>
      </c>
      <c r="D395">
        <f t="shared" si="13"/>
        <v>386.24</v>
      </c>
    </row>
    <row r="396" spans="1:4">
      <c r="A396">
        <f t="shared" si="12"/>
        <v>394</v>
      </c>
      <c r="B396">
        <v>3940</v>
      </c>
      <c r="C396">
        <v>38717</v>
      </c>
      <c r="D396">
        <f t="shared" si="13"/>
        <v>387.17</v>
      </c>
    </row>
    <row r="397" spans="1:4">
      <c r="A397">
        <f t="shared" si="12"/>
        <v>395</v>
      </c>
      <c r="B397">
        <v>3950</v>
      </c>
      <c r="C397">
        <v>38809</v>
      </c>
      <c r="D397">
        <f t="shared" si="13"/>
        <v>388.09</v>
      </c>
    </row>
    <row r="398" spans="1:4">
      <c r="A398">
        <f t="shared" si="12"/>
        <v>396</v>
      </c>
      <c r="B398">
        <v>3960</v>
      </c>
      <c r="C398">
        <v>38902</v>
      </c>
      <c r="D398">
        <f t="shared" si="13"/>
        <v>389.02</v>
      </c>
    </row>
    <row r="399" spans="1:4">
      <c r="A399">
        <f t="shared" si="12"/>
        <v>397</v>
      </c>
      <c r="B399">
        <v>3970</v>
      </c>
      <c r="C399">
        <v>38995</v>
      </c>
      <c r="D399">
        <f t="shared" si="13"/>
        <v>389.95</v>
      </c>
    </row>
    <row r="400" spans="1:4">
      <c r="A400">
        <f t="shared" si="12"/>
        <v>398</v>
      </c>
      <c r="B400">
        <v>3980</v>
      </c>
      <c r="C400">
        <v>39088</v>
      </c>
      <c r="D400">
        <f t="shared" si="13"/>
        <v>390.88</v>
      </c>
    </row>
    <row r="401" spans="1:4">
      <c r="A401">
        <f t="shared" si="12"/>
        <v>399</v>
      </c>
      <c r="B401">
        <v>3990</v>
      </c>
      <c r="C401">
        <v>39181</v>
      </c>
      <c r="D401">
        <f t="shared" si="13"/>
        <v>391.81</v>
      </c>
    </row>
    <row r="402" spans="1:4">
      <c r="A402">
        <f t="shared" si="12"/>
        <v>400</v>
      </c>
      <c r="B402">
        <v>4000</v>
      </c>
      <c r="C402">
        <v>39274</v>
      </c>
      <c r="D402">
        <f t="shared" si="13"/>
        <v>392.74</v>
      </c>
    </row>
    <row r="403" spans="1:4">
      <c r="A403">
        <f t="shared" si="12"/>
        <v>401</v>
      </c>
      <c r="B403">
        <v>4010</v>
      </c>
      <c r="C403">
        <v>39366</v>
      </c>
      <c r="D403">
        <f t="shared" si="13"/>
        <v>393.66</v>
      </c>
    </row>
    <row r="404" spans="1:4">
      <c r="A404">
        <f t="shared" si="12"/>
        <v>402</v>
      </c>
      <c r="B404">
        <v>4020</v>
      </c>
      <c r="C404">
        <v>39459</v>
      </c>
      <c r="D404">
        <f t="shared" si="13"/>
        <v>394.59</v>
      </c>
    </row>
    <row r="405" spans="1:4">
      <c r="A405">
        <f t="shared" si="12"/>
        <v>403</v>
      </c>
      <c r="B405">
        <v>4030</v>
      </c>
      <c r="C405">
        <v>39552</v>
      </c>
      <c r="D405">
        <f t="shared" si="13"/>
        <v>395.52</v>
      </c>
    </row>
    <row r="406" spans="1:4">
      <c r="A406">
        <f t="shared" si="12"/>
        <v>404</v>
      </c>
      <c r="B406">
        <v>4040</v>
      </c>
      <c r="C406">
        <v>39645</v>
      </c>
      <c r="D406">
        <f t="shared" si="13"/>
        <v>396.45</v>
      </c>
    </row>
    <row r="407" spans="1:4">
      <c r="A407">
        <f t="shared" si="12"/>
        <v>405</v>
      </c>
      <c r="B407">
        <v>4050</v>
      </c>
      <c r="C407">
        <v>39738</v>
      </c>
      <c r="D407">
        <f t="shared" si="13"/>
        <v>397.38</v>
      </c>
    </row>
    <row r="408" spans="1:4">
      <c r="A408">
        <f t="shared" si="12"/>
        <v>406</v>
      </c>
      <c r="B408">
        <v>4060</v>
      </c>
      <c r="C408">
        <v>39830</v>
      </c>
      <c r="D408">
        <f t="shared" si="13"/>
        <v>398.3</v>
      </c>
    </row>
    <row r="409" spans="1:4">
      <c r="A409">
        <f t="shared" si="12"/>
        <v>407</v>
      </c>
      <c r="B409">
        <v>4070</v>
      </c>
      <c r="C409">
        <v>39923</v>
      </c>
      <c r="D409">
        <f t="shared" si="13"/>
        <v>399.23</v>
      </c>
    </row>
    <row r="410" spans="1:4">
      <c r="A410">
        <f t="shared" si="12"/>
        <v>408</v>
      </c>
      <c r="B410">
        <v>4080</v>
      </c>
      <c r="C410">
        <v>40016</v>
      </c>
      <c r="D410">
        <f t="shared" si="13"/>
        <v>400.16</v>
      </c>
    </row>
    <row r="411" spans="1:4">
      <c r="A411">
        <f t="shared" si="12"/>
        <v>409</v>
      </c>
      <c r="B411">
        <v>4090</v>
      </c>
      <c r="C411">
        <v>40109</v>
      </c>
      <c r="D411">
        <f t="shared" si="13"/>
        <v>401.09</v>
      </c>
    </row>
    <row r="412" spans="1:4">
      <c r="A412">
        <f t="shared" si="12"/>
        <v>410</v>
      </c>
      <c r="B412">
        <v>4100</v>
      </c>
      <c r="C412">
        <v>40202</v>
      </c>
      <c r="D412">
        <f t="shared" si="13"/>
        <v>402.02</v>
      </c>
    </row>
    <row r="413" spans="1:4">
      <c r="A413">
        <f t="shared" si="12"/>
        <v>411</v>
      </c>
      <c r="B413">
        <v>4110</v>
      </c>
      <c r="C413">
        <v>40294</v>
      </c>
      <c r="D413">
        <f t="shared" si="13"/>
        <v>402.94</v>
      </c>
    </row>
    <row r="414" spans="1:4">
      <c r="A414">
        <f t="shared" si="12"/>
        <v>412</v>
      </c>
      <c r="B414">
        <v>4120</v>
      </c>
      <c r="C414">
        <v>40387</v>
      </c>
      <c r="D414">
        <f t="shared" si="13"/>
        <v>403.87</v>
      </c>
    </row>
    <row r="415" spans="1:4">
      <c r="A415">
        <f t="shared" si="12"/>
        <v>413</v>
      </c>
      <c r="B415">
        <v>4130</v>
      </c>
      <c r="C415">
        <v>40480</v>
      </c>
      <c r="D415">
        <f t="shared" si="13"/>
        <v>404.8</v>
      </c>
    </row>
    <row r="416" spans="1:4">
      <c r="A416">
        <f t="shared" si="12"/>
        <v>414</v>
      </c>
      <c r="B416">
        <v>4140</v>
      </c>
      <c r="C416">
        <v>40573</v>
      </c>
      <c r="D416">
        <f t="shared" si="13"/>
        <v>405.73</v>
      </c>
    </row>
    <row r="417" spans="1:4">
      <c r="A417">
        <f t="shared" si="12"/>
        <v>415</v>
      </c>
      <c r="B417">
        <v>4150</v>
      </c>
      <c r="C417">
        <v>40666</v>
      </c>
      <c r="D417">
        <f t="shared" si="13"/>
        <v>406.66</v>
      </c>
    </row>
    <row r="418" spans="1:4">
      <c r="A418">
        <f t="shared" si="12"/>
        <v>416</v>
      </c>
      <c r="B418">
        <v>4160</v>
      </c>
      <c r="C418">
        <v>40758</v>
      </c>
      <c r="D418">
        <f t="shared" si="13"/>
        <v>407.58</v>
      </c>
    </row>
    <row r="419" spans="1:4">
      <c r="A419">
        <f t="shared" si="12"/>
        <v>417</v>
      </c>
      <c r="B419">
        <v>4170</v>
      </c>
      <c r="C419">
        <v>40851</v>
      </c>
      <c r="D419">
        <f t="shared" si="13"/>
        <v>408.51</v>
      </c>
    </row>
    <row r="420" spans="1:4">
      <c r="A420">
        <f t="shared" si="12"/>
        <v>418</v>
      </c>
      <c r="B420">
        <v>4180</v>
      </c>
      <c r="C420">
        <v>40944</v>
      </c>
      <c r="D420">
        <f t="shared" si="13"/>
        <v>409.44</v>
      </c>
    </row>
    <row r="421" spans="1:4">
      <c r="A421">
        <f t="shared" si="12"/>
        <v>419</v>
      </c>
      <c r="B421">
        <v>4190</v>
      </c>
      <c r="C421">
        <v>41037</v>
      </c>
      <c r="D421">
        <f t="shared" si="13"/>
        <v>410.37</v>
      </c>
    </row>
    <row r="422" spans="1:4">
      <c r="A422">
        <f t="shared" si="12"/>
        <v>420</v>
      </c>
      <c r="B422">
        <v>4200</v>
      </c>
      <c r="C422">
        <v>41130</v>
      </c>
      <c r="D422">
        <f t="shared" si="13"/>
        <v>411.3</v>
      </c>
    </row>
    <row r="423" spans="1:4">
      <c r="A423">
        <f t="shared" si="12"/>
        <v>421</v>
      </c>
      <c r="B423">
        <v>4210</v>
      </c>
      <c r="C423">
        <v>41223</v>
      </c>
      <c r="D423">
        <f t="shared" si="13"/>
        <v>412.23</v>
      </c>
    </row>
    <row r="424" spans="1:4">
      <c r="A424">
        <f t="shared" si="12"/>
        <v>422</v>
      </c>
      <c r="B424">
        <v>4220</v>
      </c>
      <c r="C424">
        <v>41315</v>
      </c>
      <c r="D424">
        <f t="shared" si="13"/>
        <v>413.15</v>
      </c>
    </row>
    <row r="425" spans="1:4">
      <c r="A425">
        <f t="shared" si="12"/>
        <v>423</v>
      </c>
      <c r="B425">
        <v>4230</v>
      </c>
      <c r="C425">
        <v>41408</v>
      </c>
      <c r="D425">
        <f t="shared" si="13"/>
        <v>414.08</v>
      </c>
    </row>
    <row r="426" spans="1:4">
      <c r="A426">
        <f t="shared" si="12"/>
        <v>424</v>
      </c>
      <c r="B426">
        <v>4240</v>
      </c>
      <c r="C426">
        <v>41501</v>
      </c>
      <c r="D426">
        <f t="shared" si="13"/>
        <v>415.01</v>
      </c>
    </row>
    <row r="427" spans="1:4">
      <c r="A427">
        <f t="shared" si="12"/>
        <v>425</v>
      </c>
      <c r="B427">
        <v>4250</v>
      </c>
      <c r="C427">
        <v>41594</v>
      </c>
      <c r="D427">
        <f t="shared" si="13"/>
        <v>415.94</v>
      </c>
    </row>
    <row r="428" spans="1:4">
      <c r="A428">
        <f t="shared" si="12"/>
        <v>426</v>
      </c>
      <c r="B428">
        <v>4260</v>
      </c>
      <c r="C428">
        <v>41687</v>
      </c>
      <c r="D428">
        <f t="shared" si="13"/>
        <v>416.87</v>
      </c>
    </row>
    <row r="429" spans="1:4">
      <c r="A429">
        <f t="shared" si="12"/>
        <v>427</v>
      </c>
      <c r="B429">
        <v>4270</v>
      </c>
      <c r="C429">
        <v>41779</v>
      </c>
      <c r="D429">
        <f t="shared" si="13"/>
        <v>417.79</v>
      </c>
    </row>
    <row r="430" spans="1:4">
      <c r="A430">
        <f t="shared" si="12"/>
        <v>428</v>
      </c>
      <c r="B430">
        <v>4280</v>
      </c>
      <c r="C430">
        <v>41872</v>
      </c>
      <c r="D430">
        <f t="shared" si="13"/>
        <v>418.72</v>
      </c>
    </row>
    <row r="431" spans="1:4">
      <c r="A431">
        <f t="shared" si="12"/>
        <v>429</v>
      </c>
      <c r="B431">
        <v>4290</v>
      </c>
      <c r="C431">
        <v>41965</v>
      </c>
      <c r="D431">
        <f t="shared" si="13"/>
        <v>419.65</v>
      </c>
    </row>
    <row r="432" spans="1:4">
      <c r="A432">
        <f t="shared" si="12"/>
        <v>430</v>
      </c>
      <c r="B432">
        <v>4300</v>
      </c>
      <c r="C432">
        <v>42058</v>
      </c>
      <c r="D432">
        <f t="shared" si="13"/>
        <v>420.58</v>
      </c>
    </row>
    <row r="433" spans="1:4">
      <c r="A433">
        <f t="shared" si="12"/>
        <v>431</v>
      </c>
      <c r="B433">
        <v>4310</v>
      </c>
      <c r="C433">
        <v>42151</v>
      </c>
      <c r="D433">
        <f t="shared" si="13"/>
        <v>421.51</v>
      </c>
    </row>
    <row r="434" spans="1:4">
      <c r="A434">
        <f t="shared" si="12"/>
        <v>432</v>
      </c>
      <c r="B434">
        <v>4320</v>
      </c>
      <c r="C434">
        <v>42243</v>
      </c>
      <c r="D434">
        <f t="shared" si="13"/>
        <v>422.43</v>
      </c>
    </row>
    <row r="435" spans="1:4">
      <c r="A435">
        <f t="shared" si="12"/>
        <v>433</v>
      </c>
      <c r="B435">
        <v>4330</v>
      </c>
      <c r="C435">
        <v>42336</v>
      </c>
      <c r="D435">
        <f t="shared" si="13"/>
        <v>423.36</v>
      </c>
    </row>
    <row r="436" spans="1:4">
      <c r="A436">
        <f t="shared" si="12"/>
        <v>434</v>
      </c>
      <c r="B436">
        <v>4340</v>
      </c>
      <c r="C436">
        <v>42429</v>
      </c>
      <c r="D436">
        <f t="shared" si="13"/>
        <v>424.29</v>
      </c>
    </row>
    <row r="437" spans="1:4">
      <c r="A437">
        <f t="shared" si="12"/>
        <v>435</v>
      </c>
      <c r="B437">
        <v>4350</v>
      </c>
      <c r="C437">
        <v>42522</v>
      </c>
      <c r="D437">
        <f t="shared" si="13"/>
        <v>425.22</v>
      </c>
    </row>
    <row r="438" spans="1:4">
      <c r="A438">
        <f t="shared" si="12"/>
        <v>436</v>
      </c>
      <c r="B438">
        <v>4360</v>
      </c>
      <c r="C438">
        <v>42615</v>
      </c>
      <c r="D438">
        <f t="shared" si="13"/>
        <v>426.15</v>
      </c>
    </row>
    <row r="439" spans="1:4">
      <c r="A439">
        <f t="shared" si="12"/>
        <v>437</v>
      </c>
      <c r="B439">
        <v>4370</v>
      </c>
      <c r="C439">
        <v>42707</v>
      </c>
      <c r="D439">
        <f t="shared" si="13"/>
        <v>427.07</v>
      </c>
    </row>
    <row r="440" spans="1:4">
      <c r="A440">
        <f t="shared" si="12"/>
        <v>438</v>
      </c>
      <c r="B440">
        <v>4380</v>
      </c>
      <c r="C440">
        <v>42800</v>
      </c>
      <c r="D440">
        <f t="shared" si="13"/>
        <v>428</v>
      </c>
    </row>
    <row r="441" spans="1:4">
      <c r="A441">
        <f t="shared" si="12"/>
        <v>439</v>
      </c>
      <c r="B441">
        <v>4390</v>
      </c>
      <c r="C441">
        <v>42893</v>
      </c>
      <c r="D441">
        <f t="shared" si="13"/>
        <v>428.93</v>
      </c>
    </row>
    <row r="442" spans="1:4">
      <c r="A442">
        <f t="shared" si="12"/>
        <v>440</v>
      </c>
      <c r="B442">
        <v>4400</v>
      </c>
      <c r="C442">
        <v>42986</v>
      </c>
      <c r="D442">
        <f t="shared" si="13"/>
        <v>429.86</v>
      </c>
    </row>
    <row r="443" spans="1:4">
      <c r="A443">
        <f t="shared" si="12"/>
        <v>441</v>
      </c>
      <c r="B443">
        <v>4410</v>
      </c>
      <c r="C443">
        <v>43079</v>
      </c>
      <c r="D443">
        <f t="shared" si="13"/>
        <v>430.79</v>
      </c>
    </row>
    <row r="444" spans="1:4">
      <c r="A444">
        <f t="shared" si="12"/>
        <v>442</v>
      </c>
      <c r="B444">
        <v>4420</v>
      </c>
      <c r="C444">
        <v>43172</v>
      </c>
      <c r="D444">
        <f t="shared" si="13"/>
        <v>431.72</v>
      </c>
    </row>
    <row r="445" spans="1:4">
      <c r="A445">
        <f t="shared" si="12"/>
        <v>443</v>
      </c>
      <c r="B445">
        <v>4430</v>
      </c>
      <c r="C445">
        <v>43264</v>
      </c>
      <c r="D445">
        <f t="shared" si="13"/>
        <v>432.64</v>
      </c>
    </row>
    <row r="446" spans="1:4">
      <c r="A446">
        <f t="shared" si="12"/>
        <v>444</v>
      </c>
      <c r="B446">
        <v>4440</v>
      </c>
      <c r="C446">
        <v>43357</v>
      </c>
      <c r="D446">
        <f t="shared" si="13"/>
        <v>433.57</v>
      </c>
    </row>
    <row r="447" spans="1:4">
      <c r="A447">
        <f t="shared" si="12"/>
        <v>445</v>
      </c>
      <c r="B447">
        <v>4450</v>
      </c>
      <c r="C447">
        <v>43450</v>
      </c>
      <c r="D447">
        <f t="shared" si="13"/>
        <v>434.5</v>
      </c>
    </row>
    <row r="448" spans="1:4">
      <c r="A448">
        <f t="shared" si="12"/>
        <v>446</v>
      </c>
      <c r="B448">
        <v>4460</v>
      </c>
      <c r="C448">
        <v>43543</v>
      </c>
      <c r="D448">
        <f t="shared" si="13"/>
        <v>435.43</v>
      </c>
    </row>
    <row r="449" spans="1:4">
      <c r="A449">
        <f t="shared" si="12"/>
        <v>447</v>
      </c>
      <c r="B449">
        <v>4470</v>
      </c>
      <c r="C449">
        <v>43636</v>
      </c>
      <c r="D449">
        <f t="shared" si="13"/>
        <v>436.36</v>
      </c>
    </row>
    <row r="450" spans="1:4">
      <c r="A450">
        <f t="shared" si="12"/>
        <v>448</v>
      </c>
      <c r="B450">
        <v>4480</v>
      </c>
      <c r="C450">
        <v>43728</v>
      </c>
      <c r="D450">
        <f t="shared" si="13"/>
        <v>437.28</v>
      </c>
    </row>
    <row r="451" spans="1:4">
      <c r="A451">
        <f t="shared" ref="A451:A514" si="14">$B451/10</f>
        <v>449</v>
      </c>
      <c r="B451">
        <v>4490</v>
      </c>
      <c r="C451">
        <v>43821</v>
      </c>
      <c r="D451">
        <f t="shared" ref="D451:D514" si="15">$C451/100</f>
        <v>438.21</v>
      </c>
    </row>
    <row r="452" spans="1:4">
      <c r="A452">
        <f t="shared" si="14"/>
        <v>450</v>
      </c>
      <c r="B452">
        <v>4500</v>
      </c>
      <c r="C452">
        <v>43914</v>
      </c>
      <c r="D452">
        <f t="shared" si="15"/>
        <v>439.14</v>
      </c>
    </row>
    <row r="453" spans="1:4">
      <c r="A453">
        <f t="shared" si="14"/>
        <v>451</v>
      </c>
      <c r="B453">
        <v>4510</v>
      </c>
      <c r="C453">
        <v>44007</v>
      </c>
      <c r="D453">
        <f t="shared" si="15"/>
        <v>440.07</v>
      </c>
    </row>
    <row r="454" spans="1:4">
      <c r="A454">
        <f t="shared" si="14"/>
        <v>452</v>
      </c>
      <c r="B454">
        <v>4520</v>
      </c>
      <c r="C454">
        <v>44100</v>
      </c>
      <c r="D454">
        <f t="shared" si="15"/>
        <v>441</v>
      </c>
    </row>
    <row r="455" spans="1:4">
      <c r="A455">
        <f t="shared" si="14"/>
        <v>453</v>
      </c>
      <c r="B455">
        <v>4530</v>
      </c>
      <c r="C455">
        <v>44192</v>
      </c>
      <c r="D455">
        <f t="shared" si="15"/>
        <v>441.92</v>
      </c>
    </row>
    <row r="456" spans="1:4">
      <c r="A456">
        <f t="shared" si="14"/>
        <v>454</v>
      </c>
      <c r="B456">
        <v>4540</v>
      </c>
      <c r="C456">
        <v>44285</v>
      </c>
      <c r="D456">
        <f t="shared" si="15"/>
        <v>442.85</v>
      </c>
    </row>
    <row r="457" spans="1:4">
      <c r="A457">
        <f t="shared" si="14"/>
        <v>455</v>
      </c>
      <c r="B457">
        <v>4550</v>
      </c>
      <c r="C457">
        <v>44378</v>
      </c>
      <c r="D457">
        <f t="shared" si="15"/>
        <v>443.78</v>
      </c>
    </row>
    <row r="458" spans="1:4">
      <c r="A458">
        <f t="shared" si="14"/>
        <v>456</v>
      </c>
      <c r="B458">
        <v>4560</v>
      </c>
      <c r="C458">
        <v>44468</v>
      </c>
      <c r="D458">
        <f t="shared" si="15"/>
        <v>444.68</v>
      </c>
    </row>
    <row r="459" spans="1:4">
      <c r="A459">
        <f t="shared" si="14"/>
        <v>457</v>
      </c>
      <c r="B459">
        <v>4570</v>
      </c>
      <c r="C459">
        <v>44560</v>
      </c>
      <c r="D459">
        <f t="shared" si="15"/>
        <v>445.6</v>
      </c>
    </row>
    <row r="460" spans="1:4">
      <c r="A460">
        <f t="shared" si="14"/>
        <v>458</v>
      </c>
      <c r="B460">
        <v>4580</v>
      </c>
      <c r="C460">
        <v>44651</v>
      </c>
      <c r="D460">
        <f t="shared" si="15"/>
        <v>446.51</v>
      </c>
    </row>
    <row r="461" spans="1:4">
      <c r="A461">
        <f t="shared" si="14"/>
        <v>459</v>
      </c>
      <c r="B461">
        <v>4590</v>
      </c>
      <c r="C461">
        <v>44738</v>
      </c>
      <c r="D461">
        <f t="shared" si="15"/>
        <v>447.38</v>
      </c>
    </row>
    <row r="462" spans="1:4">
      <c r="A462">
        <f t="shared" si="14"/>
        <v>460</v>
      </c>
      <c r="B462">
        <v>4600</v>
      </c>
      <c r="C462">
        <v>44822</v>
      </c>
      <c r="D462">
        <f t="shared" si="15"/>
        <v>448.22</v>
      </c>
    </row>
    <row r="463" spans="1:4">
      <c r="A463">
        <f t="shared" si="14"/>
        <v>461</v>
      </c>
      <c r="B463">
        <v>4610</v>
      </c>
      <c r="C463">
        <v>44902</v>
      </c>
      <c r="D463">
        <f t="shared" si="15"/>
        <v>449.02</v>
      </c>
    </row>
    <row r="464" spans="1:4">
      <c r="A464">
        <f t="shared" si="14"/>
        <v>462</v>
      </c>
      <c r="B464">
        <v>4620</v>
      </c>
      <c r="C464">
        <v>44980</v>
      </c>
      <c r="D464">
        <f t="shared" si="15"/>
        <v>449.8</v>
      </c>
    </row>
    <row r="465" spans="1:4">
      <c r="A465">
        <f t="shared" si="14"/>
        <v>463</v>
      </c>
      <c r="B465">
        <v>4630</v>
      </c>
      <c r="C465">
        <v>45052</v>
      </c>
      <c r="D465">
        <f t="shared" si="15"/>
        <v>450.52</v>
      </c>
    </row>
    <row r="466" spans="1:4">
      <c r="A466">
        <f t="shared" si="14"/>
        <v>464</v>
      </c>
      <c r="B466">
        <v>4640</v>
      </c>
      <c r="C466">
        <v>45122</v>
      </c>
      <c r="D466">
        <f t="shared" si="15"/>
        <v>451.22</v>
      </c>
    </row>
    <row r="467" spans="1:4">
      <c r="A467">
        <f t="shared" si="14"/>
        <v>465</v>
      </c>
      <c r="B467">
        <v>4650</v>
      </c>
      <c r="C467">
        <v>45190</v>
      </c>
      <c r="D467">
        <f t="shared" si="15"/>
        <v>451.9</v>
      </c>
    </row>
    <row r="468" spans="1:4">
      <c r="A468">
        <f t="shared" si="14"/>
        <v>466</v>
      </c>
      <c r="B468">
        <v>4660</v>
      </c>
      <c r="C468">
        <v>45251</v>
      </c>
      <c r="D468">
        <f t="shared" si="15"/>
        <v>452.51</v>
      </c>
    </row>
    <row r="469" spans="1:4">
      <c r="A469">
        <f t="shared" si="14"/>
        <v>467</v>
      </c>
      <c r="B469">
        <v>4670</v>
      </c>
      <c r="C469">
        <v>45313</v>
      </c>
      <c r="D469">
        <f t="shared" si="15"/>
        <v>453.13</v>
      </c>
    </row>
    <row r="470" spans="1:4">
      <c r="A470">
        <f t="shared" si="14"/>
        <v>468</v>
      </c>
      <c r="B470">
        <v>4680</v>
      </c>
      <c r="C470">
        <v>45370</v>
      </c>
      <c r="D470">
        <f t="shared" si="15"/>
        <v>453.7</v>
      </c>
    </row>
    <row r="471" spans="1:4">
      <c r="A471">
        <f t="shared" si="14"/>
        <v>469</v>
      </c>
      <c r="B471">
        <v>4690</v>
      </c>
      <c r="C471">
        <v>45422</v>
      </c>
      <c r="D471">
        <f t="shared" si="15"/>
        <v>454.22</v>
      </c>
    </row>
    <row r="472" spans="1:4">
      <c r="A472">
        <f t="shared" si="14"/>
        <v>470</v>
      </c>
      <c r="B472">
        <v>4700</v>
      </c>
      <c r="C472">
        <v>45474</v>
      </c>
      <c r="D472">
        <f t="shared" si="15"/>
        <v>454.74</v>
      </c>
    </row>
    <row r="473" spans="1:4">
      <c r="A473">
        <f t="shared" si="14"/>
        <v>471</v>
      </c>
      <c r="B473">
        <v>4710</v>
      </c>
      <c r="C473">
        <v>45522</v>
      </c>
      <c r="D473">
        <f t="shared" si="15"/>
        <v>455.22</v>
      </c>
    </row>
    <row r="474" spans="1:4">
      <c r="A474">
        <f t="shared" si="14"/>
        <v>472</v>
      </c>
      <c r="B474">
        <v>4720</v>
      </c>
      <c r="C474">
        <v>45567</v>
      </c>
      <c r="D474">
        <f t="shared" si="15"/>
        <v>455.67</v>
      </c>
    </row>
    <row r="475" spans="1:4">
      <c r="A475">
        <f t="shared" si="14"/>
        <v>473</v>
      </c>
      <c r="B475">
        <v>4730</v>
      </c>
      <c r="C475">
        <v>45610</v>
      </c>
      <c r="D475">
        <f t="shared" si="15"/>
        <v>456.1</v>
      </c>
    </row>
    <row r="476" spans="1:4">
      <c r="A476">
        <f t="shared" si="14"/>
        <v>474</v>
      </c>
      <c r="B476">
        <v>4740</v>
      </c>
      <c r="C476">
        <v>45650</v>
      </c>
      <c r="D476">
        <f t="shared" si="15"/>
        <v>456.5</v>
      </c>
    </row>
    <row r="477" spans="1:4">
      <c r="A477">
        <f t="shared" si="14"/>
        <v>475</v>
      </c>
      <c r="B477">
        <v>4750</v>
      </c>
      <c r="C477">
        <v>45687</v>
      </c>
      <c r="D477">
        <f t="shared" si="15"/>
        <v>456.87</v>
      </c>
    </row>
    <row r="478" spans="1:4">
      <c r="A478">
        <f t="shared" si="14"/>
        <v>476</v>
      </c>
      <c r="B478">
        <v>4760</v>
      </c>
      <c r="C478">
        <v>45722</v>
      </c>
      <c r="D478">
        <f t="shared" si="15"/>
        <v>457.22</v>
      </c>
    </row>
    <row r="479" spans="1:4">
      <c r="A479">
        <f t="shared" si="14"/>
        <v>477</v>
      </c>
      <c r="B479">
        <v>4770</v>
      </c>
      <c r="C479">
        <v>45755</v>
      </c>
      <c r="D479">
        <f t="shared" si="15"/>
        <v>457.55</v>
      </c>
    </row>
    <row r="480" spans="1:4">
      <c r="A480">
        <f t="shared" si="14"/>
        <v>478</v>
      </c>
      <c r="B480">
        <v>4780</v>
      </c>
      <c r="C480">
        <v>45785</v>
      </c>
      <c r="D480">
        <f t="shared" si="15"/>
        <v>457.85</v>
      </c>
    </row>
    <row r="481" spans="1:4">
      <c r="A481">
        <f t="shared" si="14"/>
        <v>479</v>
      </c>
      <c r="B481">
        <v>4790</v>
      </c>
      <c r="C481">
        <v>45814</v>
      </c>
      <c r="D481">
        <f t="shared" si="15"/>
        <v>458.14</v>
      </c>
    </row>
    <row r="482" spans="1:4">
      <c r="A482">
        <f t="shared" si="14"/>
        <v>480</v>
      </c>
      <c r="B482">
        <v>4800</v>
      </c>
      <c r="C482">
        <v>45840</v>
      </c>
      <c r="D482">
        <f t="shared" si="15"/>
        <v>458.4</v>
      </c>
    </row>
    <row r="483" spans="1:4">
      <c r="A483">
        <f t="shared" si="14"/>
        <v>481</v>
      </c>
      <c r="B483">
        <v>4810</v>
      </c>
      <c r="C483">
        <v>45864</v>
      </c>
      <c r="D483">
        <f t="shared" si="15"/>
        <v>458.64</v>
      </c>
    </row>
    <row r="484" spans="1:4">
      <c r="A484">
        <f t="shared" si="14"/>
        <v>482</v>
      </c>
      <c r="B484">
        <v>4820</v>
      </c>
      <c r="C484">
        <v>45886</v>
      </c>
      <c r="D484">
        <f t="shared" si="15"/>
        <v>458.86</v>
      </c>
    </row>
    <row r="485" spans="1:4">
      <c r="A485">
        <f t="shared" si="14"/>
        <v>483</v>
      </c>
      <c r="B485">
        <v>4830</v>
      </c>
      <c r="C485">
        <v>45907</v>
      </c>
      <c r="D485">
        <f t="shared" si="15"/>
        <v>459.07</v>
      </c>
    </row>
    <row r="486" spans="1:4">
      <c r="A486">
        <f t="shared" si="14"/>
        <v>484</v>
      </c>
      <c r="B486">
        <v>4840</v>
      </c>
      <c r="C486">
        <v>45926</v>
      </c>
      <c r="D486">
        <f t="shared" si="15"/>
        <v>459.26</v>
      </c>
    </row>
    <row r="487" spans="1:4">
      <c r="A487">
        <f t="shared" si="14"/>
        <v>485</v>
      </c>
      <c r="B487">
        <v>4850</v>
      </c>
      <c r="C487">
        <v>45943</v>
      </c>
      <c r="D487">
        <f t="shared" si="15"/>
        <v>459.43</v>
      </c>
    </row>
    <row r="488" spans="1:4">
      <c r="A488">
        <f t="shared" si="14"/>
        <v>486</v>
      </c>
      <c r="B488">
        <v>4860</v>
      </c>
      <c r="C488">
        <v>45959</v>
      </c>
      <c r="D488">
        <f t="shared" si="15"/>
        <v>459.59</v>
      </c>
    </row>
    <row r="489" spans="1:4">
      <c r="A489">
        <f t="shared" si="14"/>
        <v>487</v>
      </c>
      <c r="B489">
        <v>4870</v>
      </c>
      <c r="C489">
        <v>45973</v>
      </c>
      <c r="D489">
        <f t="shared" si="15"/>
        <v>459.73</v>
      </c>
    </row>
    <row r="490" spans="1:4">
      <c r="A490">
        <f t="shared" si="14"/>
        <v>488</v>
      </c>
      <c r="B490">
        <v>4880</v>
      </c>
      <c r="C490">
        <v>45985</v>
      </c>
      <c r="D490">
        <f t="shared" si="15"/>
        <v>459.85</v>
      </c>
    </row>
    <row r="491" spans="1:4">
      <c r="A491">
        <f t="shared" si="14"/>
        <v>489</v>
      </c>
      <c r="B491">
        <v>4890</v>
      </c>
      <c r="C491">
        <v>45997</v>
      </c>
      <c r="D491">
        <f t="shared" si="15"/>
        <v>459.97</v>
      </c>
    </row>
    <row r="492" spans="1:4">
      <c r="A492">
        <f t="shared" si="14"/>
        <v>490</v>
      </c>
      <c r="B492">
        <v>4900</v>
      </c>
      <c r="C492">
        <v>46007</v>
      </c>
      <c r="D492">
        <f t="shared" si="15"/>
        <v>460.07</v>
      </c>
    </row>
    <row r="493" spans="1:4">
      <c r="A493">
        <f t="shared" si="14"/>
        <v>491</v>
      </c>
      <c r="B493">
        <v>4910</v>
      </c>
      <c r="C493">
        <v>46016</v>
      </c>
      <c r="D493">
        <f t="shared" si="15"/>
        <v>460.16</v>
      </c>
    </row>
    <row r="494" spans="1:4">
      <c r="A494">
        <f t="shared" si="14"/>
        <v>492</v>
      </c>
      <c r="B494">
        <v>4920</v>
      </c>
      <c r="C494">
        <v>46024</v>
      </c>
      <c r="D494">
        <f t="shared" si="15"/>
        <v>460.24</v>
      </c>
    </row>
    <row r="495" spans="1:4">
      <c r="A495">
        <f t="shared" si="14"/>
        <v>493</v>
      </c>
      <c r="B495">
        <v>4930</v>
      </c>
      <c r="C495">
        <v>46031</v>
      </c>
      <c r="D495">
        <f t="shared" si="15"/>
        <v>460.31</v>
      </c>
    </row>
    <row r="496" spans="1:4">
      <c r="A496">
        <f t="shared" si="14"/>
        <v>494</v>
      </c>
      <c r="B496">
        <v>4940</v>
      </c>
      <c r="C496">
        <v>46037</v>
      </c>
      <c r="D496">
        <f t="shared" si="15"/>
        <v>460.37</v>
      </c>
    </row>
    <row r="497" spans="1:4">
      <c r="A497">
        <f t="shared" si="14"/>
        <v>495</v>
      </c>
      <c r="B497">
        <v>4950</v>
      </c>
      <c r="C497">
        <v>46042</v>
      </c>
      <c r="D497">
        <f t="shared" si="15"/>
        <v>460.42</v>
      </c>
    </row>
    <row r="498" spans="1:4">
      <c r="A498">
        <f t="shared" si="14"/>
        <v>496</v>
      </c>
      <c r="B498">
        <v>4960</v>
      </c>
      <c r="C498">
        <v>46047</v>
      </c>
      <c r="D498">
        <f t="shared" si="15"/>
        <v>460.47</v>
      </c>
    </row>
    <row r="499" spans="1:4">
      <c r="A499">
        <f t="shared" si="14"/>
        <v>497</v>
      </c>
      <c r="B499">
        <v>4970</v>
      </c>
      <c r="C499">
        <v>46051</v>
      </c>
      <c r="D499">
        <f t="shared" si="15"/>
        <v>460.51</v>
      </c>
    </row>
    <row r="500" spans="1:4">
      <c r="A500">
        <f t="shared" si="14"/>
        <v>498</v>
      </c>
      <c r="B500">
        <v>4980</v>
      </c>
      <c r="C500">
        <v>46054</v>
      </c>
      <c r="D500">
        <f t="shared" si="15"/>
        <v>460.54</v>
      </c>
    </row>
    <row r="501" spans="1:4">
      <c r="A501">
        <f t="shared" si="14"/>
        <v>499</v>
      </c>
      <c r="B501">
        <v>4990</v>
      </c>
      <c r="C501">
        <v>46057</v>
      </c>
      <c r="D501">
        <f t="shared" si="15"/>
        <v>460.57</v>
      </c>
    </row>
    <row r="502" spans="1:4">
      <c r="A502">
        <f t="shared" si="14"/>
        <v>500</v>
      </c>
      <c r="B502">
        <v>5000</v>
      </c>
      <c r="C502">
        <v>46060</v>
      </c>
      <c r="D502">
        <f t="shared" si="15"/>
        <v>460.6</v>
      </c>
    </row>
    <row r="503" spans="1:4">
      <c r="A503">
        <f t="shared" si="14"/>
        <v>501</v>
      </c>
      <c r="B503">
        <v>5010</v>
      </c>
      <c r="C503">
        <v>46062</v>
      </c>
      <c r="D503">
        <f t="shared" si="15"/>
        <v>460.62</v>
      </c>
    </row>
    <row r="504" spans="1:4">
      <c r="A504">
        <f t="shared" si="14"/>
        <v>502</v>
      </c>
      <c r="B504">
        <v>5020</v>
      </c>
      <c r="C504">
        <v>46064</v>
      </c>
      <c r="D504">
        <f t="shared" si="15"/>
        <v>460.64</v>
      </c>
    </row>
    <row r="505" spans="1:4">
      <c r="A505">
        <f t="shared" si="14"/>
        <v>503</v>
      </c>
      <c r="B505">
        <v>5030</v>
      </c>
      <c r="C505">
        <v>46066</v>
      </c>
      <c r="D505">
        <f t="shared" si="15"/>
        <v>460.66</v>
      </c>
    </row>
    <row r="506" spans="1:4">
      <c r="A506">
        <f t="shared" si="14"/>
        <v>504</v>
      </c>
      <c r="B506">
        <v>5040</v>
      </c>
      <c r="C506">
        <v>46068</v>
      </c>
      <c r="D506">
        <f t="shared" si="15"/>
        <v>460.68</v>
      </c>
    </row>
    <row r="507" spans="1:4">
      <c r="A507">
        <f t="shared" si="14"/>
        <v>505</v>
      </c>
      <c r="B507">
        <v>5050</v>
      </c>
      <c r="C507">
        <v>46070</v>
      </c>
      <c r="D507">
        <f t="shared" si="15"/>
        <v>460.7</v>
      </c>
    </row>
    <row r="508" spans="1:4">
      <c r="A508">
        <f t="shared" si="14"/>
        <v>506</v>
      </c>
      <c r="B508">
        <v>5060</v>
      </c>
      <c r="C508">
        <v>46072</v>
      </c>
      <c r="D508">
        <f t="shared" si="15"/>
        <v>460.72</v>
      </c>
    </row>
    <row r="509" spans="1:4">
      <c r="A509">
        <f t="shared" si="14"/>
        <v>507</v>
      </c>
      <c r="B509">
        <v>5070</v>
      </c>
      <c r="C509">
        <v>46074</v>
      </c>
      <c r="D509">
        <f t="shared" si="15"/>
        <v>460.74</v>
      </c>
    </row>
    <row r="510" spans="1:4">
      <c r="A510">
        <f t="shared" si="14"/>
        <v>508</v>
      </c>
      <c r="B510">
        <v>5080</v>
      </c>
      <c r="C510">
        <v>46076</v>
      </c>
      <c r="D510">
        <f t="shared" si="15"/>
        <v>460.76</v>
      </c>
    </row>
    <row r="511" spans="1:4">
      <c r="A511">
        <f t="shared" si="14"/>
        <v>509</v>
      </c>
      <c r="B511">
        <v>5090</v>
      </c>
      <c r="C511">
        <v>46078</v>
      </c>
      <c r="D511">
        <f t="shared" si="15"/>
        <v>460.78</v>
      </c>
    </row>
    <row r="512" spans="1:4">
      <c r="A512">
        <f t="shared" si="14"/>
        <v>510</v>
      </c>
      <c r="B512">
        <v>5100</v>
      </c>
      <c r="C512">
        <v>46080</v>
      </c>
      <c r="D512">
        <f t="shared" si="15"/>
        <v>460.8</v>
      </c>
    </row>
    <row r="513" spans="1:4">
      <c r="A513">
        <f t="shared" si="14"/>
        <v>511</v>
      </c>
      <c r="B513">
        <v>5110</v>
      </c>
      <c r="C513">
        <v>46082</v>
      </c>
      <c r="D513">
        <f t="shared" si="15"/>
        <v>460.82</v>
      </c>
    </row>
    <row r="514" spans="1:4">
      <c r="A514">
        <f t="shared" si="14"/>
        <v>512</v>
      </c>
      <c r="B514">
        <v>5120</v>
      </c>
      <c r="C514">
        <v>46083</v>
      </c>
      <c r="D514">
        <f t="shared" si="15"/>
        <v>460.83</v>
      </c>
    </row>
    <row r="515" spans="1:4">
      <c r="A515">
        <f t="shared" ref="A515:A544" si="16">$B515/10</f>
        <v>513</v>
      </c>
      <c r="B515">
        <v>5130</v>
      </c>
      <c r="C515">
        <v>46085</v>
      </c>
      <c r="D515">
        <f t="shared" ref="D515:D544" si="17">$C515/100</f>
        <v>460.85</v>
      </c>
    </row>
    <row r="516" spans="1:4">
      <c r="A516">
        <f t="shared" si="16"/>
        <v>514</v>
      </c>
      <c r="B516">
        <v>5140</v>
      </c>
      <c r="C516">
        <v>46087</v>
      </c>
      <c r="D516">
        <f t="shared" si="17"/>
        <v>460.87</v>
      </c>
    </row>
    <row r="517" spans="1:4">
      <c r="A517">
        <f t="shared" si="16"/>
        <v>515</v>
      </c>
      <c r="B517">
        <v>5150</v>
      </c>
      <c r="C517">
        <v>46089</v>
      </c>
      <c r="D517">
        <f t="shared" si="17"/>
        <v>460.89</v>
      </c>
    </row>
    <row r="518" spans="1:4">
      <c r="A518">
        <f t="shared" si="16"/>
        <v>516</v>
      </c>
      <c r="B518">
        <v>5160</v>
      </c>
      <c r="C518">
        <v>46091</v>
      </c>
      <c r="D518">
        <f t="shared" si="17"/>
        <v>460.91</v>
      </c>
    </row>
    <row r="519" spans="1:4">
      <c r="A519">
        <f t="shared" si="16"/>
        <v>517</v>
      </c>
      <c r="B519">
        <v>5170</v>
      </c>
      <c r="C519">
        <v>46093</v>
      </c>
      <c r="D519">
        <f t="shared" si="17"/>
        <v>460.93</v>
      </c>
    </row>
    <row r="520" spans="1:4">
      <c r="A520">
        <f t="shared" si="16"/>
        <v>518</v>
      </c>
      <c r="B520">
        <v>5180</v>
      </c>
      <c r="C520">
        <v>46095</v>
      </c>
      <c r="D520">
        <f t="shared" si="17"/>
        <v>460.95</v>
      </c>
    </row>
    <row r="521" spans="1:4">
      <c r="A521">
        <f t="shared" si="16"/>
        <v>519</v>
      </c>
      <c r="B521">
        <v>5190</v>
      </c>
      <c r="C521">
        <v>46097</v>
      </c>
      <c r="D521">
        <f t="shared" si="17"/>
        <v>460.97</v>
      </c>
    </row>
    <row r="522" spans="1:4">
      <c r="A522">
        <f t="shared" si="16"/>
        <v>520</v>
      </c>
      <c r="B522">
        <v>5200</v>
      </c>
      <c r="C522">
        <v>46099</v>
      </c>
      <c r="D522">
        <f t="shared" si="17"/>
        <v>460.99</v>
      </c>
    </row>
    <row r="523" spans="1:4">
      <c r="A523">
        <f t="shared" si="16"/>
        <v>521</v>
      </c>
      <c r="B523">
        <v>5210</v>
      </c>
      <c r="C523">
        <v>46101</v>
      </c>
      <c r="D523">
        <f t="shared" si="17"/>
        <v>461.01</v>
      </c>
    </row>
    <row r="524" spans="1:4">
      <c r="A524">
        <f t="shared" si="16"/>
        <v>522</v>
      </c>
      <c r="B524">
        <v>5220</v>
      </c>
      <c r="C524">
        <v>46103</v>
      </c>
      <c r="D524">
        <f t="shared" si="17"/>
        <v>461.03</v>
      </c>
    </row>
    <row r="525" spans="1:4">
      <c r="A525">
        <f t="shared" si="16"/>
        <v>523</v>
      </c>
      <c r="B525">
        <v>5230</v>
      </c>
      <c r="C525">
        <v>46105</v>
      </c>
      <c r="D525">
        <f t="shared" si="17"/>
        <v>461.05</v>
      </c>
    </row>
    <row r="526" spans="1:4">
      <c r="A526">
        <f t="shared" si="16"/>
        <v>524</v>
      </c>
      <c r="B526">
        <v>5240</v>
      </c>
      <c r="C526">
        <v>46107</v>
      </c>
      <c r="D526">
        <f t="shared" si="17"/>
        <v>461.07</v>
      </c>
    </row>
    <row r="527" spans="1:4">
      <c r="A527">
        <f t="shared" si="16"/>
        <v>525</v>
      </c>
      <c r="B527">
        <v>5250</v>
      </c>
      <c r="C527">
        <v>46109</v>
      </c>
      <c r="D527">
        <f t="shared" si="17"/>
        <v>461.09</v>
      </c>
    </row>
    <row r="528" spans="1:4">
      <c r="A528">
        <f t="shared" si="16"/>
        <v>526</v>
      </c>
      <c r="B528">
        <v>5260</v>
      </c>
      <c r="C528">
        <v>46111</v>
      </c>
      <c r="D528">
        <f t="shared" si="17"/>
        <v>461.11</v>
      </c>
    </row>
    <row r="529" spans="1:4">
      <c r="A529">
        <f t="shared" si="16"/>
        <v>527</v>
      </c>
      <c r="B529">
        <v>5270</v>
      </c>
      <c r="C529">
        <v>46113</v>
      </c>
      <c r="D529">
        <f t="shared" si="17"/>
        <v>461.13</v>
      </c>
    </row>
    <row r="530" spans="1:4">
      <c r="A530">
        <f t="shared" si="16"/>
        <v>528</v>
      </c>
      <c r="B530">
        <v>5280</v>
      </c>
      <c r="C530">
        <v>46115</v>
      </c>
      <c r="D530">
        <f t="shared" si="17"/>
        <v>461.15</v>
      </c>
    </row>
    <row r="531" spans="1:4">
      <c r="A531">
        <f t="shared" si="16"/>
        <v>529</v>
      </c>
      <c r="B531">
        <v>5290</v>
      </c>
      <c r="C531">
        <v>46117</v>
      </c>
      <c r="D531">
        <f t="shared" si="17"/>
        <v>461.17</v>
      </c>
    </row>
    <row r="532" spans="1:4">
      <c r="A532">
        <f t="shared" si="16"/>
        <v>530</v>
      </c>
      <c r="B532">
        <v>5300</v>
      </c>
      <c r="C532">
        <v>46119</v>
      </c>
      <c r="D532">
        <f t="shared" si="17"/>
        <v>461.19</v>
      </c>
    </row>
    <row r="533" spans="1:4">
      <c r="A533">
        <f t="shared" si="16"/>
        <v>531</v>
      </c>
      <c r="B533">
        <v>5310</v>
      </c>
      <c r="C533">
        <v>46121</v>
      </c>
      <c r="D533">
        <f t="shared" si="17"/>
        <v>461.21</v>
      </c>
    </row>
    <row r="534" spans="1:4">
      <c r="A534">
        <f t="shared" si="16"/>
        <v>532</v>
      </c>
      <c r="B534">
        <v>5320</v>
      </c>
      <c r="C534">
        <v>46123</v>
      </c>
      <c r="D534">
        <f t="shared" si="17"/>
        <v>461.23</v>
      </c>
    </row>
    <row r="535" spans="1:4">
      <c r="A535">
        <f t="shared" si="16"/>
        <v>533</v>
      </c>
      <c r="B535">
        <v>5330</v>
      </c>
      <c r="C535">
        <v>46125</v>
      </c>
      <c r="D535">
        <f t="shared" si="17"/>
        <v>461.25</v>
      </c>
    </row>
    <row r="536" spans="1:4">
      <c r="A536">
        <f t="shared" si="16"/>
        <v>534</v>
      </c>
      <c r="B536">
        <v>5340</v>
      </c>
      <c r="C536">
        <v>46127</v>
      </c>
      <c r="D536">
        <f t="shared" si="17"/>
        <v>461.27</v>
      </c>
    </row>
    <row r="537" spans="1:4">
      <c r="A537">
        <f t="shared" si="16"/>
        <v>535</v>
      </c>
      <c r="B537">
        <v>5350</v>
      </c>
      <c r="C537">
        <v>46129</v>
      </c>
      <c r="D537">
        <f t="shared" si="17"/>
        <v>461.29</v>
      </c>
    </row>
    <row r="538" spans="1:4">
      <c r="A538">
        <f t="shared" si="16"/>
        <v>536</v>
      </c>
      <c r="B538">
        <v>5360</v>
      </c>
      <c r="C538">
        <v>46131</v>
      </c>
      <c r="D538">
        <f t="shared" si="17"/>
        <v>461.31</v>
      </c>
    </row>
    <row r="539" spans="1:4">
      <c r="A539">
        <f t="shared" si="16"/>
        <v>537</v>
      </c>
      <c r="B539">
        <v>5370</v>
      </c>
      <c r="C539">
        <v>46132</v>
      </c>
      <c r="D539">
        <f t="shared" si="17"/>
        <v>461.32</v>
      </c>
    </row>
    <row r="540" spans="1:4">
      <c r="A540">
        <f t="shared" si="16"/>
        <v>538</v>
      </c>
      <c r="B540">
        <v>5380</v>
      </c>
      <c r="C540">
        <v>46134</v>
      </c>
      <c r="D540">
        <f t="shared" si="17"/>
        <v>461.34</v>
      </c>
    </row>
    <row r="541" spans="1:4">
      <c r="A541">
        <f t="shared" si="16"/>
        <v>539</v>
      </c>
      <c r="B541">
        <v>5390</v>
      </c>
      <c r="C541">
        <v>46136</v>
      </c>
      <c r="D541">
        <f t="shared" si="17"/>
        <v>461.36</v>
      </c>
    </row>
    <row r="542" spans="1:4">
      <c r="A542">
        <f t="shared" si="16"/>
        <v>540</v>
      </c>
      <c r="B542">
        <v>5400</v>
      </c>
      <c r="C542">
        <v>46138</v>
      </c>
      <c r="D542">
        <f t="shared" si="17"/>
        <v>461.38</v>
      </c>
    </row>
    <row r="543" spans="1:4">
      <c r="A543">
        <f t="shared" si="16"/>
        <v>541</v>
      </c>
      <c r="B543">
        <v>5410</v>
      </c>
      <c r="C543">
        <v>46140</v>
      </c>
      <c r="D543">
        <f t="shared" si="17"/>
        <v>461.4</v>
      </c>
    </row>
    <row r="544" spans="1:4">
      <c r="A544">
        <f t="shared" si="16"/>
        <v>542</v>
      </c>
      <c r="B544">
        <v>5420</v>
      </c>
      <c r="C544">
        <v>46142</v>
      </c>
      <c r="D544">
        <f t="shared" si="17"/>
        <v>461.42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/>
  <dimension ref="A1:D585"/>
  <sheetViews>
    <sheetView workbookViewId="0">
      <selection activeCell="L6" sqref="L6"/>
    </sheetView>
  </sheetViews>
  <sheetFormatPr baseColWidth="10" defaultColWidth="10.3984375" defaultRowHeight="14.25"/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 s="22">
        <f>$B2/10</f>
        <v>0</v>
      </c>
      <c r="B2">
        <v>0</v>
      </c>
      <c r="C2">
        <v>46614</v>
      </c>
      <c r="D2" s="23">
        <f>$C2/100</f>
        <v>466.14</v>
      </c>
    </row>
    <row r="3" spans="1:4">
      <c r="A3" s="22">
        <f t="shared" ref="A3:A66" si="0">B3/10</f>
        <v>1.0576206811866706</v>
      </c>
      <c r="B3">
        <v>10.576206811866706</v>
      </c>
      <c r="C3">
        <v>46612.046000000002</v>
      </c>
      <c r="D3" s="23">
        <f t="shared" ref="D3:D66" si="1">$C3/100</f>
        <v>466.12046000000004</v>
      </c>
    </row>
    <row r="4" spans="1:4">
      <c r="A4" s="22">
        <f t="shared" si="0"/>
        <v>2.1152413623733413</v>
      </c>
      <c r="B4">
        <v>21.152413623733413</v>
      </c>
      <c r="C4">
        <v>46610.092000000004</v>
      </c>
      <c r="D4" s="23">
        <f t="shared" si="1"/>
        <v>466.10092000000003</v>
      </c>
    </row>
    <row r="5" spans="1:4">
      <c r="A5" s="22">
        <f t="shared" si="0"/>
        <v>3.1728620435600119</v>
      </c>
      <c r="B5">
        <v>31.728620435600117</v>
      </c>
      <c r="C5">
        <v>46608.138000000006</v>
      </c>
      <c r="D5" s="23">
        <f t="shared" si="1"/>
        <v>466.08138000000008</v>
      </c>
    </row>
    <row r="6" spans="1:4">
      <c r="A6" s="22">
        <f t="shared" si="0"/>
        <v>4.2304827247466825</v>
      </c>
      <c r="B6">
        <v>42.304827247466825</v>
      </c>
      <c r="C6">
        <v>46606.184000000008</v>
      </c>
      <c r="D6" s="23">
        <f t="shared" si="1"/>
        <v>466.06184000000007</v>
      </c>
    </row>
    <row r="7" spans="1:4">
      <c r="A7" s="22">
        <f t="shared" si="0"/>
        <v>5.2881034059333532</v>
      </c>
      <c r="B7">
        <v>52.88103405933353</v>
      </c>
      <c r="C7">
        <v>46604.23</v>
      </c>
      <c r="D7" s="23">
        <f t="shared" si="1"/>
        <v>466.04230000000001</v>
      </c>
    </row>
    <row r="8" spans="1:4">
      <c r="A8" s="22">
        <f t="shared" si="0"/>
        <v>6.3457240871200238</v>
      </c>
      <c r="B8">
        <v>63.457240871200234</v>
      </c>
      <c r="C8">
        <v>46602.266000000003</v>
      </c>
      <c r="D8" s="23">
        <f t="shared" si="1"/>
        <v>466.02266000000003</v>
      </c>
    </row>
    <row r="9" spans="1:4">
      <c r="A9" s="22">
        <f t="shared" si="0"/>
        <v>7.4033447683066935</v>
      </c>
      <c r="B9">
        <v>74.033447683066939</v>
      </c>
      <c r="C9">
        <v>46600.302000000003</v>
      </c>
      <c r="D9" s="23">
        <f t="shared" si="1"/>
        <v>466.00302000000005</v>
      </c>
    </row>
    <row r="10" spans="1:4">
      <c r="A10" s="22">
        <f t="shared" si="0"/>
        <v>8.460965449493365</v>
      </c>
      <c r="B10">
        <v>84.60965449493365</v>
      </c>
      <c r="C10">
        <v>46598.338000000003</v>
      </c>
      <c r="D10" s="23">
        <f t="shared" si="1"/>
        <v>465.98338000000001</v>
      </c>
    </row>
    <row r="11" spans="1:4">
      <c r="A11" s="22">
        <f t="shared" si="0"/>
        <v>9.5185861306800366</v>
      </c>
      <c r="B11">
        <v>95.185861306800362</v>
      </c>
      <c r="C11">
        <v>46596.374000000003</v>
      </c>
      <c r="D11" s="23">
        <f t="shared" si="1"/>
        <v>465.96374000000003</v>
      </c>
    </row>
    <row r="12" spans="1:4">
      <c r="A12" s="22">
        <f t="shared" si="0"/>
        <v>10.576206811866706</v>
      </c>
      <c r="B12">
        <v>105.76206811866706</v>
      </c>
      <c r="C12">
        <v>46594.41</v>
      </c>
      <c r="D12" s="23">
        <f t="shared" si="1"/>
        <v>465.94410000000005</v>
      </c>
    </row>
    <row r="13" spans="1:4">
      <c r="A13" s="22">
        <f t="shared" si="0"/>
        <v>11.633827493053378</v>
      </c>
      <c r="B13">
        <v>116.33827493053377</v>
      </c>
      <c r="C13">
        <v>46592.444000000003</v>
      </c>
      <c r="D13" s="23">
        <f t="shared" si="1"/>
        <v>465.92444</v>
      </c>
    </row>
    <row r="14" spans="1:4">
      <c r="A14" s="22">
        <f t="shared" si="0"/>
        <v>12.691448174240048</v>
      </c>
      <c r="B14">
        <v>126.91448174240047</v>
      </c>
      <c r="C14">
        <v>46590.478000000003</v>
      </c>
      <c r="D14" s="23">
        <f t="shared" si="1"/>
        <v>465.90478000000002</v>
      </c>
    </row>
    <row r="15" spans="1:4">
      <c r="A15" s="22">
        <f t="shared" si="0"/>
        <v>13.749068855426717</v>
      </c>
      <c r="B15">
        <v>137.49068855426717</v>
      </c>
      <c r="C15">
        <v>46588.512000000002</v>
      </c>
      <c r="D15" s="23">
        <f t="shared" si="1"/>
        <v>465.88512000000003</v>
      </c>
    </row>
    <row r="16" spans="1:4">
      <c r="A16" s="22">
        <f t="shared" si="0"/>
        <v>14.806689536613387</v>
      </c>
      <c r="B16">
        <v>148.06689536613388</v>
      </c>
      <c r="C16">
        <v>46586.546000000002</v>
      </c>
      <c r="D16" s="23">
        <f t="shared" si="1"/>
        <v>465.86546000000004</v>
      </c>
    </row>
    <row r="17" spans="1:4">
      <c r="A17" s="22">
        <f t="shared" si="0"/>
        <v>15.864310217800059</v>
      </c>
      <c r="B17">
        <v>158.64310217800059</v>
      </c>
      <c r="C17">
        <v>46584.58</v>
      </c>
      <c r="D17" s="23">
        <f t="shared" si="1"/>
        <v>465.8458</v>
      </c>
    </row>
    <row r="18" spans="1:4">
      <c r="A18" s="22">
        <f t="shared" si="0"/>
        <v>16.92193089898673</v>
      </c>
      <c r="B18">
        <v>169.2193089898673</v>
      </c>
      <c r="C18">
        <v>46582.616000000002</v>
      </c>
      <c r="D18" s="23">
        <f t="shared" si="1"/>
        <v>465.82616000000002</v>
      </c>
    </row>
    <row r="19" spans="1:4">
      <c r="A19" s="22">
        <f t="shared" si="0"/>
        <v>17.9795515801734</v>
      </c>
      <c r="B19">
        <v>179.79551580173401</v>
      </c>
      <c r="C19">
        <v>46580.652000000002</v>
      </c>
      <c r="D19" s="23">
        <f t="shared" si="1"/>
        <v>465.80652000000003</v>
      </c>
    </row>
    <row r="20" spans="1:4">
      <c r="A20" s="22">
        <f t="shared" si="0"/>
        <v>19.037172261360073</v>
      </c>
      <c r="B20">
        <v>190.37172261360072</v>
      </c>
      <c r="C20">
        <v>46578.688000000002</v>
      </c>
      <c r="D20" s="23">
        <f t="shared" si="1"/>
        <v>465.78688</v>
      </c>
    </row>
    <row r="21" spans="1:4">
      <c r="A21" s="22">
        <f t="shared" si="0"/>
        <v>20.094792942546739</v>
      </c>
      <c r="B21">
        <v>200.94792942546741</v>
      </c>
      <c r="C21">
        <v>46576.724000000002</v>
      </c>
      <c r="D21" s="23">
        <f t="shared" si="1"/>
        <v>465.76724000000002</v>
      </c>
    </row>
    <row r="22" spans="1:4">
      <c r="A22" s="22">
        <f t="shared" si="0"/>
        <v>21.152413623733413</v>
      </c>
      <c r="B22">
        <v>211.52413623733412</v>
      </c>
      <c r="C22">
        <v>46574.76</v>
      </c>
      <c r="D22" s="23">
        <f t="shared" si="1"/>
        <v>465.74760000000003</v>
      </c>
    </row>
    <row r="23" spans="1:4">
      <c r="A23" s="22">
        <f t="shared" si="0"/>
        <v>22.210034304920082</v>
      </c>
      <c r="B23">
        <v>222.10034304920083</v>
      </c>
      <c r="C23">
        <v>46572.794000000002</v>
      </c>
      <c r="D23" s="23">
        <f t="shared" si="1"/>
        <v>465.72793999999999</v>
      </c>
    </row>
    <row r="24" spans="1:4">
      <c r="A24" s="22">
        <f t="shared" si="0"/>
        <v>23.267654986106756</v>
      </c>
      <c r="B24">
        <v>232.67654986106754</v>
      </c>
      <c r="C24">
        <v>46570.828000000001</v>
      </c>
      <c r="D24" s="23">
        <f t="shared" si="1"/>
        <v>465.70828</v>
      </c>
    </row>
    <row r="25" spans="1:4">
      <c r="A25" s="22">
        <f t="shared" si="0"/>
        <v>24.325275667293425</v>
      </c>
      <c r="B25">
        <v>243.25275667293425</v>
      </c>
      <c r="C25">
        <v>46568.862000000001</v>
      </c>
      <c r="D25" s="23">
        <f t="shared" si="1"/>
        <v>465.68862000000001</v>
      </c>
    </row>
    <row r="26" spans="1:4">
      <c r="A26" s="22">
        <f t="shared" si="0"/>
        <v>25.382896348480095</v>
      </c>
      <c r="B26">
        <v>253.82896348480094</v>
      </c>
      <c r="C26">
        <v>46566.896000000001</v>
      </c>
      <c r="D26" s="23">
        <f t="shared" si="1"/>
        <v>465.66896000000003</v>
      </c>
    </row>
    <row r="27" spans="1:4">
      <c r="A27" s="22">
        <f t="shared" si="0"/>
        <v>26.440517029666768</v>
      </c>
      <c r="B27">
        <v>264.40517029666768</v>
      </c>
      <c r="C27">
        <v>46564.93</v>
      </c>
      <c r="D27" s="23">
        <f t="shared" si="1"/>
        <v>465.64929999999998</v>
      </c>
    </row>
    <row r="28" spans="1:4">
      <c r="A28" s="22">
        <f t="shared" si="0"/>
        <v>27.498137710853435</v>
      </c>
      <c r="B28">
        <v>274.98137710853433</v>
      </c>
      <c r="C28">
        <v>46562.966</v>
      </c>
      <c r="D28" s="23">
        <f t="shared" si="1"/>
        <v>465.62966</v>
      </c>
    </row>
    <row r="29" spans="1:4">
      <c r="A29" s="22">
        <f t="shared" si="0"/>
        <v>28.555758392040104</v>
      </c>
      <c r="B29">
        <v>285.55758392040104</v>
      </c>
      <c r="C29">
        <v>46561.002</v>
      </c>
      <c r="D29" s="23">
        <f t="shared" si="1"/>
        <v>465.61002000000002</v>
      </c>
    </row>
    <row r="30" spans="1:4">
      <c r="A30" s="22">
        <f t="shared" si="0"/>
        <v>29.613379073226774</v>
      </c>
      <c r="B30">
        <v>296.13379073226776</v>
      </c>
      <c r="C30">
        <v>46559.038</v>
      </c>
      <c r="D30" s="23">
        <f t="shared" si="1"/>
        <v>465.59037999999998</v>
      </c>
    </row>
    <row r="31" spans="1:4">
      <c r="A31" s="22">
        <f t="shared" si="0"/>
        <v>30.670999754413447</v>
      </c>
      <c r="B31">
        <v>306.70999754413447</v>
      </c>
      <c r="C31">
        <v>46557.074000000001</v>
      </c>
      <c r="D31" s="23">
        <f t="shared" si="1"/>
        <v>465.57074</v>
      </c>
    </row>
    <row r="32" spans="1:4">
      <c r="A32" s="22">
        <f t="shared" si="0"/>
        <v>31.728620435600117</v>
      </c>
      <c r="B32">
        <v>317.28620435600118</v>
      </c>
      <c r="C32">
        <v>46555.11</v>
      </c>
      <c r="D32" s="23">
        <f t="shared" si="1"/>
        <v>465.55110000000002</v>
      </c>
    </row>
    <row r="33" spans="1:4">
      <c r="A33" s="22">
        <f t="shared" si="0"/>
        <v>32.78624111678679</v>
      </c>
      <c r="B33">
        <v>327.86241116786789</v>
      </c>
      <c r="C33">
        <v>46553.144</v>
      </c>
      <c r="D33" s="23">
        <f t="shared" si="1"/>
        <v>465.53143999999998</v>
      </c>
    </row>
    <row r="34" spans="1:4">
      <c r="A34" s="22">
        <f t="shared" si="0"/>
        <v>33.84386179797346</v>
      </c>
      <c r="B34">
        <v>338.4386179797346</v>
      </c>
      <c r="C34">
        <v>46551.178</v>
      </c>
      <c r="D34" s="23">
        <f t="shared" si="1"/>
        <v>465.51177999999999</v>
      </c>
    </row>
    <row r="35" spans="1:4">
      <c r="A35" s="22">
        <f t="shared" si="0"/>
        <v>34.90148247916013</v>
      </c>
      <c r="B35">
        <v>349.01482479160131</v>
      </c>
      <c r="C35">
        <v>46549.212</v>
      </c>
      <c r="D35" s="23">
        <f t="shared" si="1"/>
        <v>465.49212</v>
      </c>
    </row>
    <row r="36" spans="1:4">
      <c r="A36" s="22">
        <f t="shared" si="0"/>
        <v>35.9591031603468</v>
      </c>
      <c r="B36">
        <v>359.59103160346802</v>
      </c>
      <c r="C36">
        <v>46547.245999999999</v>
      </c>
      <c r="D36" s="23">
        <f t="shared" si="1"/>
        <v>465.47246000000001</v>
      </c>
    </row>
    <row r="37" spans="1:4">
      <c r="A37" s="22">
        <f t="shared" si="0"/>
        <v>37.016723841533477</v>
      </c>
      <c r="B37">
        <v>370.16723841533474</v>
      </c>
      <c r="C37">
        <v>46545.279999999999</v>
      </c>
      <c r="D37" s="23">
        <f t="shared" si="1"/>
        <v>465.45279999999997</v>
      </c>
    </row>
    <row r="38" spans="1:4">
      <c r="A38" s="22">
        <f t="shared" si="0"/>
        <v>38.074344522720146</v>
      </c>
      <c r="B38">
        <v>380.74344522720145</v>
      </c>
      <c r="C38">
        <v>46543.315999999999</v>
      </c>
      <c r="D38" s="23">
        <f t="shared" si="1"/>
        <v>465.43315999999999</v>
      </c>
    </row>
    <row r="39" spans="1:4">
      <c r="A39" s="22">
        <f t="shared" si="0"/>
        <v>39.131965203906809</v>
      </c>
      <c r="B39">
        <v>391.3196520390681</v>
      </c>
      <c r="C39">
        <v>46541.351999999999</v>
      </c>
      <c r="D39" s="23">
        <f t="shared" si="1"/>
        <v>465.41352000000001</v>
      </c>
    </row>
    <row r="40" spans="1:4">
      <c r="A40" s="22">
        <f t="shared" si="0"/>
        <v>40.189585885093479</v>
      </c>
      <c r="B40">
        <v>401.89585885093481</v>
      </c>
      <c r="C40">
        <v>46539.387999999999</v>
      </c>
      <c r="D40" s="23">
        <f t="shared" si="1"/>
        <v>465.39387999999997</v>
      </c>
    </row>
    <row r="41" spans="1:4">
      <c r="A41" s="22">
        <f t="shared" si="0"/>
        <v>41.247206566280155</v>
      </c>
      <c r="B41">
        <v>412.47206566280153</v>
      </c>
      <c r="C41">
        <v>46537.423999999999</v>
      </c>
      <c r="D41" s="23">
        <f t="shared" si="1"/>
        <v>465.37423999999999</v>
      </c>
    </row>
    <row r="42" spans="1:4">
      <c r="A42" s="22">
        <f t="shared" si="0"/>
        <v>42.304827247466825</v>
      </c>
      <c r="B42">
        <v>423.04827247466824</v>
      </c>
      <c r="C42">
        <v>46535.46</v>
      </c>
      <c r="D42" s="23">
        <f t="shared" si="1"/>
        <v>465.3546</v>
      </c>
    </row>
    <row r="43" spans="1:4">
      <c r="A43" s="22">
        <f t="shared" si="0"/>
        <v>43.362447928653495</v>
      </c>
      <c r="B43">
        <v>433.62447928653495</v>
      </c>
      <c r="C43">
        <v>46533.493999999999</v>
      </c>
      <c r="D43" s="23">
        <f t="shared" si="1"/>
        <v>465.33493999999996</v>
      </c>
    </row>
    <row r="44" spans="1:4">
      <c r="A44" s="22">
        <f t="shared" si="0"/>
        <v>44.420068609840165</v>
      </c>
      <c r="B44">
        <v>444.20068609840166</v>
      </c>
      <c r="C44">
        <v>46531.527999999998</v>
      </c>
      <c r="D44" s="23">
        <f t="shared" si="1"/>
        <v>465.31527999999997</v>
      </c>
    </row>
    <row r="45" spans="1:4">
      <c r="A45" s="22">
        <f t="shared" si="0"/>
        <v>45.477689291026834</v>
      </c>
      <c r="B45">
        <v>454.77689291026837</v>
      </c>
      <c r="C45">
        <v>46529.561999999998</v>
      </c>
      <c r="D45" s="23">
        <f t="shared" si="1"/>
        <v>465.29561999999999</v>
      </c>
    </row>
    <row r="46" spans="1:4">
      <c r="A46" s="22">
        <f t="shared" si="0"/>
        <v>46.535309972213511</v>
      </c>
      <c r="B46">
        <v>465.35309972213508</v>
      </c>
      <c r="C46">
        <v>46527.595999999998</v>
      </c>
      <c r="D46" s="23">
        <f t="shared" si="1"/>
        <v>465.27596</v>
      </c>
    </row>
    <row r="47" spans="1:4">
      <c r="A47" s="22">
        <f t="shared" si="0"/>
        <v>47.592930653400181</v>
      </c>
      <c r="B47">
        <v>475.9293065340018</v>
      </c>
      <c r="C47">
        <v>46525.63</v>
      </c>
      <c r="D47" s="23">
        <f t="shared" si="1"/>
        <v>465.25629999999995</v>
      </c>
    </row>
    <row r="48" spans="1:4">
      <c r="A48" s="22">
        <f t="shared" si="0"/>
        <v>48.650551334586851</v>
      </c>
      <c r="B48">
        <v>486.50551334586851</v>
      </c>
      <c r="C48">
        <v>46523.665999999997</v>
      </c>
      <c r="D48" s="23">
        <f t="shared" si="1"/>
        <v>465.23665999999997</v>
      </c>
    </row>
    <row r="49" spans="1:4">
      <c r="A49" s="22">
        <f t="shared" si="0"/>
        <v>49.708172015773513</v>
      </c>
      <c r="B49">
        <v>497.08172015773516</v>
      </c>
      <c r="C49">
        <v>46521.701999999997</v>
      </c>
      <c r="D49" s="23">
        <f t="shared" si="1"/>
        <v>465.21701999999999</v>
      </c>
    </row>
    <row r="50" spans="1:4">
      <c r="A50" s="22">
        <f t="shared" si="0"/>
        <v>50.76579269696019</v>
      </c>
      <c r="B50">
        <v>507.65792696960187</v>
      </c>
      <c r="C50">
        <v>46519.737999999998</v>
      </c>
      <c r="D50" s="23">
        <f t="shared" si="1"/>
        <v>465.19737999999995</v>
      </c>
    </row>
    <row r="51" spans="1:4">
      <c r="A51" s="22">
        <f t="shared" si="0"/>
        <v>51.82341337814686</v>
      </c>
      <c r="B51">
        <v>518.23413378146859</v>
      </c>
      <c r="C51">
        <v>46517.773999999998</v>
      </c>
      <c r="D51" s="23">
        <f t="shared" si="1"/>
        <v>465.17773999999997</v>
      </c>
    </row>
    <row r="52" spans="1:4">
      <c r="A52" s="22">
        <f t="shared" si="0"/>
        <v>52.881034059333537</v>
      </c>
      <c r="B52">
        <v>528.81034059333535</v>
      </c>
      <c r="C52">
        <v>46515.81</v>
      </c>
      <c r="D52" s="23">
        <f t="shared" si="1"/>
        <v>465.15809999999999</v>
      </c>
    </row>
    <row r="53" spans="1:4">
      <c r="A53" s="22">
        <f t="shared" si="0"/>
        <v>53.938654740520199</v>
      </c>
      <c r="B53">
        <v>539.38654740520201</v>
      </c>
      <c r="C53">
        <v>46513.837999999996</v>
      </c>
      <c r="D53" s="23">
        <f t="shared" si="1"/>
        <v>465.13837999999998</v>
      </c>
    </row>
    <row r="54" spans="1:4">
      <c r="A54" s="22">
        <f t="shared" si="0"/>
        <v>54.996275421706869</v>
      </c>
      <c r="B54">
        <v>549.96275421706866</v>
      </c>
      <c r="C54">
        <v>46511.865999999995</v>
      </c>
      <c r="D54" s="23">
        <f t="shared" si="1"/>
        <v>465.11865999999992</v>
      </c>
    </row>
    <row r="55" spans="1:4">
      <c r="A55" s="22">
        <f t="shared" si="0"/>
        <v>56.053896102893546</v>
      </c>
      <c r="B55">
        <v>560.53896102893543</v>
      </c>
      <c r="C55">
        <v>46509.893999999993</v>
      </c>
      <c r="D55" s="23">
        <f t="shared" si="1"/>
        <v>465.09893999999991</v>
      </c>
    </row>
    <row r="56" spans="1:4">
      <c r="A56" s="22">
        <f t="shared" si="0"/>
        <v>57.111516784080209</v>
      </c>
      <c r="B56">
        <v>571.11516784080209</v>
      </c>
      <c r="C56">
        <v>46507.921999999991</v>
      </c>
      <c r="D56" s="23">
        <f t="shared" si="1"/>
        <v>465.07921999999991</v>
      </c>
    </row>
    <row r="57" spans="1:4">
      <c r="A57" s="22">
        <f t="shared" si="0"/>
        <v>58.169137465266886</v>
      </c>
      <c r="B57">
        <v>581.69137465266886</v>
      </c>
      <c r="C57">
        <v>46505.95</v>
      </c>
      <c r="D57" s="23">
        <f t="shared" si="1"/>
        <v>465.05949999999996</v>
      </c>
    </row>
    <row r="58" spans="1:4">
      <c r="A58" s="22">
        <f t="shared" si="0"/>
        <v>59.226758146453548</v>
      </c>
      <c r="B58">
        <v>592.26758146453551</v>
      </c>
      <c r="C58">
        <v>46503.843999999997</v>
      </c>
      <c r="D58" s="23">
        <f t="shared" si="1"/>
        <v>465.03843999999998</v>
      </c>
    </row>
    <row r="59" spans="1:4">
      <c r="A59" s="22">
        <f t="shared" si="0"/>
        <v>60.284378827640225</v>
      </c>
      <c r="B59">
        <v>602.84378827640228</v>
      </c>
      <c r="C59">
        <v>46501.737999999998</v>
      </c>
      <c r="D59" s="23">
        <f t="shared" si="1"/>
        <v>465.01738</v>
      </c>
    </row>
    <row r="60" spans="1:4">
      <c r="A60" s="22">
        <f t="shared" si="0"/>
        <v>61.341999508826895</v>
      </c>
      <c r="B60">
        <v>613.41999508826893</v>
      </c>
      <c r="C60">
        <v>46499.631999999998</v>
      </c>
      <c r="D60" s="23">
        <f t="shared" si="1"/>
        <v>464.99631999999997</v>
      </c>
    </row>
    <row r="61" spans="1:4">
      <c r="A61" s="22">
        <f t="shared" si="0"/>
        <v>62.399620190013572</v>
      </c>
      <c r="B61">
        <v>623.9962019001357</v>
      </c>
      <c r="C61">
        <v>46497.525999999998</v>
      </c>
      <c r="D61" s="23">
        <f t="shared" si="1"/>
        <v>464.97525999999999</v>
      </c>
    </row>
    <row r="62" spans="1:4">
      <c r="A62" s="22">
        <f t="shared" si="0"/>
        <v>63.457240871200234</v>
      </c>
      <c r="B62">
        <v>634.57240871200236</v>
      </c>
      <c r="C62">
        <v>46495.42</v>
      </c>
      <c r="D62" s="23">
        <f t="shared" si="1"/>
        <v>464.95419999999996</v>
      </c>
    </row>
    <row r="63" spans="1:4">
      <c r="A63" s="22">
        <f t="shared" si="0"/>
        <v>64.514861552386918</v>
      </c>
      <c r="B63">
        <v>645.14861552386913</v>
      </c>
      <c r="C63">
        <v>46493.082000000002</v>
      </c>
      <c r="D63" s="23">
        <f t="shared" si="1"/>
        <v>464.93082000000004</v>
      </c>
    </row>
    <row r="64" spans="1:4">
      <c r="A64" s="22">
        <f t="shared" si="0"/>
        <v>65.572482233573581</v>
      </c>
      <c r="B64">
        <v>655.72482233573578</v>
      </c>
      <c r="C64">
        <v>46490.744000000006</v>
      </c>
      <c r="D64" s="23">
        <f t="shared" si="1"/>
        <v>464.90744000000007</v>
      </c>
    </row>
    <row r="65" spans="1:4">
      <c r="A65" s="22">
        <f t="shared" si="0"/>
        <v>66.630102914760243</v>
      </c>
      <c r="B65">
        <v>666.30102914760243</v>
      </c>
      <c r="C65">
        <v>46488.40600000001</v>
      </c>
      <c r="D65" s="23">
        <f t="shared" si="1"/>
        <v>464.88406000000009</v>
      </c>
    </row>
    <row r="66" spans="1:4">
      <c r="A66" s="22">
        <f t="shared" si="0"/>
        <v>67.68772359594692</v>
      </c>
      <c r="B66">
        <v>676.8772359594692</v>
      </c>
      <c r="C66">
        <v>46486.068000000014</v>
      </c>
      <c r="D66" s="23">
        <f t="shared" si="1"/>
        <v>464.86068000000012</v>
      </c>
    </row>
    <row r="67" spans="1:4">
      <c r="A67" s="22">
        <f t="shared" ref="A67:A130" si="2">B67/10</f>
        <v>68.745344277133583</v>
      </c>
      <c r="B67">
        <v>687.45344277133586</v>
      </c>
      <c r="C67">
        <v>46483.73</v>
      </c>
      <c r="D67" s="23">
        <f t="shared" ref="D67:D130" si="3">$C67/100</f>
        <v>464.83730000000003</v>
      </c>
    </row>
    <row r="68" spans="1:4">
      <c r="A68" s="22">
        <f t="shared" si="2"/>
        <v>69.80296495832026</v>
      </c>
      <c r="B68">
        <v>698.02964958320263</v>
      </c>
      <c r="C68">
        <v>46481.154000000002</v>
      </c>
      <c r="D68" s="23">
        <f t="shared" si="3"/>
        <v>464.81154000000004</v>
      </c>
    </row>
    <row r="69" spans="1:4">
      <c r="A69" s="22">
        <f t="shared" si="2"/>
        <v>70.860585639506922</v>
      </c>
      <c r="B69">
        <v>708.60585639506928</v>
      </c>
      <c r="C69">
        <v>46478.578000000001</v>
      </c>
      <c r="D69" s="23">
        <f t="shared" si="3"/>
        <v>464.78577999999999</v>
      </c>
    </row>
    <row r="70" spans="1:4">
      <c r="A70" s="22">
        <f t="shared" si="2"/>
        <v>71.918206320693599</v>
      </c>
      <c r="B70">
        <v>719.18206320693605</v>
      </c>
      <c r="C70">
        <v>46476.002</v>
      </c>
      <c r="D70" s="23">
        <f t="shared" si="3"/>
        <v>464.76002</v>
      </c>
    </row>
    <row r="71" spans="1:4">
      <c r="A71" s="22">
        <f t="shared" si="2"/>
        <v>72.975827001880276</v>
      </c>
      <c r="B71">
        <v>729.7582700188027</v>
      </c>
      <c r="C71">
        <v>46473.425999999999</v>
      </c>
      <c r="D71" s="23">
        <f t="shared" si="3"/>
        <v>464.73426000000001</v>
      </c>
    </row>
    <row r="72" spans="1:4">
      <c r="A72" s="22">
        <f t="shared" si="2"/>
        <v>74.033447683066953</v>
      </c>
      <c r="B72">
        <v>740.33447683066947</v>
      </c>
      <c r="C72">
        <v>46470.85</v>
      </c>
      <c r="D72" s="23">
        <f t="shared" si="3"/>
        <v>464.70849999999996</v>
      </c>
    </row>
    <row r="73" spans="1:4">
      <c r="A73" s="22">
        <f t="shared" si="2"/>
        <v>75.091068364253616</v>
      </c>
      <c r="B73">
        <v>750.91068364253613</v>
      </c>
      <c r="C73">
        <v>46465.773999999998</v>
      </c>
      <c r="D73" s="23">
        <f t="shared" si="3"/>
        <v>464.65773999999999</v>
      </c>
    </row>
    <row r="74" spans="1:4">
      <c r="A74" s="22">
        <f t="shared" si="2"/>
        <v>76.148689045440292</v>
      </c>
      <c r="B74">
        <v>761.4868904544029</v>
      </c>
      <c r="C74">
        <v>46460.697999999997</v>
      </c>
      <c r="D74" s="23">
        <f t="shared" si="3"/>
        <v>464.60697999999996</v>
      </c>
    </row>
    <row r="75" spans="1:4">
      <c r="A75" s="22">
        <f t="shared" si="2"/>
        <v>77.206309726626955</v>
      </c>
      <c r="B75">
        <v>772.06309726626955</v>
      </c>
      <c r="C75">
        <v>46455.621999999996</v>
      </c>
      <c r="D75" s="23">
        <f t="shared" si="3"/>
        <v>464.55621999999994</v>
      </c>
    </row>
    <row r="76" spans="1:4">
      <c r="A76" s="22">
        <f t="shared" si="2"/>
        <v>78.263930407813618</v>
      </c>
      <c r="B76">
        <v>782.63930407813621</v>
      </c>
      <c r="C76">
        <v>46450.545999999995</v>
      </c>
      <c r="D76" s="23">
        <f t="shared" si="3"/>
        <v>464.50545999999997</v>
      </c>
    </row>
    <row r="77" spans="1:4">
      <c r="A77" s="22">
        <f t="shared" si="2"/>
        <v>79.321551089000295</v>
      </c>
      <c r="B77">
        <v>793.21551089000297</v>
      </c>
      <c r="C77">
        <v>46445.47</v>
      </c>
      <c r="D77" s="23">
        <f t="shared" si="3"/>
        <v>464.4547</v>
      </c>
    </row>
    <row r="78" spans="1:4">
      <c r="A78" s="22">
        <f t="shared" si="2"/>
        <v>80.379171770186957</v>
      </c>
      <c r="B78">
        <v>803.79171770186963</v>
      </c>
      <c r="C78">
        <v>46415.624000000003</v>
      </c>
      <c r="D78" s="23">
        <f t="shared" si="3"/>
        <v>464.15624000000003</v>
      </c>
    </row>
    <row r="79" spans="1:4">
      <c r="A79" s="22">
        <f t="shared" si="2"/>
        <v>81.436792451373634</v>
      </c>
      <c r="B79">
        <v>814.3679245137364</v>
      </c>
      <c r="C79">
        <v>46385.778000000006</v>
      </c>
      <c r="D79" s="23">
        <f t="shared" si="3"/>
        <v>463.85778000000005</v>
      </c>
    </row>
    <row r="80" spans="1:4">
      <c r="A80" s="22">
        <f t="shared" si="2"/>
        <v>82.494413132560311</v>
      </c>
      <c r="B80">
        <v>824.94413132560305</v>
      </c>
      <c r="C80">
        <v>46355.932000000008</v>
      </c>
      <c r="D80" s="23">
        <f t="shared" si="3"/>
        <v>463.55932000000007</v>
      </c>
    </row>
    <row r="81" spans="1:4">
      <c r="A81" s="22">
        <f t="shared" si="2"/>
        <v>83.552033813746988</v>
      </c>
      <c r="B81">
        <v>835.52033813746982</v>
      </c>
      <c r="C81">
        <v>46326.08600000001</v>
      </c>
      <c r="D81" s="23">
        <f t="shared" si="3"/>
        <v>463.26086000000009</v>
      </c>
    </row>
    <row r="82" spans="1:4">
      <c r="A82" s="22">
        <f t="shared" si="2"/>
        <v>84.60965449493365</v>
      </c>
      <c r="B82">
        <v>846.09654494933648</v>
      </c>
      <c r="C82">
        <v>46296.24</v>
      </c>
      <c r="D82" s="23">
        <f t="shared" si="3"/>
        <v>462.9624</v>
      </c>
    </row>
    <row r="83" spans="1:4">
      <c r="A83" s="22">
        <f t="shared" si="2"/>
        <v>85.667275176120327</v>
      </c>
      <c r="B83">
        <v>856.67275176120324</v>
      </c>
      <c r="C83">
        <v>46246.743999999999</v>
      </c>
      <c r="D83" s="23">
        <f t="shared" si="3"/>
        <v>462.46744000000001</v>
      </c>
    </row>
    <row r="84" spans="1:4">
      <c r="A84" s="22">
        <f t="shared" si="2"/>
        <v>86.72489585730699</v>
      </c>
      <c r="B84">
        <v>867.2489585730699</v>
      </c>
      <c r="C84">
        <v>46197.248</v>
      </c>
      <c r="D84" s="23">
        <f t="shared" si="3"/>
        <v>461.97248000000002</v>
      </c>
    </row>
    <row r="85" spans="1:4">
      <c r="A85" s="22">
        <f t="shared" si="2"/>
        <v>87.782516538493653</v>
      </c>
      <c r="B85">
        <v>877.82516538493655</v>
      </c>
      <c r="C85">
        <v>46147.752</v>
      </c>
      <c r="D85" s="23">
        <f t="shared" si="3"/>
        <v>461.47752000000003</v>
      </c>
    </row>
    <row r="86" spans="1:4">
      <c r="A86" s="22">
        <f t="shared" si="2"/>
        <v>88.840137219680329</v>
      </c>
      <c r="B86">
        <v>888.40137219680332</v>
      </c>
      <c r="C86">
        <v>46098.256000000001</v>
      </c>
      <c r="D86" s="23">
        <f t="shared" si="3"/>
        <v>460.98256000000003</v>
      </c>
    </row>
    <row r="87" spans="1:4">
      <c r="A87" s="22">
        <f t="shared" si="2"/>
        <v>89.897757900866992</v>
      </c>
      <c r="B87">
        <v>898.97757900866998</v>
      </c>
      <c r="C87">
        <v>46048.76</v>
      </c>
      <c r="D87" s="23">
        <f t="shared" si="3"/>
        <v>460.48760000000004</v>
      </c>
    </row>
    <row r="88" spans="1:4">
      <c r="A88" s="22">
        <f t="shared" si="2"/>
        <v>90.955378582053669</v>
      </c>
      <c r="B88">
        <v>909.55378582053675</v>
      </c>
      <c r="C88">
        <v>45983.925999999999</v>
      </c>
      <c r="D88" s="23">
        <f t="shared" si="3"/>
        <v>459.83925999999997</v>
      </c>
    </row>
    <row r="89" spans="1:4">
      <c r="A89" s="22">
        <f t="shared" si="2"/>
        <v>92.012999263240346</v>
      </c>
      <c r="B89">
        <v>920.1299926324034</v>
      </c>
      <c r="C89">
        <v>45919.091999999997</v>
      </c>
      <c r="D89" s="23">
        <f t="shared" si="3"/>
        <v>459.19091999999995</v>
      </c>
    </row>
    <row r="90" spans="1:4">
      <c r="A90" s="22">
        <f t="shared" si="2"/>
        <v>93.070619944427023</v>
      </c>
      <c r="B90">
        <v>930.70619944427017</v>
      </c>
      <c r="C90">
        <v>45854.257999999994</v>
      </c>
      <c r="D90" s="23">
        <f t="shared" si="3"/>
        <v>458.54257999999993</v>
      </c>
    </row>
    <row r="91" spans="1:4">
      <c r="A91" s="22">
        <f t="shared" si="2"/>
        <v>94.128240625613685</v>
      </c>
      <c r="B91">
        <v>941.28240625613682</v>
      </c>
      <c r="C91">
        <v>45789.423999999992</v>
      </c>
      <c r="D91" s="23">
        <f t="shared" si="3"/>
        <v>457.89423999999991</v>
      </c>
    </row>
    <row r="92" spans="1:4">
      <c r="A92" s="22">
        <f t="shared" si="2"/>
        <v>95.185861306800362</v>
      </c>
      <c r="B92">
        <v>951.85861306800359</v>
      </c>
      <c r="C92">
        <v>45724.59</v>
      </c>
      <c r="D92" s="23">
        <f t="shared" si="3"/>
        <v>457.24589999999995</v>
      </c>
    </row>
    <row r="93" spans="1:4">
      <c r="A93" s="22">
        <f t="shared" si="2"/>
        <v>96.243481987987025</v>
      </c>
      <c r="B93">
        <v>962.43481987987025</v>
      </c>
      <c r="C93">
        <v>45646.911999999997</v>
      </c>
      <c r="D93" s="23">
        <f t="shared" si="3"/>
        <v>456.46911999999998</v>
      </c>
    </row>
    <row r="94" spans="1:4">
      <c r="A94" s="22">
        <f t="shared" si="2"/>
        <v>97.301102669173702</v>
      </c>
      <c r="B94">
        <v>973.01102669173702</v>
      </c>
      <c r="C94">
        <v>45569.233999999997</v>
      </c>
      <c r="D94" s="23">
        <f t="shared" si="3"/>
        <v>455.69233999999994</v>
      </c>
    </row>
    <row r="95" spans="1:4">
      <c r="A95" s="22">
        <f t="shared" si="2"/>
        <v>98.358723350360364</v>
      </c>
      <c r="B95">
        <v>983.58723350360367</v>
      </c>
      <c r="C95">
        <v>45491.555999999997</v>
      </c>
      <c r="D95" s="23">
        <f t="shared" si="3"/>
        <v>454.91555999999997</v>
      </c>
    </row>
    <row r="96" spans="1:4">
      <c r="A96" s="22">
        <f t="shared" si="2"/>
        <v>99.416344031547027</v>
      </c>
      <c r="B96">
        <v>994.16344031547033</v>
      </c>
      <c r="C96">
        <v>45413.877999999997</v>
      </c>
      <c r="D96" s="23">
        <f t="shared" si="3"/>
        <v>454.13878</v>
      </c>
    </row>
    <row r="97" spans="1:4">
      <c r="A97" s="22">
        <f t="shared" si="2"/>
        <v>100.4739647127337</v>
      </c>
      <c r="B97">
        <v>1004.7396471273371</v>
      </c>
      <c r="C97">
        <v>45336.2</v>
      </c>
      <c r="D97" s="23">
        <f t="shared" si="3"/>
        <v>453.36199999999997</v>
      </c>
    </row>
    <row r="98" spans="1:4">
      <c r="A98" s="22">
        <f t="shared" si="2"/>
        <v>101.53158539392038</v>
      </c>
      <c r="B98">
        <v>1015.3158539392037</v>
      </c>
      <c r="C98">
        <v>45248.151999999995</v>
      </c>
      <c r="D98" s="23">
        <f t="shared" si="3"/>
        <v>452.48151999999993</v>
      </c>
    </row>
    <row r="99" spans="1:4">
      <c r="A99" s="22">
        <f t="shared" si="2"/>
        <v>102.58920607510704</v>
      </c>
      <c r="B99">
        <v>1025.8920607510704</v>
      </c>
      <c r="C99">
        <v>45160.103999999992</v>
      </c>
      <c r="D99" s="23">
        <f t="shared" si="3"/>
        <v>451.6010399999999</v>
      </c>
    </row>
    <row r="100" spans="1:4">
      <c r="A100" s="22">
        <f t="shared" si="2"/>
        <v>103.64682675629372</v>
      </c>
      <c r="B100">
        <v>1036.4682675629372</v>
      </c>
      <c r="C100">
        <v>45072.05599999999</v>
      </c>
      <c r="D100" s="23">
        <f t="shared" si="3"/>
        <v>450.72055999999992</v>
      </c>
    </row>
    <row r="101" spans="1:4">
      <c r="A101" s="22">
        <f t="shared" si="2"/>
        <v>104.7044474374804</v>
      </c>
      <c r="B101">
        <v>1047.0444743748039</v>
      </c>
      <c r="C101">
        <v>44984.007999999987</v>
      </c>
      <c r="D101" s="23">
        <f t="shared" si="3"/>
        <v>449.84007999999989</v>
      </c>
    </row>
    <row r="102" spans="1:4">
      <c r="A102" s="22">
        <f t="shared" si="2"/>
        <v>105.76206811866707</v>
      </c>
      <c r="B102">
        <v>1057.6206811866707</v>
      </c>
      <c r="C102">
        <v>44895.96</v>
      </c>
      <c r="D102" s="23">
        <f t="shared" si="3"/>
        <v>448.95959999999997</v>
      </c>
    </row>
    <row r="103" spans="1:4">
      <c r="A103" s="22">
        <f t="shared" si="2"/>
        <v>106.81968879985372</v>
      </c>
      <c r="B103">
        <v>1068.1968879985372</v>
      </c>
      <c r="C103">
        <v>44802.078000000001</v>
      </c>
      <c r="D103" s="23">
        <f t="shared" si="3"/>
        <v>448.02078</v>
      </c>
    </row>
    <row r="104" spans="1:4">
      <c r="A104" s="22">
        <f t="shared" si="2"/>
        <v>107.8773094810404</v>
      </c>
      <c r="B104">
        <v>1078.773094810404</v>
      </c>
      <c r="C104">
        <v>44708.196000000004</v>
      </c>
      <c r="D104" s="23">
        <f t="shared" si="3"/>
        <v>447.08196000000004</v>
      </c>
    </row>
    <row r="105" spans="1:4">
      <c r="A105" s="22">
        <f t="shared" si="2"/>
        <v>108.93493016222708</v>
      </c>
      <c r="B105">
        <v>1089.3493016222708</v>
      </c>
      <c r="C105">
        <v>44614.314000000006</v>
      </c>
      <c r="D105" s="23">
        <f t="shared" si="3"/>
        <v>446.14314000000007</v>
      </c>
    </row>
    <row r="106" spans="1:4">
      <c r="A106" s="22">
        <f t="shared" si="2"/>
        <v>109.99255084341374</v>
      </c>
      <c r="B106">
        <v>1099.9255084341373</v>
      </c>
      <c r="C106">
        <v>44520.432000000008</v>
      </c>
      <c r="D106" s="23">
        <f t="shared" si="3"/>
        <v>445.20432000000005</v>
      </c>
    </row>
    <row r="107" spans="1:4">
      <c r="A107" s="22">
        <f t="shared" si="2"/>
        <v>111.05017152460042</v>
      </c>
      <c r="B107">
        <v>1110.5017152460041</v>
      </c>
      <c r="C107">
        <v>44426.55</v>
      </c>
      <c r="D107" s="23">
        <f t="shared" si="3"/>
        <v>444.26550000000003</v>
      </c>
    </row>
    <row r="108" spans="1:4">
      <c r="A108" s="22">
        <f t="shared" si="2"/>
        <v>112.10779220578709</v>
      </c>
      <c r="B108">
        <v>1121.0779220578709</v>
      </c>
      <c r="C108">
        <v>44332.288</v>
      </c>
      <c r="D108" s="23">
        <f t="shared" si="3"/>
        <v>443.32288</v>
      </c>
    </row>
    <row r="109" spans="1:4">
      <c r="A109" s="22">
        <f t="shared" si="2"/>
        <v>113.16541288697377</v>
      </c>
      <c r="B109">
        <v>1131.6541288697376</v>
      </c>
      <c r="C109">
        <v>44238.025999999998</v>
      </c>
      <c r="D109" s="23">
        <f t="shared" si="3"/>
        <v>442.38025999999996</v>
      </c>
    </row>
    <row r="110" spans="1:4">
      <c r="A110" s="22">
        <f t="shared" si="2"/>
        <v>114.22303356816042</v>
      </c>
      <c r="B110">
        <v>1142.2303356816042</v>
      </c>
      <c r="C110">
        <v>44143.763999999996</v>
      </c>
      <c r="D110" s="23">
        <f t="shared" si="3"/>
        <v>441.43763999999993</v>
      </c>
    </row>
    <row r="111" spans="1:4">
      <c r="A111" s="22">
        <f t="shared" si="2"/>
        <v>115.28065424934709</v>
      </c>
      <c r="B111">
        <v>1152.8065424934709</v>
      </c>
      <c r="C111">
        <v>44049.501999999993</v>
      </c>
      <c r="D111" s="23">
        <f t="shared" si="3"/>
        <v>440.49501999999995</v>
      </c>
    </row>
    <row r="112" spans="1:4">
      <c r="A112" s="22">
        <f t="shared" si="2"/>
        <v>116.33827493053377</v>
      </c>
      <c r="B112">
        <v>1163.3827493053377</v>
      </c>
      <c r="C112">
        <v>43955.24</v>
      </c>
      <c r="D112" s="23">
        <f t="shared" si="3"/>
        <v>439.55239999999998</v>
      </c>
    </row>
    <row r="113" spans="1:4">
      <c r="A113" s="22">
        <f t="shared" si="2"/>
        <v>117.39589561172045</v>
      </c>
      <c r="B113">
        <v>1173.9589561172045</v>
      </c>
      <c r="C113">
        <v>43861.231999999996</v>
      </c>
      <c r="D113" s="23">
        <f t="shared" si="3"/>
        <v>438.61231999999995</v>
      </c>
    </row>
    <row r="114" spans="1:4">
      <c r="A114" s="22">
        <f t="shared" si="2"/>
        <v>118.4535162929071</v>
      </c>
      <c r="B114">
        <v>1184.535162929071</v>
      </c>
      <c r="C114">
        <v>43767.223999999995</v>
      </c>
      <c r="D114" s="23">
        <f t="shared" si="3"/>
        <v>437.67223999999993</v>
      </c>
    </row>
    <row r="115" spans="1:4">
      <c r="A115" s="22">
        <f t="shared" si="2"/>
        <v>119.51113697409377</v>
      </c>
      <c r="B115">
        <v>1195.1113697409378</v>
      </c>
      <c r="C115">
        <v>43673.215999999993</v>
      </c>
      <c r="D115" s="23">
        <f t="shared" si="3"/>
        <v>436.73215999999991</v>
      </c>
    </row>
    <row r="116" spans="1:4">
      <c r="A116" s="22">
        <f t="shared" si="2"/>
        <v>120.56875765528045</v>
      </c>
      <c r="B116">
        <v>1205.6875765528046</v>
      </c>
      <c r="C116">
        <v>43579.207999999991</v>
      </c>
      <c r="D116" s="23">
        <f t="shared" si="3"/>
        <v>435.79207999999994</v>
      </c>
    </row>
    <row r="117" spans="1:4">
      <c r="A117" s="22">
        <f t="shared" si="2"/>
        <v>121.62637833646711</v>
      </c>
      <c r="B117">
        <v>1216.2637833646711</v>
      </c>
      <c r="C117">
        <v>43485.2</v>
      </c>
      <c r="D117" s="23">
        <f t="shared" si="3"/>
        <v>434.85199999999998</v>
      </c>
    </row>
    <row r="118" spans="1:4">
      <c r="A118" s="22">
        <f t="shared" si="2"/>
        <v>122.68399901765379</v>
      </c>
      <c r="B118">
        <v>1226.8399901765379</v>
      </c>
      <c r="C118">
        <v>43391.437999999995</v>
      </c>
      <c r="D118" s="23">
        <f t="shared" si="3"/>
        <v>433.91437999999994</v>
      </c>
    </row>
    <row r="119" spans="1:4">
      <c r="A119" s="22">
        <f t="shared" si="2"/>
        <v>123.74161969884047</v>
      </c>
      <c r="B119">
        <v>1237.4161969884046</v>
      </c>
      <c r="C119">
        <v>43297.675999999992</v>
      </c>
      <c r="D119" s="23">
        <f t="shared" si="3"/>
        <v>432.9767599999999</v>
      </c>
    </row>
    <row r="120" spans="1:4">
      <c r="A120" s="22">
        <f t="shared" si="2"/>
        <v>124.79924038002714</v>
      </c>
      <c r="B120">
        <v>1247.9924038002714</v>
      </c>
      <c r="C120">
        <v>43203.91399999999</v>
      </c>
      <c r="D120" s="23">
        <f t="shared" si="3"/>
        <v>432.03913999999992</v>
      </c>
    </row>
    <row r="121" spans="1:4">
      <c r="A121" s="22">
        <f t="shared" si="2"/>
        <v>125.85686106121379</v>
      </c>
      <c r="B121">
        <v>1258.5686106121379</v>
      </c>
      <c r="C121">
        <v>43110.151999999987</v>
      </c>
      <c r="D121" s="23">
        <f t="shared" si="3"/>
        <v>431.10151999999988</v>
      </c>
    </row>
    <row r="122" spans="1:4">
      <c r="A122" s="22">
        <f t="shared" si="2"/>
        <v>126.91448174240047</v>
      </c>
      <c r="B122">
        <v>1269.1448174240047</v>
      </c>
      <c r="C122">
        <v>43016.39</v>
      </c>
      <c r="D122" s="23">
        <f t="shared" si="3"/>
        <v>430.16390000000001</v>
      </c>
    </row>
    <row r="123" spans="1:4">
      <c r="A123" s="22">
        <f t="shared" si="2"/>
        <v>127.97210242358715</v>
      </c>
      <c r="B123">
        <v>1279.7210242358715</v>
      </c>
      <c r="C123">
        <v>42922.866000000002</v>
      </c>
      <c r="D123" s="23">
        <f t="shared" si="3"/>
        <v>429.22865999999999</v>
      </c>
    </row>
    <row r="124" spans="1:4">
      <c r="A124" s="22">
        <f t="shared" si="2"/>
        <v>129.02972310477384</v>
      </c>
      <c r="B124">
        <v>1290.2972310477383</v>
      </c>
      <c r="C124">
        <v>42829.342000000004</v>
      </c>
      <c r="D124" s="23">
        <f t="shared" si="3"/>
        <v>428.29342000000003</v>
      </c>
    </row>
    <row r="125" spans="1:4">
      <c r="A125" s="22">
        <f t="shared" si="2"/>
        <v>130.08734378596048</v>
      </c>
      <c r="B125">
        <v>1300.8734378596048</v>
      </c>
      <c r="C125">
        <v>42735.818000000007</v>
      </c>
      <c r="D125" s="23">
        <f t="shared" si="3"/>
        <v>427.35818000000006</v>
      </c>
    </row>
    <row r="126" spans="1:4">
      <c r="A126" s="22">
        <f t="shared" si="2"/>
        <v>131.14496446714716</v>
      </c>
      <c r="B126">
        <v>1311.4496446714716</v>
      </c>
      <c r="C126">
        <v>42642.294000000009</v>
      </c>
      <c r="D126" s="23">
        <f t="shared" si="3"/>
        <v>426.4229400000001</v>
      </c>
    </row>
    <row r="127" spans="1:4">
      <c r="A127" s="22">
        <f t="shared" si="2"/>
        <v>132.20258514833384</v>
      </c>
      <c r="B127">
        <v>1322.0258514833383</v>
      </c>
      <c r="C127">
        <v>42548.77</v>
      </c>
      <c r="D127" s="23">
        <f t="shared" si="3"/>
        <v>425.48769999999996</v>
      </c>
    </row>
    <row r="128" spans="1:4">
      <c r="A128" s="22">
        <f t="shared" si="2"/>
        <v>133.26020582952049</v>
      </c>
      <c r="B128">
        <v>1332.6020582952049</v>
      </c>
      <c r="C128">
        <v>42455.469999999994</v>
      </c>
      <c r="D128" s="23">
        <f t="shared" si="3"/>
        <v>424.55469999999991</v>
      </c>
    </row>
    <row r="129" spans="1:4">
      <c r="A129" s="22">
        <f t="shared" si="2"/>
        <v>134.31782651070716</v>
      </c>
      <c r="B129">
        <v>1343.1782651070716</v>
      </c>
      <c r="C129">
        <v>42362.169999999991</v>
      </c>
      <c r="D129" s="23">
        <f t="shared" si="3"/>
        <v>423.62169999999992</v>
      </c>
    </row>
    <row r="130" spans="1:4">
      <c r="A130" s="22">
        <f t="shared" si="2"/>
        <v>135.37544719189384</v>
      </c>
      <c r="B130">
        <v>1353.7544719189384</v>
      </c>
      <c r="C130">
        <v>42268.869999999988</v>
      </c>
      <c r="D130" s="23">
        <f t="shared" si="3"/>
        <v>422.68869999999987</v>
      </c>
    </row>
    <row r="131" spans="1:4">
      <c r="A131" s="22">
        <f t="shared" ref="A131:A194" si="4">B131/10</f>
        <v>136.43306787308052</v>
      </c>
      <c r="B131">
        <v>1364.3306787308052</v>
      </c>
      <c r="C131">
        <v>42176.06416229999</v>
      </c>
      <c r="D131" s="23">
        <f t="shared" ref="D131:D194" si="5">$C131/100</f>
        <v>421.76064162299991</v>
      </c>
    </row>
    <row r="132" spans="1:4">
      <c r="A132" s="22">
        <f t="shared" si="4"/>
        <v>137.49068855426717</v>
      </c>
      <c r="B132">
        <v>1374.9068855426717</v>
      </c>
      <c r="C132">
        <v>42082.27</v>
      </c>
      <c r="D132" s="23">
        <f t="shared" si="5"/>
        <v>420.82269999999994</v>
      </c>
    </row>
    <row r="133" spans="1:4">
      <c r="A133" s="22">
        <f t="shared" si="4"/>
        <v>138.54830923545384</v>
      </c>
      <c r="B133">
        <v>1385.4830923545385</v>
      </c>
      <c r="C133">
        <v>41989.217081149996</v>
      </c>
      <c r="D133" s="23">
        <f t="shared" si="5"/>
        <v>419.89217081149997</v>
      </c>
    </row>
    <row r="134" spans="1:4">
      <c r="A134" s="22">
        <f t="shared" si="4"/>
        <v>139.60592991664052</v>
      </c>
      <c r="B134">
        <v>1396.0592991664053</v>
      </c>
      <c r="C134">
        <v>41895.966497380003</v>
      </c>
      <c r="D134" s="23">
        <f t="shared" si="5"/>
        <v>418.95966497380005</v>
      </c>
    </row>
    <row r="135" spans="1:4">
      <c r="A135" s="22">
        <f t="shared" si="4"/>
        <v>140.6635505978272</v>
      </c>
      <c r="B135">
        <v>1406.635505978272</v>
      </c>
      <c r="C135">
        <v>41802.715913610002</v>
      </c>
      <c r="D135" s="23">
        <f t="shared" si="5"/>
        <v>418.02715913610001</v>
      </c>
    </row>
    <row r="136" spans="1:4">
      <c r="A136" s="22">
        <f t="shared" si="4"/>
        <v>141.72117127901384</v>
      </c>
      <c r="B136">
        <v>1417.2117127901386</v>
      </c>
      <c r="C136">
        <v>41709.465329840001</v>
      </c>
      <c r="D136" s="23">
        <f t="shared" si="5"/>
        <v>417.09465329840003</v>
      </c>
    </row>
    <row r="137" spans="1:4">
      <c r="A137" s="22">
        <f t="shared" si="4"/>
        <v>142.77879196020052</v>
      </c>
      <c r="B137">
        <v>1427.7879196020053</v>
      </c>
      <c r="C137">
        <v>41616.79</v>
      </c>
      <c r="D137" s="23">
        <f t="shared" si="5"/>
        <v>416.16790000000003</v>
      </c>
    </row>
    <row r="138" spans="1:4">
      <c r="A138" s="22">
        <f t="shared" si="4"/>
        <v>143.8364126413872</v>
      </c>
      <c r="B138">
        <v>1438.3641264138721</v>
      </c>
      <c r="C138">
        <v>41523.862000000001</v>
      </c>
      <c r="D138" s="23">
        <f t="shared" si="5"/>
        <v>415.23862000000003</v>
      </c>
    </row>
    <row r="139" spans="1:4">
      <c r="A139" s="22">
        <f t="shared" si="4"/>
        <v>144.89403332257388</v>
      </c>
      <c r="B139">
        <v>1448.9403332257386</v>
      </c>
      <c r="C139">
        <v>41430.934000000001</v>
      </c>
      <c r="D139" s="23">
        <f t="shared" si="5"/>
        <v>414.30934000000002</v>
      </c>
    </row>
    <row r="140" spans="1:4">
      <c r="A140" s="22">
        <f t="shared" si="4"/>
        <v>145.95165400376055</v>
      </c>
      <c r="B140">
        <v>1459.5165400376054</v>
      </c>
      <c r="C140">
        <v>41338.006000000001</v>
      </c>
      <c r="D140" s="23">
        <f t="shared" si="5"/>
        <v>413.38006000000001</v>
      </c>
    </row>
    <row r="141" spans="1:4">
      <c r="A141" s="22">
        <f t="shared" si="4"/>
        <v>147.00927468494723</v>
      </c>
      <c r="B141">
        <v>1470.0927468494722</v>
      </c>
      <c r="C141">
        <v>41245.078000000001</v>
      </c>
      <c r="D141" s="23">
        <f t="shared" si="5"/>
        <v>412.45078000000001</v>
      </c>
    </row>
    <row r="142" spans="1:4">
      <c r="A142" s="22">
        <f t="shared" si="4"/>
        <v>148.06689536613391</v>
      </c>
      <c r="B142">
        <v>1480.6689536613389</v>
      </c>
      <c r="C142">
        <v>41152.15</v>
      </c>
      <c r="D142" s="23">
        <f t="shared" si="5"/>
        <v>411.5215</v>
      </c>
    </row>
    <row r="143" spans="1:4">
      <c r="A143" s="22">
        <f t="shared" si="4"/>
        <v>149.12451604732055</v>
      </c>
      <c r="B143">
        <v>1491.2451604732055</v>
      </c>
      <c r="C143">
        <v>41059.328000000001</v>
      </c>
      <c r="D143" s="23">
        <f t="shared" si="5"/>
        <v>410.59327999999999</v>
      </c>
    </row>
    <row r="144" spans="1:4">
      <c r="A144" s="22">
        <f t="shared" si="4"/>
        <v>150.18213672850723</v>
      </c>
      <c r="B144">
        <v>1501.8213672850723</v>
      </c>
      <c r="C144">
        <v>40966.506000000001</v>
      </c>
      <c r="D144" s="23">
        <f t="shared" si="5"/>
        <v>409.66506000000004</v>
      </c>
    </row>
    <row r="145" spans="1:4">
      <c r="A145" s="22">
        <f t="shared" si="4"/>
        <v>151.23975740969391</v>
      </c>
      <c r="B145">
        <v>1512.397574096939</v>
      </c>
      <c r="C145">
        <v>40873.684000000001</v>
      </c>
      <c r="D145" s="23">
        <f t="shared" si="5"/>
        <v>408.73684000000003</v>
      </c>
    </row>
    <row r="146" spans="1:4">
      <c r="A146" s="22">
        <f t="shared" si="4"/>
        <v>152.29737809088058</v>
      </c>
      <c r="B146">
        <v>1522.9737809088058</v>
      </c>
      <c r="C146">
        <v>40780.862000000001</v>
      </c>
      <c r="D146" s="23">
        <f t="shared" si="5"/>
        <v>407.80862000000002</v>
      </c>
    </row>
    <row r="147" spans="1:4">
      <c r="A147" s="22">
        <f t="shared" si="4"/>
        <v>153.35499877206723</v>
      </c>
      <c r="B147">
        <v>1533.5499877206723</v>
      </c>
      <c r="C147">
        <v>40688.04</v>
      </c>
      <c r="D147" s="23">
        <f t="shared" si="5"/>
        <v>406.88040000000001</v>
      </c>
    </row>
    <row r="148" spans="1:4">
      <c r="A148" s="22">
        <f t="shared" si="4"/>
        <v>154.41261945325391</v>
      </c>
      <c r="B148">
        <v>1544.1261945325391</v>
      </c>
      <c r="C148">
        <v>40595.234162300003</v>
      </c>
      <c r="D148" s="23">
        <f t="shared" si="5"/>
        <v>405.95234162300005</v>
      </c>
    </row>
    <row r="149" spans="1:4">
      <c r="A149" s="22">
        <f t="shared" si="4"/>
        <v>155.47024013444059</v>
      </c>
      <c r="B149">
        <v>1554.7024013444059</v>
      </c>
      <c r="C149">
        <v>40502.428324600005</v>
      </c>
      <c r="D149" s="23">
        <f t="shared" si="5"/>
        <v>405.02428324600004</v>
      </c>
    </row>
    <row r="150" spans="1:4">
      <c r="A150" s="22">
        <f t="shared" si="4"/>
        <v>156.52786081562724</v>
      </c>
      <c r="B150">
        <v>1565.2786081562724</v>
      </c>
      <c r="C150">
        <v>40409.622486900007</v>
      </c>
      <c r="D150" s="23">
        <f t="shared" si="5"/>
        <v>404.09622486900008</v>
      </c>
    </row>
    <row r="151" spans="1:4">
      <c r="A151" s="22">
        <f t="shared" si="4"/>
        <v>157.58548149681391</v>
      </c>
      <c r="B151">
        <v>1575.8548149681392</v>
      </c>
      <c r="C151">
        <v>40316.816649200009</v>
      </c>
      <c r="D151" s="23">
        <f t="shared" si="5"/>
        <v>403.16816649200007</v>
      </c>
    </row>
    <row r="152" spans="1:4">
      <c r="A152" s="22">
        <f t="shared" si="4"/>
        <v>158.64310217800059</v>
      </c>
      <c r="B152">
        <v>1586.4310217800059</v>
      </c>
      <c r="C152">
        <v>40224.010811500011</v>
      </c>
      <c r="D152" s="23">
        <f t="shared" si="5"/>
        <v>402.24010811500011</v>
      </c>
    </row>
    <row r="153" spans="1:4">
      <c r="A153" s="22">
        <f t="shared" si="4"/>
        <v>159.70072285918727</v>
      </c>
      <c r="B153">
        <v>1597.0072285918727</v>
      </c>
      <c r="C153">
        <v>40131.204973800013</v>
      </c>
      <c r="D153" s="23">
        <f t="shared" si="5"/>
        <v>401.31204973800016</v>
      </c>
    </row>
    <row r="154" spans="1:4">
      <c r="A154" s="22">
        <f t="shared" si="4"/>
        <v>160.75834354037391</v>
      </c>
      <c r="B154">
        <v>1607.5834354037393</v>
      </c>
      <c r="C154">
        <v>40038.399136100015</v>
      </c>
      <c r="D154" s="23">
        <f t="shared" si="5"/>
        <v>400.38399136100014</v>
      </c>
    </row>
    <row r="155" spans="1:4">
      <c r="A155" s="22">
        <f t="shared" si="4"/>
        <v>161.81596422156059</v>
      </c>
      <c r="B155">
        <v>1618.159642215606</v>
      </c>
      <c r="C155">
        <v>39945.593298400017</v>
      </c>
      <c r="D155" s="23">
        <f t="shared" si="5"/>
        <v>399.45593298400019</v>
      </c>
    </row>
    <row r="156" spans="1:4">
      <c r="A156" s="22">
        <f t="shared" si="4"/>
        <v>162.87358490274727</v>
      </c>
      <c r="B156">
        <v>1628.7358490274728</v>
      </c>
      <c r="C156">
        <v>39852.787460700019</v>
      </c>
      <c r="D156" s="23">
        <f t="shared" si="5"/>
        <v>398.52787460700017</v>
      </c>
    </row>
    <row r="157" spans="1:4">
      <c r="A157" s="22">
        <f t="shared" si="4"/>
        <v>163.93120558393395</v>
      </c>
      <c r="B157">
        <v>1639.3120558393396</v>
      </c>
      <c r="C157">
        <v>39759.981623000022</v>
      </c>
      <c r="D157" s="23">
        <f t="shared" si="5"/>
        <v>397.59981623000022</v>
      </c>
    </row>
    <row r="158" spans="1:4">
      <c r="A158" s="22">
        <f t="shared" si="4"/>
        <v>164.98882626512062</v>
      </c>
      <c r="B158">
        <v>1649.8882626512061</v>
      </c>
      <c r="C158">
        <v>39667.175785300024</v>
      </c>
      <c r="D158" s="23">
        <f t="shared" si="5"/>
        <v>396.67175785300026</v>
      </c>
    </row>
    <row r="159" spans="1:4">
      <c r="A159" s="22">
        <f t="shared" si="4"/>
        <v>166.0464469463073</v>
      </c>
      <c r="B159">
        <v>1660.4644694630729</v>
      </c>
      <c r="C159">
        <v>39574.369947600026</v>
      </c>
      <c r="D159" s="23">
        <f t="shared" si="5"/>
        <v>395.74369947600024</v>
      </c>
    </row>
    <row r="160" spans="1:4">
      <c r="A160" s="22">
        <f t="shared" si="4"/>
        <v>167.10406762749398</v>
      </c>
      <c r="B160">
        <v>1671.0406762749396</v>
      </c>
      <c r="C160">
        <v>39481.564109900028</v>
      </c>
      <c r="D160" s="23">
        <f t="shared" si="5"/>
        <v>394.81564109900029</v>
      </c>
    </row>
    <row r="161" spans="1:4">
      <c r="A161" s="22">
        <f t="shared" si="4"/>
        <v>168.16168830868062</v>
      </c>
      <c r="B161">
        <v>1681.6168830868062</v>
      </c>
      <c r="C161">
        <v>39388.75827220003</v>
      </c>
      <c r="D161" s="23">
        <f t="shared" si="5"/>
        <v>393.88758272200027</v>
      </c>
    </row>
    <row r="162" spans="1:4">
      <c r="A162" s="22">
        <f t="shared" si="4"/>
        <v>169.2193089898673</v>
      </c>
      <c r="B162">
        <v>1692.193089898673</v>
      </c>
      <c r="C162">
        <v>39295.952434500032</v>
      </c>
      <c r="D162" s="23">
        <f t="shared" si="5"/>
        <v>392.95952434500032</v>
      </c>
    </row>
    <row r="163" spans="1:4">
      <c r="A163" s="22">
        <f t="shared" si="4"/>
        <v>170.27692967105398</v>
      </c>
      <c r="B163">
        <v>1702.7692967105397</v>
      </c>
      <c r="C163">
        <v>39203.146596800034</v>
      </c>
      <c r="D163" s="23">
        <f t="shared" si="5"/>
        <v>392.03146596800036</v>
      </c>
    </row>
    <row r="164" spans="1:4">
      <c r="A164" s="22">
        <f t="shared" si="4"/>
        <v>171.33455035224065</v>
      </c>
      <c r="B164">
        <v>1713.3455035224065</v>
      </c>
      <c r="C164">
        <v>39110.340759100036</v>
      </c>
      <c r="D164" s="23">
        <f t="shared" si="5"/>
        <v>391.10340759100035</v>
      </c>
    </row>
    <row r="165" spans="1:4">
      <c r="A165" s="22">
        <f t="shared" si="4"/>
        <v>172.3921710334273</v>
      </c>
      <c r="B165">
        <v>1723.921710334273</v>
      </c>
      <c r="C165">
        <v>39017.534921400038</v>
      </c>
      <c r="D165" s="23">
        <f t="shared" si="5"/>
        <v>390.17534921400039</v>
      </c>
    </row>
    <row r="166" spans="1:4">
      <c r="A166" s="22">
        <f t="shared" si="4"/>
        <v>173.44979171461398</v>
      </c>
      <c r="B166">
        <v>1734.4979171461398</v>
      </c>
      <c r="C166">
        <v>38924.72908370004</v>
      </c>
      <c r="D166" s="23">
        <f t="shared" si="5"/>
        <v>389.24729083700038</v>
      </c>
    </row>
    <row r="167" spans="1:4">
      <c r="A167" s="22">
        <f t="shared" si="4"/>
        <v>174.50741239580066</v>
      </c>
      <c r="B167">
        <v>1745.0741239580066</v>
      </c>
      <c r="C167">
        <v>38831.923246000042</v>
      </c>
      <c r="D167" s="23">
        <f t="shared" si="5"/>
        <v>388.31923246000042</v>
      </c>
    </row>
    <row r="168" spans="1:4">
      <c r="A168" s="22">
        <f t="shared" si="4"/>
        <v>175.56503307698731</v>
      </c>
      <c r="B168">
        <v>1755.6503307698731</v>
      </c>
      <c r="C168">
        <v>38739.117408300044</v>
      </c>
      <c r="D168" s="23">
        <f t="shared" si="5"/>
        <v>387.39117408300046</v>
      </c>
    </row>
    <row r="169" spans="1:4">
      <c r="A169" s="22">
        <f t="shared" si="4"/>
        <v>176.62265375817398</v>
      </c>
      <c r="B169">
        <v>1766.2265375817399</v>
      </c>
      <c r="C169">
        <v>38646.311570600046</v>
      </c>
      <c r="D169" s="23">
        <f t="shared" si="5"/>
        <v>386.46311570600045</v>
      </c>
    </row>
    <row r="170" spans="1:4">
      <c r="A170" s="22">
        <f t="shared" si="4"/>
        <v>177.68027443936066</v>
      </c>
      <c r="B170">
        <v>1776.8027443936066</v>
      </c>
      <c r="C170">
        <v>38553.505732900048</v>
      </c>
      <c r="D170" s="23">
        <f t="shared" si="5"/>
        <v>385.53505732900049</v>
      </c>
    </row>
    <row r="171" spans="1:4">
      <c r="A171" s="22">
        <f t="shared" si="4"/>
        <v>178.73789512054734</v>
      </c>
      <c r="B171">
        <v>1787.3789512054734</v>
      </c>
      <c r="C171">
        <v>38460.69989520005</v>
      </c>
      <c r="D171" s="23">
        <f t="shared" si="5"/>
        <v>384.60699895200048</v>
      </c>
    </row>
    <row r="172" spans="1:4">
      <c r="A172" s="22">
        <f t="shared" si="4"/>
        <v>179.79551580173398</v>
      </c>
      <c r="B172">
        <v>1797.95515801734</v>
      </c>
      <c r="C172">
        <v>38367.894057500052</v>
      </c>
      <c r="D172" s="23">
        <f t="shared" si="5"/>
        <v>383.67894057500052</v>
      </c>
    </row>
    <row r="173" spans="1:4">
      <c r="A173" s="22">
        <f t="shared" si="4"/>
        <v>180.85313648292066</v>
      </c>
      <c r="B173">
        <v>1808.5313648292067</v>
      </c>
      <c r="C173">
        <v>38275.088219800055</v>
      </c>
      <c r="D173" s="23">
        <f t="shared" si="5"/>
        <v>382.75088219800057</v>
      </c>
    </row>
    <row r="174" spans="1:4">
      <c r="A174" s="22">
        <f t="shared" si="4"/>
        <v>181.91075716410734</v>
      </c>
      <c r="B174">
        <v>1819.1075716410735</v>
      </c>
      <c r="C174">
        <v>38182.282382100057</v>
      </c>
      <c r="D174" s="23">
        <f t="shared" si="5"/>
        <v>381.82282382100055</v>
      </c>
    </row>
    <row r="175" spans="1:4">
      <c r="A175" s="22">
        <f t="shared" si="4"/>
        <v>182.96837784529401</v>
      </c>
      <c r="B175">
        <v>1829.6837784529403</v>
      </c>
      <c r="C175">
        <v>38089.476544400059</v>
      </c>
      <c r="D175" s="23">
        <f t="shared" si="5"/>
        <v>380.8947654440006</v>
      </c>
    </row>
    <row r="176" spans="1:4">
      <c r="A176" s="22">
        <f t="shared" si="4"/>
        <v>184.02599852648069</v>
      </c>
      <c r="B176">
        <v>1840.2599852648068</v>
      </c>
      <c r="C176">
        <v>37996.670706700061</v>
      </c>
      <c r="D176" s="23">
        <f t="shared" si="5"/>
        <v>379.96670706700058</v>
      </c>
    </row>
    <row r="177" spans="1:4">
      <c r="A177" s="22">
        <f t="shared" si="4"/>
        <v>185.08361920766737</v>
      </c>
      <c r="B177">
        <v>1850.8361920766736</v>
      </c>
      <c r="C177">
        <v>37903.864869000063</v>
      </c>
      <c r="D177" s="23">
        <f t="shared" si="5"/>
        <v>379.03864869000063</v>
      </c>
    </row>
    <row r="178" spans="1:4">
      <c r="A178" s="22">
        <f t="shared" si="4"/>
        <v>186.14123988885405</v>
      </c>
      <c r="B178">
        <v>1861.4123988885403</v>
      </c>
      <c r="C178">
        <v>37811.059031300065</v>
      </c>
      <c r="D178" s="23">
        <f t="shared" si="5"/>
        <v>378.11059031300067</v>
      </c>
    </row>
    <row r="179" spans="1:4">
      <c r="A179" s="22">
        <f t="shared" si="4"/>
        <v>187.19886057004069</v>
      </c>
      <c r="B179">
        <v>1871.9886057004069</v>
      </c>
      <c r="C179">
        <v>37718.253193600067</v>
      </c>
      <c r="D179" s="23">
        <f t="shared" si="5"/>
        <v>377.18253193600066</v>
      </c>
    </row>
    <row r="180" spans="1:4">
      <c r="A180" s="22">
        <f t="shared" si="4"/>
        <v>188.25648125122737</v>
      </c>
      <c r="B180">
        <v>1882.5648125122736</v>
      </c>
      <c r="C180">
        <v>37625.447355900069</v>
      </c>
      <c r="D180" s="23">
        <f t="shared" si="5"/>
        <v>376.2544735590007</v>
      </c>
    </row>
    <row r="181" spans="1:4">
      <c r="A181" s="22">
        <f t="shared" si="4"/>
        <v>189.31410193241405</v>
      </c>
      <c r="B181">
        <v>1893.1410193241404</v>
      </c>
      <c r="C181">
        <v>37532.641518200071</v>
      </c>
      <c r="D181" s="23">
        <f t="shared" si="5"/>
        <v>375.32641518200069</v>
      </c>
    </row>
    <row r="182" spans="1:4">
      <c r="A182" s="22">
        <f t="shared" si="4"/>
        <v>190.37172261360072</v>
      </c>
      <c r="B182">
        <v>1903.7172261360072</v>
      </c>
      <c r="C182">
        <v>37439.835680500073</v>
      </c>
      <c r="D182" s="23">
        <f t="shared" si="5"/>
        <v>374.39835680500073</v>
      </c>
    </row>
    <row r="183" spans="1:4">
      <c r="A183" s="22">
        <f t="shared" si="4"/>
        <v>191.42934329478737</v>
      </c>
      <c r="B183">
        <v>1914.2934329478737</v>
      </c>
      <c r="C183">
        <v>37347.029842800075</v>
      </c>
      <c r="D183" s="23">
        <f t="shared" si="5"/>
        <v>373.47029842800077</v>
      </c>
    </row>
    <row r="184" spans="1:4">
      <c r="A184" s="22">
        <f t="shared" si="4"/>
        <v>192.48696397597405</v>
      </c>
      <c r="B184">
        <v>1924.8696397597405</v>
      </c>
      <c r="C184">
        <v>37254.224005100077</v>
      </c>
      <c r="D184" s="23">
        <f t="shared" si="5"/>
        <v>372.54224005100076</v>
      </c>
    </row>
    <row r="185" spans="1:4">
      <c r="A185" s="22">
        <f t="shared" si="4"/>
        <v>193.54458465716073</v>
      </c>
      <c r="B185">
        <v>1935.4458465716073</v>
      </c>
      <c r="C185">
        <v>37161.418167400079</v>
      </c>
      <c r="D185" s="23">
        <f t="shared" si="5"/>
        <v>371.6141816740008</v>
      </c>
    </row>
    <row r="186" spans="1:4">
      <c r="A186" s="22">
        <f t="shared" si="4"/>
        <v>194.6022053383474</v>
      </c>
      <c r="B186">
        <v>1946.022053383474</v>
      </c>
      <c r="C186">
        <v>37068.612329700081</v>
      </c>
      <c r="D186" s="23">
        <f t="shared" si="5"/>
        <v>370.68612329700079</v>
      </c>
    </row>
    <row r="187" spans="1:4">
      <c r="A187" s="22">
        <f t="shared" si="4"/>
        <v>195.65982601953405</v>
      </c>
      <c r="B187">
        <v>1956.5982601953406</v>
      </c>
      <c r="C187">
        <v>36975.806492000083</v>
      </c>
      <c r="D187" s="23">
        <f t="shared" si="5"/>
        <v>369.75806492000083</v>
      </c>
    </row>
    <row r="188" spans="1:4">
      <c r="A188" s="22">
        <f t="shared" si="4"/>
        <v>196.71744670072073</v>
      </c>
      <c r="B188">
        <v>1967.1744670072073</v>
      </c>
      <c r="C188">
        <v>36883.000654300085</v>
      </c>
      <c r="D188" s="23">
        <f t="shared" si="5"/>
        <v>368.83000654300088</v>
      </c>
    </row>
    <row r="189" spans="1:4">
      <c r="A189" s="22">
        <f t="shared" si="4"/>
        <v>197.77506738190741</v>
      </c>
      <c r="B189">
        <v>1977.7506738190741</v>
      </c>
      <c r="C189">
        <v>36790.194816600088</v>
      </c>
      <c r="D189" s="23">
        <f t="shared" si="5"/>
        <v>367.90194816600086</v>
      </c>
    </row>
    <row r="190" spans="1:4">
      <c r="A190" s="22">
        <f t="shared" si="4"/>
        <v>198.83268806309405</v>
      </c>
      <c r="B190">
        <v>1988.3268806309407</v>
      </c>
      <c r="C190">
        <v>36697.38897890009</v>
      </c>
      <c r="D190" s="23">
        <f t="shared" si="5"/>
        <v>366.97388978900091</v>
      </c>
    </row>
    <row r="191" spans="1:4">
      <c r="A191" s="22">
        <f t="shared" si="4"/>
        <v>199.89030874428073</v>
      </c>
      <c r="B191">
        <v>1998.9030874428074</v>
      </c>
      <c r="C191">
        <v>36604.583141200092</v>
      </c>
      <c r="D191" s="23">
        <f t="shared" si="5"/>
        <v>366.04583141200089</v>
      </c>
    </row>
    <row r="192" spans="1:4">
      <c r="A192" s="22">
        <f t="shared" si="4"/>
        <v>200.94792942546741</v>
      </c>
      <c r="B192">
        <v>2009.4792942546742</v>
      </c>
      <c r="C192">
        <v>36511.777303500094</v>
      </c>
      <c r="D192" s="23">
        <f t="shared" si="5"/>
        <v>365.11777303500094</v>
      </c>
    </row>
    <row r="193" spans="1:4">
      <c r="A193" s="22">
        <f t="shared" si="4"/>
        <v>202.00555010665408</v>
      </c>
      <c r="B193">
        <v>2020.055501066541</v>
      </c>
      <c r="C193">
        <v>36418.971465800096</v>
      </c>
      <c r="D193" s="23">
        <f t="shared" si="5"/>
        <v>364.18971465800098</v>
      </c>
    </row>
    <row r="194" spans="1:4">
      <c r="A194" s="22">
        <f t="shared" si="4"/>
        <v>203.06317078784076</v>
      </c>
      <c r="B194">
        <v>2030.6317078784075</v>
      </c>
      <c r="C194">
        <v>36326.165628100098</v>
      </c>
      <c r="D194" s="23">
        <f t="shared" si="5"/>
        <v>363.26165628100097</v>
      </c>
    </row>
    <row r="195" spans="1:4">
      <c r="A195" s="22">
        <f t="shared" ref="A195:A258" si="6">B195/10</f>
        <v>204.12079146902744</v>
      </c>
      <c r="B195">
        <v>2041.2079146902743</v>
      </c>
      <c r="C195">
        <v>36233.3597904001</v>
      </c>
      <c r="D195" s="23">
        <f t="shared" ref="D195:D258" si="7">$C195/100</f>
        <v>362.33359790400101</v>
      </c>
    </row>
    <row r="196" spans="1:4">
      <c r="A196" s="22">
        <f t="shared" si="6"/>
        <v>205.17841215021409</v>
      </c>
      <c r="B196">
        <v>2051.7841215021408</v>
      </c>
      <c r="C196">
        <v>36140.553952700102</v>
      </c>
      <c r="D196" s="23">
        <f t="shared" si="7"/>
        <v>361.405539527001</v>
      </c>
    </row>
    <row r="197" spans="1:4">
      <c r="A197" s="22">
        <f t="shared" si="6"/>
        <v>206.23603283140079</v>
      </c>
      <c r="B197">
        <v>2062.3603283140078</v>
      </c>
      <c r="C197">
        <v>36047.748115000104</v>
      </c>
      <c r="D197" s="23">
        <f t="shared" si="7"/>
        <v>360.47748115000104</v>
      </c>
    </row>
    <row r="198" spans="1:4">
      <c r="A198" s="22">
        <f t="shared" si="6"/>
        <v>207.29365351258744</v>
      </c>
      <c r="B198">
        <v>2072.9365351258743</v>
      </c>
      <c r="C198">
        <v>35954.942277300106</v>
      </c>
      <c r="D198" s="23">
        <f t="shared" si="7"/>
        <v>359.54942277300108</v>
      </c>
    </row>
    <row r="199" spans="1:4">
      <c r="A199" s="22">
        <f t="shared" si="6"/>
        <v>208.35127419377415</v>
      </c>
      <c r="B199">
        <v>2083.5127419377413</v>
      </c>
      <c r="C199">
        <v>35862.136439600108</v>
      </c>
      <c r="D199" s="23">
        <f t="shared" si="7"/>
        <v>358.62136439600107</v>
      </c>
    </row>
    <row r="200" spans="1:4">
      <c r="A200" s="22">
        <f t="shared" si="6"/>
        <v>209.40889487496079</v>
      </c>
      <c r="B200">
        <v>2094.0889487496079</v>
      </c>
      <c r="C200">
        <v>35769.33060190011</v>
      </c>
      <c r="D200" s="23">
        <f t="shared" si="7"/>
        <v>357.69330601900111</v>
      </c>
    </row>
    <row r="201" spans="1:4">
      <c r="A201" s="22">
        <f t="shared" si="6"/>
        <v>210.46651555614744</v>
      </c>
      <c r="B201">
        <v>2104.6651555614744</v>
      </c>
      <c r="C201">
        <v>35676.524764200112</v>
      </c>
      <c r="D201" s="23">
        <f t="shared" si="7"/>
        <v>356.7652476420011</v>
      </c>
    </row>
    <row r="202" spans="1:4">
      <c r="A202" s="22">
        <f t="shared" si="6"/>
        <v>211.52413623733415</v>
      </c>
      <c r="B202">
        <v>2115.2413623733414</v>
      </c>
      <c r="C202">
        <v>35583.718926500114</v>
      </c>
      <c r="D202" s="23">
        <f t="shared" si="7"/>
        <v>355.83718926500114</v>
      </c>
    </row>
    <row r="203" spans="1:4">
      <c r="A203" s="22">
        <f t="shared" si="6"/>
        <v>212.5817569185208</v>
      </c>
      <c r="B203">
        <v>2125.817569185208</v>
      </c>
      <c r="C203">
        <v>35490.913088800116</v>
      </c>
      <c r="D203" s="23">
        <f t="shared" si="7"/>
        <v>354.90913088800119</v>
      </c>
    </row>
    <row r="204" spans="1:4">
      <c r="A204" s="22">
        <f t="shared" si="6"/>
        <v>213.63937759970744</v>
      </c>
      <c r="B204">
        <v>2136.3937759970745</v>
      </c>
      <c r="C204">
        <v>35398.107251100118</v>
      </c>
      <c r="D204" s="23">
        <f t="shared" si="7"/>
        <v>353.98107251100117</v>
      </c>
    </row>
    <row r="205" spans="1:4">
      <c r="A205" s="22">
        <f t="shared" si="6"/>
        <v>214.69699828089415</v>
      </c>
      <c r="B205">
        <v>2146.9699828089415</v>
      </c>
      <c r="C205">
        <v>35305.301413400121</v>
      </c>
      <c r="D205" s="23">
        <f t="shared" si="7"/>
        <v>353.05301413400122</v>
      </c>
    </row>
    <row r="206" spans="1:4">
      <c r="A206" s="22">
        <f t="shared" si="6"/>
        <v>215.7546189620808</v>
      </c>
      <c r="B206">
        <v>2157.546189620808</v>
      </c>
      <c r="C206">
        <v>35212.495575700123</v>
      </c>
      <c r="D206" s="23">
        <f t="shared" si="7"/>
        <v>352.1249557570012</v>
      </c>
    </row>
    <row r="207" spans="1:4">
      <c r="A207" s="22">
        <f t="shared" si="6"/>
        <v>216.81223964326745</v>
      </c>
      <c r="B207">
        <v>2168.1223964326746</v>
      </c>
      <c r="C207">
        <v>35119.689738000125</v>
      </c>
      <c r="D207" s="23">
        <f t="shared" si="7"/>
        <v>351.19689738000125</v>
      </c>
    </row>
    <row r="208" spans="1:4">
      <c r="A208" s="22">
        <f t="shared" si="6"/>
        <v>217.86986032445415</v>
      </c>
      <c r="B208">
        <v>2178.6986032445416</v>
      </c>
      <c r="C208">
        <v>35026.883900300127</v>
      </c>
      <c r="D208" s="23">
        <f t="shared" si="7"/>
        <v>350.26883900300129</v>
      </c>
    </row>
    <row r="209" spans="1:4">
      <c r="A209" s="22">
        <f t="shared" si="6"/>
        <v>218.9274810056408</v>
      </c>
      <c r="B209">
        <v>2189.2748100564081</v>
      </c>
      <c r="C209">
        <v>34934.078062600129</v>
      </c>
      <c r="D209" s="23">
        <f t="shared" si="7"/>
        <v>349.34078062600128</v>
      </c>
    </row>
    <row r="210" spans="1:4">
      <c r="A210" s="22">
        <f t="shared" si="6"/>
        <v>219.98510168682748</v>
      </c>
      <c r="B210">
        <v>2199.8510168682747</v>
      </c>
      <c r="C210">
        <v>34841.272224900131</v>
      </c>
      <c r="D210" s="23">
        <f t="shared" si="7"/>
        <v>348.41272224900132</v>
      </c>
    </row>
    <row r="211" spans="1:4">
      <c r="A211" s="22">
        <f t="shared" si="6"/>
        <v>221.04272236801415</v>
      </c>
      <c r="B211">
        <v>2210.4272236801417</v>
      </c>
      <c r="C211">
        <v>34748.466387200133</v>
      </c>
      <c r="D211" s="23">
        <f t="shared" si="7"/>
        <v>347.48466387200131</v>
      </c>
    </row>
    <row r="212" spans="1:4">
      <c r="A212" s="22">
        <f t="shared" si="6"/>
        <v>222.10034304920083</v>
      </c>
      <c r="B212">
        <v>2221.0034304920082</v>
      </c>
      <c r="C212">
        <v>34655.660549500135</v>
      </c>
      <c r="D212" s="23">
        <f t="shared" si="7"/>
        <v>346.55660549500135</v>
      </c>
    </row>
    <row r="213" spans="1:4">
      <c r="A213" s="22">
        <f t="shared" si="6"/>
        <v>223.15796373038751</v>
      </c>
      <c r="B213">
        <v>2231.5796373038752</v>
      </c>
      <c r="C213">
        <v>34562.854711800137</v>
      </c>
      <c r="D213" s="23">
        <f t="shared" si="7"/>
        <v>345.62854711800139</v>
      </c>
    </row>
    <row r="214" spans="1:4">
      <c r="A214" s="22">
        <f t="shared" si="6"/>
        <v>224.21558441157418</v>
      </c>
      <c r="B214">
        <v>2242.1558441157417</v>
      </c>
      <c r="C214">
        <v>34470.048874100139</v>
      </c>
      <c r="D214" s="23">
        <f t="shared" si="7"/>
        <v>344.70048874100138</v>
      </c>
    </row>
    <row r="215" spans="1:4">
      <c r="A215" s="22">
        <f t="shared" si="6"/>
        <v>225.27320509276083</v>
      </c>
      <c r="B215">
        <v>2252.7320509276083</v>
      </c>
      <c r="C215">
        <v>34377.243036400141</v>
      </c>
      <c r="D215" s="23">
        <f t="shared" si="7"/>
        <v>343.77243036400142</v>
      </c>
    </row>
    <row r="216" spans="1:4">
      <c r="A216" s="22">
        <f t="shared" si="6"/>
        <v>226.33082577394754</v>
      </c>
      <c r="B216">
        <v>2263.3082577394753</v>
      </c>
      <c r="C216">
        <v>34284.437198700143</v>
      </c>
      <c r="D216" s="23">
        <f t="shared" si="7"/>
        <v>342.84437198700141</v>
      </c>
    </row>
    <row r="217" spans="1:4">
      <c r="A217" s="22">
        <f t="shared" si="6"/>
        <v>227.38844645513419</v>
      </c>
      <c r="B217">
        <v>2273.8844645513418</v>
      </c>
      <c r="C217">
        <v>34191.631361000145</v>
      </c>
      <c r="D217" s="23">
        <f t="shared" si="7"/>
        <v>341.91631361000145</v>
      </c>
    </row>
    <row r="218" spans="1:4">
      <c r="A218" s="22">
        <f t="shared" si="6"/>
        <v>228.44606713632083</v>
      </c>
      <c r="B218">
        <v>2284.4606713632083</v>
      </c>
      <c r="C218">
        <v>34098.825523300147</v>
      </c>
      <c r="D218" s="23">
        <f t="shared" si="7"/>
        <v>340.9882552330015</v>
      </c>
    </row>
    <row r="219" spans="1:4">
      <c r="A219" s="22">
        <f t="shared" si="6"/>
        <v>229.50368781750754</v>
      </c>
      <c r="B219">
        <v>2295.0368781750753</v>
      </c>
      <c r="C219">
        <v>34006.019685600149</v>
      </c>
      <c r="D219" s="23">
        <f t="shared" si="7"/>
        <v>340.06019685600148</v>
      </c>
    </row>
    <row r="220" spans="1:4">
      <c r="A220" s="22">
        <f t="shared" si="6"/>
        <v>230.56130849869419</v>
      </c>
      <c r="B220">
        <v>2305.6130849869419</v>
      </c>
      <c r="C220">
        <v>33913.213847900151</v>
      </c>
      <c r="D220" s="23">
        <f t="shared" si="7"/>
        <v>339.13213847900153</v>
      </c>
    </row>
    <row r="221" spans="1:4">
      <c r="A221" s="22">
        <f t="shared" si="6"/>
        <v>231.61892917988084</v>
      </c>
      <c r="B221">
        <v>2316.1892917988084</v>
      </c>
      <c r="C221">
        <v>33820.408010200154</v>
      </c>
      <c r="D221" s="23">
        <f t="shared" si="7"/>
        <v>338.20408010200151</v>
      </c>
    </row>
    <row r="222" spans="1:4">
      <c r="A222" s="22">
        <f t="shared" si="6"/>
        <v>232.67654986106754</v>
      </c>
      <c r="B222">
        <v>2326.7654986106754</v>
      </c>
      <c r="C222">
        <v>33727.602172500156</v>
      </c>
      <c r="D222" s="23">
        <f t="shared" si="7"/>
        <v>337.27602172500156</v>
      </c>
    </row>
    <row r="223" spans="1:4">
      <c r="A223" s="22">
        <f t="shared" si="6"/>
        <v>233.73417054225419</v>
      </c>
      <c r="B223">
        <v>2337.341705422542</v>
      </c>
      <c r="C223">
        <v>33634.796334800158</v>
      </c>
      <c r="D223" s="23">
        <f t="shared" si="7"/>
        <v>336.3479633480016</v>
      </c>
    </row>
    <row r="224" spans="1:4">
      <c r="A224" s="22">
        <f t="shared" si="6"/>
        <v>234.7917912234409</v>
      </c>
      <c r="B224">
        <v>2347.917912234409</v>
      </c>
      <c r="C224">
        <v>33541.99049710016</v>
      </c>
      <c r="D224" s="23">
        <f t="shared" si="7"/>
        <v>335.41990497100159</v>
      </c>
    </row>
    <row r="225" spans="1:4">
      <c r="A225" s="22">
        <f t="shared" si="6"/>
        <v>235.84941190462754</v>
      </c>
      <c r="B225">
        <v>2358.4941190462755</v>
      </c>
      <c r="C225">
        <v>33449.184659400162</v>
      </c>
      <c r="D225" s="23">
        <f t="shared" si="7"/>
        <v>334.49184659400163</v>
      </c>
    </row>
    <row r="226" spans="1:4">
      <c r="A226" s="22">
        <f t="shared" si="6"/>
        <v>236.90703258581419</v>
      </c>
      <c r="B226">
        <v>2369.070325858142</v>
      </c>
      <c r="C226">
        <v>33356.378821700164</v>
      </c>
      <c r="D226" s="23">
        <f t="shared" si="7"/>
        <v>333.56378821700162</v>
      </c>
    </row>
    <row r="227" spans="1:4">
      <c r="A227" s="22">
        <f t="shared" si="6"/>
        <v>237.9646532670009</v>
      </c>
      <c r="B227">
        <v>2379.646532670009</v>
      </c>
      <c r="C227">
        <v>33263.572984000166</v>
      </c>
      <c r="D227" s="23">
        <f t="shared" si="7"/>
        <v>332.63572984000166</v>
      </c>
    </row>
    <row r="228" spans="1:4">
      <c r="A228" s="22">
        <f t="shared" si="6"/>
        <v>239.02227394818755</v>
      </c>
      <c r="B228">
        <v>2390.2227394818756</v>
      </c>
      <c r="C228">
        <v>33170.767146300168</v>
      </c>
      <c r="D228" s="23">
        <f t="shared" si="7"/>
        <v>331.7076714630017</v>
      </c>
    </row>
    <row r="229" spans="1:4">
      <c r="A229" s="22">
        <f t="shared" si="6"/>
        <v>240.07989462937422</v>
      </c>
      <c r="B229">
        <v>2400.7989462937421</v>
      </c>
      <c r="C229">
        <v>33077.96130860017</v>
      </c>
      <c r="D229" s="23">
        <f t="shared" si="7"/>
        <v>330.77961308600169</v>
      </c>
    </row>
    <row r="230" spans="1:4">
      <c r="A230" s="22">
        <f t="shared" si="6"/>
        <v>241.1375153105609</v>
      </c>
      <c r="B230">
        <v>2411.3751531056091</v>
      </c>
      <c r="C230">
        <v>32985.155470900172</v>
      </c>
      <c r="D230" s="23">
        <f t="shared" si="7"/>
        <v>329.85155470900173</v>
      </c>
    </row>
    <row r="231" spans="1:4">
      <c r="A231" s="22">
        <f t="shared" si="6"/>
        <v>242.19513599174758</v>
      </c>
      <c r="B231">
        <v>2421.9513599174757</v>
      </c>
      <c r="C231">
        <v>32892.349633200174</v>
      </c>
      <c r="D231" s="23">
        <f t="shared" si="7"/>
        <v>328.92349633200172</v>
      </c>
    </row>
    <row r="232" spans="1:4">
      <c r="A232" s="22">
        <f t="shared" si="6"/>
        <v>243.25275667293423</v>
      </c>
      <c r="B232">
        <v>2432.5275667293422</v>
      </c>
      <c r="C232">
        <v>32799.543795500176</v>
      </c>
      <c r="D232" s="23">
        <f t="shared" si="7"/>
        <v>327.99543795500176</v>
      </c>
    </row>
    <row r="233" spans="1:4">
      <c r="A233" s="22">
        <f t="shared" si="6"/>
        <v>244.31037735412093</v>
      </c>
      <c r="B233">
        <v>2443.1037735412092</v>
      </c>
      <c r="C233">
        <v>32706.737957800175</v>
      </c>
      <c r="D233" s="23">
        <f t="shared" si="7"/>
        <v>327.06737957800175</v>
      </c>
    </row>
    <row r="234" spans="1:4">
      <c r="A234" s="22">
        <f t="shared" si="6"/>
        <v>245.36799803530758</v>
      </c>
      <c r="B234">
        <v>2453.6799803530757</v>
      </c>
      <c r="C234">
        <v>32613.932120100173</v>
      </c>
      <c r="D234" s="23">
        <f t="shared" si="7"/>
        <v>326.13932120100174</v>
      </c>
    </row>
    <row r="235" spans="1:4">
      <c r="A235" s="22">
        <f t="shared" si="6"/>
        <v>246.42561871649428</v>
      </c>
      <c r="B235">
        <v>2464.2561871649427</v>
      </c>
      <c r="C235">
        <v>32521.126282400171</v>
      </c>
      <c r="D235" s="23">
        <f t="shared" si="7"/>
        <v>325.21126282400172</v>
      </c>
    </row>
    <row r="236" spans="1:4">
      <c r="A236" s="22">
        <f t="shared" si="6"/>
        <v>247.48323939768093</v>
      </c>
      <c r="B236">
        <v>2474.8323939768093</v>
      </c>
      <c r="C236">
        <v>32428.32044470017</v>
      </c>
      <c r="D236" s="23">
        <f t="shared" si="7"/>
        <v>324.28320444700171</v>
      </c>
    </row>
    <row r="237" spans="1:4">
      <c r="A237" s="22">
        <f t="shared" si="6"/>
        <v>248.54086007886758</v>
      </c>
      <c r="B237">
        <v>2485.4086007886758</v>
      </c>
      <c r="C237">
        <v>32335.514607000168</v>
      </c>
      <c r="D237" s="23">
        <f t="shared" si="7"/>
        <v>323.35514607000169</v>
      </c>
    </row>
    <row r="238" spans="1:4">
      <c r="A238" s="22">
        <f t="shared" si="6"/>
        <v>249.59848076005429</v>
      </c>
      <c r="B238">
        <v>2495.9848076005428</v>
      </c>
      <c r="C238">
        <v>32242.708769300167</v>
      </c>
      <c r="D238" s="23">
        <f t="shared" si="7"/>
        <v>322.42708769300168</v>
      </c>
    </row>
    <row r="239" spans="1:4">
      <c r="A239" s="22">
        <f t="shared" si="6"/>
        <v>250.65610144124093</v>
      </c>
      <c r="B239">
        <v>2506.5610144124093</v>
      </c>
      <c r="C239">
        <v>32149.902931600165</v>
      </c>
      <c r="D239" s="23">
        <f t="shared" si="7"/>
        <v>321.49902931600167</v>
      </c>
    </row>
    <row r="240" spans="1:4">
      <c r="A240" s="22">
        <f t="shared" si="6"/>
        <v>251.71372212242758</v>
      </c>
      <c r="B240">
        <v>2517.1372212242759</v>
      </c>
      <c r="C240">
        <v>32057.097093900164</v>
      </c>
      <c r="D240" s="23">
        <f t="shared" si="7"/>
        <v>320.57097093900165</v>
      </c>
    </row>
    <row r="241" spans="1:4">
      <c r="A241" s="22">
        <f t="shared" si="6"/>
        <v>252.77134280361429</v>
      </c>
      <c r="B241">
        <v>2527.7134280361429</v>
      </c>
      <c r="C241">
        <v>31964.291256200162</v>
      </c>
      <c r="D241" s="23">
        <f t="shared" si="7"/>
        <v>319.64291256200164</v>
      </c>
    </row>
    <row r="242" spans="1:4">
      <c r="A242" s="22">
        <f t="shared" si="6"/>
        <v>253.82896348480094</v>
      </c>
      <c r="B242">
        <v>2538.2896348480094</v>
      </c>
      <c r="C242">
        <v>31871.48541850016</v>
      </c>
      <c r="D242" s="23">
        <f t="shared" si="7"/>
        <v>318.71485418500163</v>
      </c>
    </row>
    <row r="243" spans="1:4">
      <c r="A243" s="22">
        <f t="shared" si="6"/>
        <v>254.88658416598759</v>
      </c>
      <c r="B243">
        <v>2548.865841659876</v>
      </c>
      <c r="C243">
        <v>31778.679580800159</v>
      </c>
      <c r="D243" s="23">
        <f t="shared" si="7"/>
        <v>317.78679580800161</v>
      </c>
    </row>
    <row r="244" spans="1:4">
      <c r="A244" s="22">
        <f t="shared" si="6"/>
        <v>255.94420484717429</v>
      </c>
      <c r="B244">
        <v>2559.442048471743</v>
      </c>
      <c r="C244">
        <v>31685.873743100157</v>
      </c>
      <c r="D244" s="23">
        <f t="shared" si="7"/>
        <v>316.8587374310016</v>
      </c>
    </row>
    <row r="245" spans="1:4">
      <c r="A245" s="22">
        <f t="shared" si="6"/>
        <v>257.00182552836094</v>
      </c>
      <c r="B245">
        <v>2570.0182552836095</v>
      </c>
      <c r="C245">
        <v>31593.067905400156</v>
      </c>
      <c r="D245" s="23">
        <f t="shared" si="7"/>
        <v>315.93067905400153</v>
      </c>
    </row>
    <row r="246" spans="1:4">
      <c r="A246" s="22">
        <f t="shared" si="6"/>
        <v>258.05944620954767</v>
      </c>
      <c r="B246">
        <v>2580.5944620954765</v>
      </c>
      <c r="C246">
        <v>31500.262067700154</v>
      </c>
      <c r="D246" s="23">
        <f t="shared" si="7"/>
        <v>315.00262067700152</v>
      </c>
    </row>
    <row r="247" spans="1:4">
      <c r="A247" s="22">
        <f t="shared" si="6"/>
        <v>259.11706689073429</v>
      </c>
      <c r="B247">
        <v>2591.170668907343</v>
      </c>
      <c r="C247">
        <v>31407.456230000153</v>
      </c>
      <c r="D247" s="23">
        <f t="shared" si="7"/>
        <v>314.0745623000015</v>
      </c>
    </row>
    <row r="248" spans="1:4">
      <c r="A248" s="22">
        <f t="shared" si="6"/>
        <v>260.17468757192097</v>
      </c>
      <c r="B248">
        <v>2601.7468757192096</v>
      </c>
      <c r="C248">
        <v>31314.650392300151</v>
      </c>
      <c r="D248" s="23">
        <f t="shared" si="7"/>
        <v>313.14650392300149</v>
      </c>
    </row>
    <row r="249" spans="1:4">
      <c r="A249" s="22">
        <f t="shared" si="6"/>
        <v>261.23230825310765</v>
      </c>
      <c r="B249">
        <v>2612.3230825310766</v>
      </c>
      <c r="C249">
        <v>31221.844554600149</v>
      </c>
      <c r="D249" s="23">
        <f t="shared" si="7"/>
        <v>312.21844554600148</v>
      </c>
    </row>
    <row r="250" spans="1:4">
      <c r="A250" s="22">
        <f t="shared" si="6"/>
        <v>262.28992893429432</v>
      </c>
      <c r="B250">
        <v>2622.8992893429431</v>
      </c>
      <c r="C250">
        <v>31129.038716900148</v>
      </c>
      <c r="D250" s="23">
        <f t="shared" si="7"/>
        <v>311.29038716900146</v>
      </c>
    </row>
    <row r="251" spans="1:4">
      <c r="A251" s="22">
        <f t="shared" si="6"/>
        <v>263.34754961548094</v>
      </c>
      <c r="B251">
        <v>2633.4754961548097</v>
      </c>
      <c r="C251">
        <v>31036.232879200146</v>
      </c>
      <c r="D251" s="23">
        <f t="shared" si="7"/>
        <v>310.36232879200145</v>
      </c>
    </row>
    <row r="252" spans="1:4">
      <c r="A252" s="22">
        <f t="shared" si="6"/>
        <v>264.40517029666768</v>
      </c>
      <c r="B252">
        <v>2644.0517029666767</v>
      </c>
      <c r="C252">
        <v>30943.427041500145</v>
      </c>
      <c r="D252" s="23">
        <f t="shared" si="7"/>
        <v>309.43427041500144</v>
      </c>
    </row>
    <row r="253" spans="1:4">
      <c r="A253" s="22">
        <f t="shared" si="6"/>
        <v>265.4627909778543</v>
      </c>
      <c r="B253">
        <v>2654.6279097785432</v>
      </c>
      <c r="C253">
        <v>30850.621203800143</v>
      </c>
      <c r="D253" s="23">
        <f t="shared" si="7"/>
        <v>308.50621203800142</v>
      </c>
    </row>
    <row r="254" spans="1:4">
      <c r="A254" s="22">
        <f t="shared" si="6"/>
        <v>266.52041165904097</v>
      </c>
      <c r="B254">
        <v>2665.2041165904097</v>
      </c>
      <c r="C254">
        <v>30757.815366100142</v>
      </c>
      <c r="D254" s="23">
        <f t="shared" si="7"/>
        <v>307.57815366100141</v>
      </c>
    </row>
    <row r="255" spans="1:4">
      <c r="A255" s="22">
        <f t="shared" si="6"/>
        <v>267.57803234022765</v>
      </c>
      <c r="B255">
        <v>2675.7803234022767</v>
      </c>
      <c r="C255">
        <v>30665.00952840014</v>
      </c>
      <c r="D255" s="23">
        <f t="shared" si="7"/>
        <v>306.6500952840014</v>
      </c>
    </row>
    <row r="256" spans="1:4">
      <c r="A256" s="22">
        <f t="shared" si="6"/>
        <v>268.63565302141433</v>
      </c>
      <c r="B256">
        <v>2686.3565302141433</v>
      </c>
      <c r="C256">
        <v>30572.203690700138</v>
      </c>
      <c r="D256" s="23">
        <f t="shared" si="7"/>
        <v>305.72203690700138</v>
      </c>
    </row>
    <row r="257" spans="1:4">
      <c r="A257" s="22">
        <f t="shared" si="6"/>
        <v>269.693273702601</v>
      </c>
      <c r="B257">
        <v>2696.9327370260103</v>
      </c>
      <c r="C257">
        <v>30479.397853000137</v>
      </c>
      <c r="D257" s="23">
        <f t="shared" si="7"/>
        <v>304.79397853000137</v>
      </c>
    </row>
    <row r="258" spans="1:4">
      <c r="A258" s="22">
        <f t="shared" si="6"/>
        <v>270.75089438378768</v>
      </c>
      <c r="B258">
        <v>2707.5089438378768</v>
      </c>
      <c r="C258">
        <v>30386.592015300135</v>
      </c>
      <c r="D258" s="23">
        <f t="shared" si="7"/>
        <v>303.86592015300135</v>
      </c>
    </row>
    <row r="259" spans="1:4">
      <c r="A259" s="22">
        <f t="shared" ref="A259:A322" si="8">B259/10</f>
        <v>271.80851506497436</v>
      </c>
      <c r="B259">
        <v>2718.0851506497434</v>
      </c>
      <c r="C259">
        <v>30293.786177600134</v>
      </c>
      <c r="D259" s="23">
        <f t="shared" ref="D259:D322" si="9">$C259/100</f>
        <v>302.93786177600134</v>
      </c>
    </row>
    <row r="260" spans="1:4">
      <c r="A260" s="22">
        <f t="shared" si="8"/>
        <v>272.86613574616104</v>
      </c>
      <c r="B260">
        <v>2728.6613574616104</v>
      </c>
      <c r="C260">
        <v>30200.980339900132</v>
      </c>
      <c r="D260" s="23">
        <f t="shared" si="9"/>
        <v>302.00980339900133</v>
      </c>
    </row>
    <row r="261" spans="1:4">
      <c r="A261" s="22">
        <f t="shared" si="8"/>
        <v>273.92375642734771</v>
      </c>
      <c r="B261">
        <v>2739.2375642734769</v>
      </c>
      <c r="C261">
        <v>30108.174502200131</v>
      </c>
      <c r="D261" s="23">
        <f t="shared" si="9"/>
        <v>301.08174502200131</v>
      </c>
    </row>
    <row r="262" spans="1:4">
      <c r="A262" s="22">
        <f t="shared" si="8"/>
        <v>274.98137710853433</v>
      </c>
      <c r="B262">
        <v>2749.8137710853434</v>
      </c>
      <c r="C262">
        <v>30015.368664500129</v>
      </c>
      <c r="D262" s="23">
        <f t="shared" si="9"/>
        <v>300.1536866450013</v>
      </c>
    </row>
    <row r="263" spans="1:4">
      <c r="A263" s="22">
        <f t="shared" si="8"/>
        <v>276.03899778972107</v>
      </c>
      <c r="B263">
        <v>2760.3899778972104</v>
      </c>
      <c r="C263">
        <v>29922.562826800127</v>
      </c>
      <c r="D263" s="23">
        <f t="shared" si="9"/>
        <v>299.22562826800129</v>
      </c>
    </row>
    <row r="264" spans="1:4">
      <c r="A264" s="22">
        <f t="shared" si="8"/>
        <v>277.09661847090769</v>
      </c>
      <c r="B264">
        <v>2770.966184709077</v>
      </c>
      <c r="C264">
        <v>29829.756989100126</v>
      </c>
      <c r="D264" s="23">
        <f t="shared" si="9"/>
        <v>298.29756989100127</v>
      </c>
    </row>
    <row r="265" spans="1:4">
      <c r="A265" s="22">
        <f t="shared" si="8"/>
        <v>278.15423915209436</v>
      </c>
      <c r="B265">
        <v>2781.5423915209435</v>
      </c>
      <c r="C265">
        <v>29736.951151400124</v>
      </c>
      <c r="D265" s="23">
        <f t="shared" si="9"/>
        <v>297.36951151400126</v>
      </c>
    </row>
    <row r="266" spans="1:4">
      <c r="A266" s="22">
        <f t="shared" si="8"/>
        <v>279.21185983328104</v>
      </c>
      <c r="B266">
        <v>2792.1185983328105</v>
      </c>
      <c r="C266">
        <v>29644.145313700123</v>
      </c>
      <c r="D266" s="23">
        <f t="shared" si="9"/>
        <v>296.44145313700125</v>
      </c>
    </row>
    <row r="267" spans="1:4">
      <c r="A267" s="22">
        <f t="shared" si="8"/>
        <v>280.26948051446772</v>
      </c>
      <c r="B267">
        <v>2802.694805144677</v>
      </c>
      <c r="C267">
        <v>29551.339476000121</v>
      </c>
      <c r="D267" s="23">
        <f t="shared" si="9"/>
        <v>295.51339476000123</v>
      </c>
    </row>
    <row r="268" spans="1:4">
      <c r="A268" s="22">
        <f t="shared" si="8"/>
        <v>281.32710119565439</v>
      </c>
      <c r="B268">
        <v>2813.271011956544</v>
      </c>
      <c r="C268">
        <v>29458.533638300119</v>
      </c>
      <c r="D268" s="23">
        <f t="shared" si="9"/>
        <v>294.58533638300122</v>
      </c>
    </row>
    <row r="269" spans="1:4">
      <c r="A269" s="22">
        <f t="shared" si="8"/>
        <v>282.38472187684107</v>
      </c>
      <c r="B269">
        <v>2823.8472187684106</v>
      </c>
      <c r="C269">
        <v>29365.727800600118</v>
      </c>
      <c r="D269" s="23">
        <f t="shared" si="9"/>
        <v>293.65727800600121</v>
      </c>
    </row>
    <row r="270" spans="1:4">
      <c r="A270" s="22">
        <f t="shared" si="8"/>
        <v>283.44234255802769</v>
      </c>
      <c r="B270">
        <v>2834.4234255802771</v>
      </c>
      <c r="C270">
        <v>29272.921962900116</v>
      </c>
      <c r="D270" s="23">
        <f t="shared" si="9"/>
        <v>292.72921962900114</v>
      </c>
    </row>
    <row r="271" spans="1:4">
      <c r="A271" s="22">
        <f t="shared" si="8"/>
        <v>284.49996323921442</v>
      </c>
      <c r="B271">
        <v>2844.9996323921441</v>
      </c>
      <c r="C271">
        <v>29180.116125200115</v>
      </c>
      <c r="D271" s="23">
        <f t="shared" si="9"/>
        <v>291.80116125200112</v>
      </c>
    </row>
    <row r="272" spans="1:4">
      <c r="A272" s="22">
        <f t="shared" si="8"/>
        <v>285.55758392040104</v>
      </c>
      <c r="B272">
        <v>2855.5758392040107</v>
      </c>
      <c r="C272">
        <v>29087.310287500113</v>
      </c>
      <c r="D272" s="23">
        <f t="shared" si="9"/>
        <v>290.87310287500111</v>
      </c>
    </row>
    <row r="273" spans="1:4">
      <c r="A273" s="22">
        <f t="shared" si="8"/>
        <v>286.61520460158772</v>
      </c>
      <c r="B273">
        <v>2866.1520460158772</v>
      </c>
      <c r="C273">
        <v>28994.504449800112</v>
      </c>
      <c r="D273" s="23">
        <f t="shared" si="9"/>
        <v>289.9450444980011</v>
      </c>
    </row>
    <row r="274" spans="1:4">
      <c r="A274" s="22">
        <f t="shared" si="8"/>
        <v>287.6728252827744</v>
      </c>
      <c r="B274">
        <v>2876.7282528277442</v>
      </c>
      <c r="C274">
        <v>28901.69861210011</v>
      </c>
      <c r="D274" s="23">
        <f t="shared" si="9"/>
        <v>289.01698612100108</v>
      </c>
    </row>
    <row r="275" spans="1:4">
      <c r="A275" s="22">
        <f t="shared" si="8"/>
        <v>288.73044596396107</v>
      </c>
      <c r="B275">
        <v>2887.3044596396107</v>
      </c>
      <c r="C275">
        <v>28808.892774400108</v>
      </c>
      <c r="D275" s="23">
        <f t="shared" si="9"/>
        <v>288.08892774400107</v>
      </c>
    </row>
    <row r="276" spans="1:4">
      <c r="A276" s="22">
        <f t="shared" si="8"/>
        <v>289.78806664514775</v>
      </c>
      <c r="B276">
        <v>2897.8806664514773</v>
      </c>
      <c r="C276">
        <v>28716.086936700107</v>
      </c>
      <c r="D276" s="23">
        <f t="shared" si="9"/>
        <v>287.16086936700106</v>
      </c>
    </row>
    <row r="277" spans="1:4">
      <c r="A277" s="22">
        <f t="shared" si="8"/>
        <v>290.84568732633443</v>
      </c>
      <c r="B277">
        <v>2908.4568732633443</v>
      </c>
      <c r="C277">
        <v>28623.281099000105</v>
      </c>
      <c r="D277" s="23">
        <f t="shared" si="9"/>
        <v>286.23281099000104</v>
      </c>
    </row>
    <row r="278" spans="1:4">
      <c r="A278" s="22">
        <f t="shared" si="8"/>
        <v>291.9033080075211</v>
      </c>
      <c r="B278">
        <v>2919.0330800752108</v>
      </c>
      <c r="C278">
        <v>28530.475261300104</v>
      </c>
      <c r="D278" s="23">
        <f t="shared" si="9"/>
        <v>285.30475261300103</v>
      </c>
    </row>
    <row r="279" spans="1:4">
      <c r="A279" s="22">
        <f t="shared" si="8"/>
        <v>292.96092868870778</v>
      </c>
      <c r="B279">
        <v>2929.6092868870778</v>
      </c>
      <c r="C279">
        <v>28437.669423600102</v>
      </c>
      <c r="D279" s="23">
        <f t="shared" si="9"/>
        <v>284.37669423600101</v>
      </c>
    </row>
    <row r="280" spans="1:4">
      <c r="A280" s="22">
        <f t="shared" si="8"/>
        <v>294.01854936989446</v>
      </c>
      <c r="B280">
        <v>2940.1854936989444</v>
      </c>
      <c r="C280">
        <v>28344.863585900101</v>
      </c>
      <c r="D280" s="23">
        <f t="shared" si="9"/>
        <v>283.448635859001</v>
      </c>
    </row>
    <row r="281" spans="1:4">
      <c r="A281" s="22">
        <f t="shared" si="8"/>
        <v>295.07617005108108</v>
      </c>
      <c r="B281">
        <v>2950.7617005108109</v>
      </c>
      <c r="C281">
        <v>28252.057748200099</v>
      </c>
      <c r="D281" s="23">
        <f t="shared" si="9"/>
        <v>282.52057748200099</v>
      </c>
    </row>
    <row r="282" spans="1:4">
      <c r="A282" s="22">
        <f t="shared" si="8"/>
        <v>296.13379073226781</v>
      </c>
      <c r="B282">
        <v>2961.3379073226779</v>
      </c>
      <c r="C282">
        <v>28159.251910500097</v>
      </c>
      <c r="D282" s="23">
        <f t="shared" si="9"/>
        <v>281.59251910500097</v>
      </c>
    </row>
    <row r="283" spans="1:4">
      <c r="A283" s="22">
        <f t="shared" si="8"/>
        <v>297.19141141345443</v>
      </c>
      <c r="B283">
        <v>2971.9141141345444</v>
      </c>
      <c r="C283">
        <v>28066.446072800096</v>
      </c>
      <c r="D283" s="23">
        <f t="shared" si="9"/>
        <v>280.66446072800096</v>
      </c>
    </row>
    <row r="284" spans="1:4">
      <c r="A284" s="22">
        <f t="shared" si="8"/>
        <v>298.24903209464111</v>
      </c>
      <c r="B284">
        <v>2982.490320946411</v>
      </c>
      <c r="C284">
        <v>27973.640235100094</v>
      </c>
      <c r="D284" s="23">
        <f t="shared" si="9"/>
        <v>279.73640235100095</v>
      </c>
    </row>
    <row r="285" spans="1:4">
      <c r="A285" s="22">
        <f t="shared" si="8"/>
        <v>299.30665277582779</v>
      </c>
      <c r="B285">
        <v>2993.066527758278</v>
      </c>
      <c r="C285">
        <v>27880.834397400093</v>
      </c>
      <c r="D285" s="23">
        <f t="shared" si="9"/>
        <v>278.80834397400093</v>
      </c>
    </row>
    <row r="286" spans="1:4">
      <c r="A286" s="22">
        <f t="shared" si="8"/>
        <v>300.36427345701446</v>
      </c>
      <c r="B286">
        <v>3003.6427345701445</v>
      </c>
      <c r="C286">
        <v>27788.028559700091</v>
      </c>
      <c r="D286" s="23">
        <f t="shared" si="9"/>
        <v>277.88028559700092</v>
      </c>
    </row>
    <row r="287" spans="1:4">
      <c r="A287" s="22">
        <f t="shared" si="8"/>
        <v>301.42189413820108</v>
      </c>
      <c r="B287">
        <v>3014.2189413820111</v>
      </c>
      <c r="C287">
        <v>27695.22272200009</v>
      </c>
      <c r="D287" s="23">
        <f t="shared" si="9"/>
        <v>276.95222722000091</v>
      </c>
    </row>
    <row r="288" spans="1:4">
      <c r="A288" s="22">
        <f t="shared" si="8"/>
        <v>302.47951481938782</v>
      </c>
      <c r="B288">
        <v>3024.795148193878</v>
      </c>
      <c r="C288">
        <v>27602.416884300088</v>
      </c>
      <c r="D288" s="23">
        <f t="shared" si="9"/>
        <v>276.02416884300089</v>
      </c>
    </row>
    <row r="289" spans="1:4">
      <c r="A289" s="22">
        <f t="shared" si="8"/>
        <v>303.53713550057444</v>
      </c>
      <c r="B289">
        <v>3035.3713550057446</v>
      </c>
      <c r="C289">
        <v>27509.611046600086</v>
      </c>
      <c r="D289" s="23">
        <f t="shared" si="9"/>
        <v>275.09611046600088</v>
      </c>
    </row>
    <row r="290" spans="1:4">
      <c r="A290" s="22">
        <f t="shared" si="8"/>
        <v>304.59475618176117</v>
      </c>
      <c r="B290">
        <v>3045.9475618176116</v>
      </c>
      <c r="C290">
        <v>27416.805208900085</v>
      </c>
      <c r="D290" s="23">
        <f t="shared" si="9"/>
        <v>274.16805208900087</v>
      </c>
    </row>
    <row r="291" spans="1:4">
      <c r="A291" s="22">
        <f t="shared" si="8"/>
        <v>305.65237686294779</v>
      </c>
      <c r="B291">
        <v>3056.5237686294781</v>
      </c>
      <c r="C291">
        <v>27323.999371200083</v>
      </c>
      <c r="D291" s="23">
        <f t="shared" si="9"/>
        <v>273.23999371200085</v>
      </c>
    </row>
    <row r="292" spans="1:4">
      <c r="A292" s="22">
        <f t="shared" si="8"/>
        <v>306.70999754413447</v>
      </c>
      <c r="B292">
        <v>3067.0999754413447</v>
      </c>
      <c r="C292">
        <v>27231.193533500082</v>
      </c>
      <c r="D292" s="23">
        <f t="shared" si="9"/>
        <v>272.31193533500084</v>
      </c>
    </row>
    <row r="293" spans="1:4">
      <c r="A293" s="22">
        <f t="shared" si="8"/>
        <v>307.76761822532114</v>
      </c>
      <c r="B293">
        <v>3077.6761822532117</v>
      </c>
      <c r="C293">
        <v>27138.38769580008</v>
      </c>
      <c r="D293" s="23">
        <f t="shared" si="9"/>
        <v>271.38387695800083</v>
      </c>
    </row>
    <row r="294" spans="1:4">
      <c r="A294" s="22">
        <f t="shared" si="8"/>
        <v>308.82523890650782</v>
      </c>
      <c r="B294">
        <v>3088.2523890650782</v>
      </c>
      <c r="C294">
        <v>27045.581858100079</v>
      </c>
      <c r="D294" s="23">
        <f t="shared" si="9"/>
        <v>270.45581858100081</v>
      </c>
    </row>
    <row r="295" spans="1:4">
      <c r="A295" s="22">
        <f t="shared" si="8"/>
        <v>309.8828595876945</v>
      </c>
      <c r="B295">
        <v>3098.8285958769447</v>
      </c>
      <c r="C295">
        <v>26952.776020400077</v>
      </c>
      <c r="D295" s="23">
        <f t="shared" si="9"/>
        <v>269.52776020400074</v>
      </c>
    </row>
    <row r="296" spans="1:4">
      <c r="A296" s="22">
        <f t="shared" si="8"/>
        <v>310.94048026888117</v>
      </c>
      <c r="B296">
        <v>3109.4048026888117</v>
      </c>
      <c r="C296">
        <v>26859.970182700075</v>
      </c>
      <c r="D296" s="23">
        <f t="shared" si="9"/>
        <v>268.59970182700073</v>
      </c>
    </row>
    <row r="297" spans="1:4">
      <c r="A297" s="22">
        <f t="shared" si="8"/>
        <v>311.99810095006785</v>
      </c>
      <c r="B297">
        <v>3119.9810095006783</v>
      </c>
      <c r="C297">
        <v>26767.164345000074</v>
      </c>
      <c r="D297" s="23">
        <f t="shared" si="9"/>
        <v>267.67164345000072</v>
      </c>
    </row>
    <row r="298" spans="1:4">
      <c r="A298" s="22">
        <f t="shared" si="8"/>
        <v>313.05572163125447</v>
      </c>
      <c r="B298">
        <v>3130.5572163125448</v>
      </c>
      <c r="C298">
        <v>26674.358507300072</v>
      </c>
      <c r="D298" s="23">
        <f t="shared" si="9"/>
        <v>266.7435850730007</v>
      </c>
    </row>
    <row r="299" spans="1:4">
      <c r="A299" s="22">
        <f t="shared" si="8"/>
        <v>314.1133423124412</v>
      </c>
      <c r="B299">
        <v>3141.1334231244118</v>
      </c>
      <c r="C299">
        <v>26581.552669600071</v>
      </c>
      <c r="D299" s="23">
        <f t="shared" si="9"/>
        <v>265.81552669600069</v>
      </c>
    </row>
    <row r="300" spans="1:4">
      <c r="A300" s="22">
        <f t="shared" si="8"/>
        <v>315.17096299362782</v>
      </c>
      <c r="B300">
        <v>3151.7096299362784</v>
      </c>
      <c r="C300">
        <v>26488.746831900069</v>
      </c>
      <c r="D300" s="23">
        <f t="shared" si="9"/>
        <v>264.88746831900067</v>
      </c>
    </row>
    <row r="301" spans="1:4">
      <c r="A301" s="22">
        <f t="shared" si="8"/>
        <v>316.22858367481456</v>
      </c>
      <c r="B301">
        <v>3162.2858367481454</v>
      </c>
      <c r="C301">
        <v>26395.940994200068</v>
      </c>
      <c r="D301" s="23">
        <f t="shared" si="9"/>
        <v>263.95940994200066</v>
      </c>
    </row>
    <row r="302" spans="1:4">
      <c r="A302" s="22">
        <f t="shared" si="8"/>
        <v>317.28620435600118</v>
      </c>
      <c r="B302">
        <v>3172.8620435600119</v>
      </c>
      <c r="C302">
        <v>26303.135156500066</v>
      </c>
      <c r="D302" s="23">
        <f t="shared" si="9"/>
        <v>263.03135156500065</v>
      </c>
    </row>
    <row r="303" spans="1:4">
      <c r="A303" s="22">
        <f t="shared" si="8"/>
        <v>318.34382503718786</v>
      </c>
      <c r="B303">
        <v>3183.4382503718784</v>
      </c>
      <c r="C303">
        <v>26210.329318800064</v>
      </c>
      <c r="D303" s="23">
        <f t="shared" si="9"/>
        <v>262.10329318800063</v>
      </c>
    </row>
    <row r="304" spans="1:4">
      <c r="A304" s="22">
        <f t="shared" si="8"/>
        <v>319.40144571837453</v>
      </c>
      <c r="B304">
        <v>3194.0144571837454</v>
      </c>
      <c r="C304">
        <v>26117.523481100063</v>
      </c>
      <c r="D304" s="23">
        <f t="shared" si="9"/>
        <v>261.17523481100062</v>
      </c>
    </row>
    <row r="305" spans="1:4">
      <c r="A305" s="22">
        <f t="shared" si="8"/>
        <v>320.45906639956121</v>
      </c>
      <c r="B305">
        <v>3204.590663995612</v>
      </c>
      <c r="C305">
        <v>26024.717643400061</v>
      </c>
      <c r="D305" s="23">
        <f t="shared" si="9"/>
        <v>260.24717643400061</v>
      </c>
    </row>
    <row r="306" spans="1:4">
      <c r="A306" s="22">
        <f t="shared" si="8"/>
        <v>321.51668708074783</v>
      </c>
      <c r="B306">
        <v>3215.1668708074785</v>
      </c>
      <c r="C306">
        <v>25931.91180570006</v>
      </c>
      <c r="D306" s="23">
        <f t="shared" si="9"/>
        <v>259.31911805700059</v>
      </c>
    </row>
    <row r="307" spans="1:4">
      <c r="A307" s="22">
        <f t="shared" si="8"/>
        <v>322.57430776193456</v>
      </c>
      <c r="B307">
        <v>3225.7430776193455</v>
      </c>
      <c r="C307">
        <v>25839.105968000058</v>
      </c>
      <c r="D307" s="23">
        <f t="shared" si="9"/>
        <v>258.39105968000058</v>
      </c>
    </row>
    <row r="308" spans="1:4">
      <c r="A308" s="22">
        <f t="shared" si="8"/>
        <v>323.63192844312118</v>
      </c>
      <c r="B308">
        <v>3236.3192844312121</v>
      </c>
      <c r="C308">
        <v>25746.300130300056</v>
      </c>
      <c r="D308" s="23">
        <f t="shared" si="9"/>
        <v>257.46300130300057</v>
      </c>
    </row>
    <row r="309" spans="1:4">
      <c r="A309" s="22">
        <f t="shared" si="8"/>
        <v>324.68954912430786</v>
      </c>
      <c r="B309">
        <v>3246.8954912430786</v>
      </c>
      <c r="C309">
        <v>25653.494292600055</v>
      </c>
      <c r="D309" s="23">
        <f t="shared" si="9"/>
        <v>256.53494292600055</v>
      </c>
    </row>
    <row r="310" spans="1:4">
      <c r="A310" s="22">
        <f t="shared" si="8"/>
        <v>325.74716980549454</v>
      </c>
      <c r="B310">
        <v>3257.4716980549456</v>
      </c>
      <c r="C310">
        <v>25560.688454900053</v>
      </c>
      <c r="D310" s="23">
        <f t="shared" si="9"/>
        <v>255.60688454900054</v>
      </c>
    </row>
    <row r="311" spans="1:4">
      <c r="A311" s="22">
        <f t="shared" si="8"/>
        <v>326.80479048668121</v>
      </c>
      <c r="B311">
        <v>3268.0479048668121</v>
      </c>
      <c r="C311">
        <v>25467.882617200052</v>
      </c>
      <c r="D311" s="23">
        <f t="shared" si="9"/>
        <v>254.67882617200053</v>
      </c>
    </row>
    <row r="312" spans="1:4">
      <c r="A312" s="22">
        <f t="shared" si="8"/>
        <v>327.86241116786789</v>
      </c>
      <c r="B312">
        <v>3278.6241116786791</v>
      </c>
      <c r="C312">
        <v>25375.07677950005</v>
      </c>
      <c r="D312" s="23">
        <f t="shared" si="9"/>
        <v>253.75076779500051</v>
      </c>
    </row>
    <row r="313" spans="1:4">
      <c r="A313" s="22">
        <f t="shared" si="8"/>
        <v>328.92003184905457</v>
      </c>
      <c r="B313">
        <v>3289.2003184905457</v>
      </c>
      <c r="C313">
        <v>25282.270941800049</v>
      </c>
      <c r="D313" s="23">
        <f t="shared" si="9"/>
        <v>252.8227094180005</v>
      </c>
    </row>
    <row r="314" spans="1:4">
      <c r="A314" s="22">
        <f t="shared" si="8"/>
        <v>329.97765253024124</v>
      </c>
      <c r="B314">
        <v>3299.7765253024122</v>
      </c>
      <c r="C314">
        <v>25189.465104100047</v>
      </c>
      <c r="D314" s="23">
        <f t="shared" si="9"/>
        <v>251.89465104100046</v>
      </c>
    </row>
    <row r="315" spans="1:4">
      <c r="A315" s="22">
        <f t="shared" si="8"/>
        <v>331.03527321142792</v>
      </c>
      <c r="B315">
        <v>3310.3527321142792</v>
      </c>
      <c r="C315">
        <v>25096.659266400045</v>
      </c>
      <c r="D315" s="23">
        <f t="shared" si="9"/>
        <v>250.96659266400044</v>
      </c>
    </row>
    <row r="316" spans="1:4">
      <c r="A316" s="22">
        <f t="shared" si="8"/>
        <v>332.0928938926146</v>
      </c>
      <c r="B316">
        <v>3320.9289389261457</v>
      </c>
      <c r="C316">
        <v>25003.853428700044</v>
      </c>
      <c r="D316" s="23">
        <f t="shared" si="9"/>
        <v>250.03853428700043</v>
      </c>
    </row>
    <row r="317" spans="1:4">
      <c r="A317" s="22">
        <f t="shared" si="8"/>
        <v>333.15051457380122</v>
      </c>
      <c r="B317">
        <v>3331.5051457380123</v>
      </c>
      <c r="C317">
        <v>24911.047591000042</v>
      </c>
      <c r="D317" s="23">
        <f t="shared" si="9"/>
        <v>249.11047591000042</v>
      </c>
    </row>
    <row r="318" spans="1:4">
      <c r="A318" s="22">
        <f t="shared" si="8"/>
        <v>334.20813525498795</v>
      </c>
      <c r="B318">
        <v>3342.0813525498793</v>
      </c>
      <c r="C318">
        <v>24818.241753300041</v>
      </c>
      <c r="D318" s="23">
        <f t="shared" si="9"/>
        <v>248.1824175330004</v>
      </c>
    </row>
    <row r="319" spans="1:4">
      <c r="A319" s="22">
        <f t="shared" si="8"/>
        <v>335.26575593617457</v>
      </c>
      <c r="B319">
        <v>3352.6575593617458</v>
      </c>
      <c r="C319">
        <v>24725.435915600039</v>
      </c>
      <c r="D319" s="23">
        <f t="shared" si="9"/>
        <v>247.25435915600039</v>
      </c>
    </row>
    <row r="320" spans="1:4">
      <c r="A320" s="22">
        <f t="shared" si="8"/>
        <v>336.32337661736125</v>
      </c>
      <c r="B320">
        <v>3363.2337661736124</v>
      </c>
      <c r="C320">
        <v>24632.630077900038</v>
      </c>
      <c r="D320" s="23">
        <f t="shared" si="9"/>
        <v>246.32630077900038</v>
      </c>
    </row>
    <row r="321" spans="1:4">
      <c r="A321" s="22">
        <f t="shared" si="8"/>
        <v>337.38099729854792</v>
      </c>
      <c r="B321">
        <v>3373.8099729854794</v>
      </c>
      <c r="C321">
        <v>24539.824240200036</v>
      </c>
      <c r="D321" s="23">
        <f t="shared" si="9"/>
        <v>245.39824240200036</v>
      </c>
    </row>
    <row r="322" spans="1:4">
      <c r="A322" s="22">
        <f t="shared" si="8"/>
        <v>338.4386179797346</v>
      </c>
      <c r="B322">
        <v>3384.3861797973459</v>
      </c>
      <c r="C322">
        <v>24447.018402500034</v>
      </c>
      <c r="D322" s="23">
        <f t="shared" si="9"/>
        <v>244.47018402500035</v>
      </c>
    </row>
    <row r="323" spans="1:4">
      <c r="A323" s="22">
        <f t="shared" ref="A323:A386" si="10">B323/10</f>
        <v>339.49623866092128</v>
      </c>
      <c r="B323">
        <v>3394.9623866092129</v>
      </c>
      <c r="C323">
        <v>24354.212564800033</v>
      </c>
      <c r="D323" s="23">
        <f t="shared" ref="D323:D386" si="11">$C323/100</f>
        <v>243.54212564800034</v>
      </c>
    </row>
    <row r="324" spans="1:4">
      <c r="A324" s="22">
        <f t="shared" si="10"/>
        <v>340.55385934210796</v>
      </c>
      <c r="B324">
        <v>3405.5385934210794</v>
      </c>
      <c r="C324">
        <v>24261.406727100031</v>
      </c>
      <c r="D324" s="23">
        <f t="shared" si="11"/>
        <v>242.61406727100032</v>
      </c>
    </row>
    <row r="325" spans="1:4">
      <c r="A325" s="22">
        <f t="shared" si="10"/>
        <v>341.61148002329458</v>
      </c>
      <c r="B325">
        <v>3416.114800232946</v>
      </c>
      <c r="C325">
        <v>24168.60088940003</v>
      </c>
      <c r="D325" s="23">
        <f t="shared" si="11"/>
        <v>241.68600889400031</v>
      </c>
    </row>
    <row r="326" spans="1:4">
      <c r="A326" s="22">
        <f t="shared" si="10"/>
        <v>342.66910070448131</v>
      </c>
      <c r="B326">
        <v>3426.691007044813</v>
      </c>
      <c r="C326">
        <v>24075.795051700028</v>
      </c>
      <c r="D326" s="23">
        <f t="shared" si="11"/>
        <v>240.75795051700027</v>
      </c>
    </row>
    <row r="327" spans="1:4">
      <c r="A327" s="22">
        <f t="shared" si="10"/>
        <v>343.72672138566793</v>
      </c>
      <c r="B327">
        <v>3437.2672138566795</v>
      </c>
      <c r="C327">
        <v>23982.989214000027</v>
      </c>
      <c r="D327" s="23">
        <f t="shared" si="11"/>
        <v>239.82989214000025</v>
      </c>
    </row>
    <row r="328" spans="1:4">
      <c r="A328" s="22">
        <f t="shared" si="10"/>
        <v>344.78434206685461</v>
      </c>
      <c r="B328">
        <v>3447.8434206685461</v>
      </c>
      <c r="C328">
        <v>23890.183376300025</v>
      </c>
      <c r="D328" s="23">
        <f t="shared" si="11"/>
        <v>238.90183376300024</v>
      </c>
    </row>
    <row r="329" spans="1:4">
      <c r="A329" s="22">
        <f t="shared" si="10"/>
        <v>345.84196274804128</v>
      </c>
      <c r="B329">
        <v>3458.4196274804131</v>
      </c>
      <c r="C329">
        <v>23797.377538600023</v>
      </c>
      <c r="D329" s="23">
        <f t="shared" si="11"/>
        <v>237.97377538600023</v>
      </c>
    </row>
    <row r="330" spans="1:4">
      <c r="A330" s="22">
        <f t="shared" si="10"/>
        <v>346.89958342922796</v>
      </c>
      <c r="B330">
        <v>3468.9958342922796</v>
      </c>
      <c r="C330">
        <v>23704.571700900022</v>
      </c>
      <c r="D330" s="23">
        <f t="shared" si="11"/>
        <v>237.04571700900021</v>
      </c>
    </row>
    <row r="331" spans="1:4">
      <c r="A331" s="22">
        <f t="shared" si="10"/>
        <v>347.95720411041464</v>
      </c>
      <c r="B331">
        <v>3479.5720411041461</v>
      </c>
      <c r="C331">
        <v>23611.76586320002</v>
      </c>
      <c r="D331" s="23">
        <f t="shared" si="11"/>
        <v>236.1176586320002</v>
      </c>
    </row>
    <row r="332" spans="1:4">
      <c r="A332" s="22">
        <f t="shared" si="10"/>
        <v>349.01482479160131</v>
      </c>
      <c r="B332">
        <v>3490.1482479160131</v>
      </c>
      <c r="C332">
        <v>23518.960025500019</v>
      </c>
      <c r="D332" s="23">
        <f t="shared" si="11"/>
        <v>235.18960025500019</v>
      </c>
    </row>
    <row r="333" spans="1:4">
      <c r="A333" s="22">
        <f t="shared" si="10"/>
        <v>350.07244547278799</v>
      </c>
      <c r="B333">
        <v>3500.7244547278797</v>
      </c>
      <c r="C333">
        <v>23426.154187800017</v>
      </c>
      <c r="D333" s="23">
        <f t="shared" si="11"/>
        <v>234.26154187800017</v>
      </c>
    </row>
    <row r="334" spans="1:4">
      <c r="A334" s="22">
        <f t="shared" si="10"/>
        <v>351.13006615397461</v>
      </c>
      <c r="B334">
        <v>3511.3006615397462</v>
      </c>
      <c r="C334">
        <v>23333.348350100016</v>
      </c>
      <c r="D334" s="23">
        <f t="shared" si="11"/>
        <v>233.33348350100016</v>
      </c>
    </row>
    <row r="335" spans="1:4">
      <c r="A335" s="22">
        <f t="shared" si="10"/>
        <v>352.18768683516134</v>
      </c>
      <c r="B335">
        <v>3521.8768683516132</v>
      </c>
      <c r="C335">
        <v>23240.542512400014</v>
      </c>
      <c r="D335" s="23">
        <f t="shared" si="11"/>
        <v>232.40542512400015</v>
      </c>
    </row>
    <row r="336" spans="1:4">
      <c r="A336" s="22">
        <f t="shared" si="10"/>
        <v>353.24530751634796</v>
      </c>
      <c r="B336">
        <v>3532.4530751634798</v>
      </c>
      <c r="C336">
        <v>23147.736674700012</v>
      </c>
      <c r="D336" s="23">
        <f t="shared" si="11"/>
        <v>231.47736674700013</v>
      </c>
    </row>
    <row r="337" spans="1:4">
      <c r="A337" s="22">
        <f t="shared" si="10"/>
        <v>354.3029281975347</v>
      </c>
      <c r="B337">
        <v>3543.0292819753467</v>
      </c>
      <c r="C337">
        <v>23054.930837000011</v>
      </c>
      <c r="D337" s="23">
        <f t="shared" si="11"/>
        <v>230.54930837000012</v>
      </c>
    </row>
    <row r="338" spans="1:4">
      <c r="A338" s="22">
        <f t="shared" si="10"/>
        <v>355.36054887872132</v>
      </c>
      <c r="B338">
        <v>3553.6054887872133</v>
      </c>
      <c r="C338">
        <v>22962.124999300009</v>
      </c>
      <c r="D338" s="23">
        <f t="shared" si="11"/>
        <v>229.62124999300011</v>
      </c>
    </row>
    <row r="339" spans="1:4">
      <c r="A339" s="22">
        <f t="shared" si="10"/>
        <v>356.41816955990799</v>
      </c>
      <c r="B339">
        <v>3564.1816955990798</v>
      </c>
      <c r="C339">
        <v>22869.319161600008</v>
      </c>
      <c r="D339" s="23">
        <f t="shared" si="11"/>
        <v>228.69319161600006</v>
      </c>
    </row>
    <row r="340" spans="1:4">
      <c r="A340" s="22">
        <f t="shared" si="10"/>
        <v>357.47579024109467</v>
      </c>
      <c r="B340">
        <v>3574.7579024109468</v>
      </c>
      <c r="C340">
        <v>22776.513323900006</v>
      </c>
      <c r="D340" s="23">
        <f t="shared" si="11"/>
        <v>227.76513323900005</v>
      </c>
    </row>
    <row r="341" spans="1:4">
      <c r="A341" s="22">
        <f t="shared" si="10"/>
        <v>358.53341092228135</v>
      </c>
      <c r="B341">
        <v>3585.3341092228134</v>
      </c>
      <c r="C341">
        <v>22683.707486200004</v>
      </c>
      <c r="D341" s="23">
        <f t="shared" si="11"/>
        <v>226.83707486200004</v>
      </c>
    </row>
    <row r="342" spans="1:4">
      <c r="A342" s="22">
        <f t="shared" si="10"/>
        <v>359.59103160346797</v>
      </c>
      <c r="B342">
        <v>3595.9103160346799</v>
      </c>
      <c r="C342">
        <v>22590.901648500003</v>
      </c>
      <c r="D342" s="23">
        <f t="shared" si="11"/>
        <v>225.90901648500002</v>
      </c>
    </row>
    <row r="343" spans="1:4">
      <c r="A343" s="22">
        <f t="shared" si="10"/>
        <v>360.6486522846547</v>
      </c>
      <c r="B343">
        <v>3606.4865228465469</v>
      </c>
      <c r="C343">
        <v>22498.095810800001</v>
      </c>
      <c r="D343" s="23">
        <f t="shared" si="11"/>
        <v>224.98095810800001</v>
      </c>
    </row>
    <row r="344" spans="1:4">
      <c r="A344" s="22">
        <f t="shared" si="10"/>
        <v>361.70627296584132</v>
      </c>
      <c r="B344">
        <v>3617.0627296584134</v>
      </c>
      <c r="C344">
        <v>22405.2899731</v>
      </c>
      <c r="D344" s="23">
        <f t="shared" si="11"/>
        <v>224.052899731</v>
      </c>
    </row>
    <row r="345" spans="1:4">
      <c r="A345" s="22">
        <f t="shared" si="10"/>
        <v>362.763893647028</v>
      </c>
      <c r="B345">
        <v>3627.63893647028</v>
      </c>
      <c r="C345">
        <v>22312.484135399998</v>
      </c>
      <c r="D345" s="23">
        <f t="shared" si="11"/>
        <v>223.12484135399998</v>
      </c>
    </row>
    <row r="346" spans="1:4">
      <c r="A346" s="22">
        <f t="shared" si="10"/>
        <v>363.82151432821468</v>
      </c>
      <c r="B346">
        <v>3638.215143282147</v>
      </c>
      <c r="C346">
        <v>22219.678297699997</v>
      </c>
      <c r="D346" s="23">
        <f t="shared" si="11"/>
        <v>222.19678297699997</v>
      </c>
    </row>
    <row r="347" spans="1:4">
      <c r="A347" s="22">
        <f t="shared" si="10"/>
        <v>364.87913500940135</v>
      </c>
      <c r="B347">
        <v>3648.7913500940135</v>
      </c>
      <c r="C347">
        <v>22126.872459999995</v>
      </c>
      <c r="D347" s="23">
        <f t="shared" si="11"/>
        <v>221.26872459999996</v>
      </c>
    </row>
    <row r="348" spans="1:4">
      <c r="A348" s="22">
        <f t="shared" si="10"/>
        <v>365.93675569058803</v>
      </c>
      <c r="B348">
        <v>3659.3675569058805</v>
      </c>
      <c r="C348">
        <v>22034.066622299993</v>
      </c>
      <c r="D348" s="23">
        <f t="shared" si="11"/>
        <v>220.34066622299994</v>
      </c>
    </row>
    <row r="349" spans="1:4">
      <c r="A349" s="22">
        <f t="shared" si="10"/>
        <v>366.99437637177471</v>
      </c>
      <c r="B349">
        <v>3669.9437637177471</v>
      </c>
      <c r="C349">
        <v>21941.260784599992</v>
      </c>
      <c r="D349" s="23">
        <f t="shared" si="11"/>
        <v>219.41260784599993</v>
      </c>
    </row>
    <row r="350" spans="1:4">
      <c r="A350" s="22">
        <f t="shared" si="10"/>
        <v>368.05199705296138</v>
      </c>
      <c r="B350">
        <v>3680.5199705296136</v>
      </c>
      <c r="C350">
        <v>21848.45494689999</v>
      </c>
      <c r="D350" s="23">
        <f t="shared" si="11"/>
        <v>218.48454946899992</v>
      </c>
    </row>
    <row r="351" spans="1:4">
      <c r="A351" s="22">
        <f t="shared" si="10"/>
        <v>369.10961773414806</v>
      </c>
      <c r="B351">
        <v>3691.0961773414806</v>
      </c>
      <c r="C351">
        <v>21755.649109199989</v>
      </c>
      <c r="D351" s="23">
        <f t="shared" si="11"/>
        <v>217.55649109199987</v>
      </c>
    </row>
    <row r="352" spans="1:4">
      <c r="A352" s="22">
        <f t="shared" si="10"/>
        <v>370.16723841533474</v>
      </c>
      <c r="B352">
        <v>3701.6723841533471</v>
      </c>
      <c r="C352">
        <v>21662.843271499987</v>
      </c>
      <c r="D352" s="23">
        <f t="shared" si="11"/>
        <v>216.62843271499986</v>
      </c>
    </row>
    <row r="353" spans="1:4">
      <c r="A353" s="22">
        <f t="shared" si="10"/>
        <v>371.22485909652136</v>
      </c>
      <c r="B353">
        <v>3712.2485909652137</v>
      </c>
      <c r="C353">
        <v>21570.037433799986</v>
      </c>
      <c r="D353" s="23">
        <f t="shared" si="11"/>
        <v>215.70037433799985</v>
      </c>
    </row>
    <row r="354" spans="1:4">
      <c r="A354" s="22">
        <f t="shared" si="10"/>
        <v>372.28247977770809</v>
      </c>
      <c r="B354">
        <v>3722.8247977770807</v>
      </c>
      <c r="C354">
        <v>21477.231596099984</v>
      </c>
      <c r="D354" s="23">
        <f t="shared" si="11"/>
        <v>214.77231596099983</v>
      </c>
    </row>
    <row r="355" spans="1:4">
      <c r="A355" s="22">
        <f t="shared" si="10"/>
        <v>373.34010045889471</v>
      </c>
      <c r="B355">
        <v>3733.4010045889472</v>
      </c>
      <c r="C355">
        <v>21384.425758399982</v>
      </c>
      <c r="D355" s="23">
        <f t="shared" si="11"/>
        <v>213.84425758399982</v>
      </c>
    </row>
    <row r="356" spans="1:4">
      <c r="A356" s="22">
        <f t="shared" si="10"/>
        <v>374.39772114008139</v>
      </c>
      <c r="B356">
        <v>3743.9772114008138</v>
      </c>
      <c r="C356">
        <v>21291.619920699981</v>
      </c>
      <c r="D356" s="23">
        <f t="shared" si="11"/>
        <v>212.91619920699981</v>
      </c>
    </row>
    <row r="357" spans="1:4">
      <c r="A357" s="22">
        <f t="shared" si="10"/>
        <v>375.45534182126806</v>
      </c>
      <c r="B357">
        <v>3754.5534182126808</v>
      </c>
      <c r="C357">
        <v>21198.814082999979</v>
      </c>
      <c r="D357" s="23">
        <f t="shared" si="11"/>
        <v>211.98814082999979</v>
      </c>
    </row>
    <row r="358" spans="1:4">
      <c r="A358" s="22">
        <f t="shared" si="10"/>
        <v>376.51296250245474</v>
      </c>
      <c r="B358">
        <v>3765.1296250245473</v>
      </c>
      <c r="C358">
        <v>21106.008245299978</v>
      </c>
      <c r="D358" s="23">
        <f t="shared" si="11"/>
        <v>211.06008245299978</v>
      </c>
    </row>
    <row r="359" spans="1:4">
      <c r="A359" s="22">
        <f t="shared" si="10"/>
        <v>377.57058318364142</v>
      </c>
      <c r="B359">
        <v>3775.7058318364143</v>
      </c>
      <c r="C359">
        <v>21013.202407599976</v>
      </c>
      <c r="D359" s="23">
        <f t="shared" si="11"/>
        <v>210.13202407599977</v>
      </c>
    </row>
    <row r="360" spans="1:4">
      <c r="A360" s="22">
        <f t="shared" si="10"/>
        <v>378.62820386482809</v>
      </c>
      <c r="B360">
        <v>3786.2820386482808</v>
      </c>
      <c r="C360">
        <v>20920.396569899975</v>
      </c>
      <c r="D360" s="23">
        <f t="shared" si="11"/>
        <v>209.20396569899975</v>
      </c>
    </row>
    <row r="361" spans="1:4">
      <c r="A361" s="22">
        <f t="shared" si="10"/>
        <v>379.68582454601471</v>
      </c>
      <c r="B361">
        <v>3796.8582454601474</v>
      </c>
      <c r="C361">
        <v>20827.590732199973</v>
      </c>
      <c r="D361" s="23">
        <f t="shared" si="11"/>
        <v>208.27590732199974</v>
      </c>
    </row>
    <row r="362" spans="1:4">
      <c r="A362" s="22">
        <f t="shared" si="10"/>
        <v>380.74344522720145</v>
      </c>
      <c r="B362">
        <v>3807.4344522720144</v>
      </c>
      <c r="C362">
        <v>20734.784894499971</v>
      </c>
      <c r="D362" s="23">
        <f t="shared" si="11"/>
        <v>207.34784894499973</v>
      </c>
    </row>
    <row r="363" spans="1:4">
      <c r="A363" s="22">
        <f t="shared" si="10"/>
        <v>381.80106590838807</v>
      </c>
      <c r="B363">
        <v>3818.0106590838809</v>
      </c>
      <c r="C363">
        <v>20641.97905679997</v>
      </c>
      <c r="D363" s="23">
        <f t="shared" si="11"/>
        <v>206.41979056799971</v>
      </c>
    </row>
    <row r="364" spans="1:4">
      <c r="A364" s="22">
        <f t="shared" si="10"/>
        <v>382.85868658957475</v>
      </c>
      <c r="B364">
        <v>3828.5868658957475</v>
      </c>
      <c r="C364">
        <v>20549.173219099968</v>
      </c>
      <c r="D364" s="23">
        <f t="shared" si="11"/>
        <v>205.49173219099967</v>
      </c>
    </row>
    <row r="365" spans="1:4">
      <c r="A365" s="22">
        <f t="shared" si="10"/>
        <v>383.91630727076142</v>
      </c>
      <c r="B365">
        <v>3839.1630727076144</v>
      </c>
      <c r="C365">
        <v>20456.367381399967</v>
      </c>
      <c r="D365" s="23">
        <f t="shared" si="11"/>
        <v>204.56367381399966</v>
      </c>
    </row>
    <row r="366" spans="1:4">
      <c r="A366" s="22">
        <f t="shared" si="10"/>
        <v>384.9739279519481</v>
      </c>
      <c r="B366">
        <v>3849.739279519481</v>
      </c>
      <c r="C366">
        <v>20363.561543699965</v>
      </c>
      <c r="D366" s="23">
        <f t="shared" si="11"/>
        <v>203.63561543699964</v>
      </c>
    </row>
    <row r="367" spans="1:4">
      <c r="A367" s="22">
        <f t="shared" si="10"/>
        <v>386.03154863313478</v>
      </c>
      <c r="B367">
        <v>3860.3154863313475</v>
      </c>
      <c r="C367">
        <v>20270.755705999964</v>
      </c>
      <c r="D367" s="23">
        <f t="shared" si="11"/>
        <v>202.70755705999963</v>
      </c>
    </row>
    <row r="368" spans="1:4">
      <c r="A368" s="22">
        <f t="shared" si="10"/>
        <v>387.08916931432145</v>
      </c>
      <c r="B368">
        <v>3870.8916931432145</v>
      </c>
      <c r="C368">
        <v>20177.949868299962</v>
      </c>
      <c r="D368" s="23">
        <f t="shared" si="11"/>
        <v>201.77949868299962</v>
      </c>
    </row>
    <row r="369" spans="1:4">
      <c r="A369" s="22">
        <f t="shared" si="10"/>
        <v>388.14678999550813</v>
      </c>
      <c r="B369">
        <v>3881.4678999550811</v>
      </c>
      <c r="C369">
        <v>20085.14403059996</v>
      </c>
      <c r="D369" s="23">
        <f t="shared" si="11"/>
        <v>200.8514403059996</v>
      </c>
    </row>
    <row r="370" spans="1:4">
      <c r="A370" s="22">
        <f t="shared" si="10"/>
        <v>389.20441067669481</v>
      </c>
      <c r="B370">
        <v>3892.0441067669481</v>
      </c>
      <c r="C370">
        <v>19992.338192899959</v>
      </c>
      <c r="D370" s="23">
        <f t="shared" si="11"/>
        <v>199.92338192899959</v>
      </c>
    </row>
    <row r="371" spans="1:4">
      <c r="A371" s="22">
        <f t="shared" si="10"/>
        <v>390.26203135788148</v>
      </c>
      <c r="B371">
        <v>3902.6203135788146</v>
      </c>
      <c r="C371">
        <v>19899.532355199957</v>
      </c>
      <c r="D371" s="23">
        <f t="shared" si="11"/>
        <v>198.99532355199958</v>
      </c>
    </row>
    <row r="372" spans="1:4">
      <c r="A372" s="22">
        <f t="shared" si="10"/>
        <v>391.3196520390681</v>
      </c>
      <c r="B372">
        <v>3913.1965203906811</v>
      </c>
      <c r="C372">
        <v>19806.726517499956</v>
      </c>
      <c r="D372" s="23">
        <f t="shared" si="11"/>
        <v>198.06726517499956</v>
      </c>
    </row>
    <row r="373" spans="1:4">
      <c r="A373" s="22">
        <f t="shared" si="10"/>
        <v>392.37727272025484</v>
      </c>
      <c r="B373">
        <v>3923.7727272025481</v>
      </c>
      <c r="C373">
        <v>19713.920679799954</v>
      </c>
      <c r="D373" s="23">
        <f t="shared" si="11"/>
        <v>197.13920679799955</v>
      </c>
    </row>
    <row r="374" spans="1:4">
      <c r="A374" s="22">
        <f t="shared" si="10"/>
        <v>393.43489340144146</v>
      </c>
      <c r="B374">
        <v>3934.3489340144147</v>
      </c>
      <c r="C374">
        <v>19621.114842099953</v>
      </c>
      <c r="D374" s="23">
        <f t="shared" si="11"/>
        <v>196.21114842099954</v>
      </c>
    </row>
    <row r="375" spans="1:4">
      <c r="A375" s="22">
        <f t="shared" si="10"/>
        <v>394.49251408262813</v>
      </c>
      <c r="B375">
        <v>3944.9251408262812</v>
      </c>
      <c r="C375">
        <v>19528.309004399951</v>
      </c>
      <c r="D375" s="23">
        <f t="shared" si="11"/>
        <v>195.28309004399952</v>
      </c>
    </row>
    <row r="376" spans="1:4">
      <c r="A376" s="22">
        <f t="shared" si="10"/>
        <v>395.55013476381481</v>
      </c>
      <c r="B376">
        <v>3955.5013476381482</v>
      </c>
      <c r="C376">
        <v>19435.503166699949</v>
      </c>
      <c r="D376" s="23">
        <f t="shared" si="11"/>
        <v>194.35503166699948</v>
      </c>
    </row>
    <row r="377" spans="1:4">
      <c r="A377" s="22">
        <f t="shared" si="10"/>
        <v>396.60775544500149</v>
      </c>
      <c r="B377">
        <v>3966.0775544500148</v>
      </c>
      <c r="C377">
        <v>19342.697328999948</v>
      </c>
      <c r="D377" s="23">
        <f t="shared" si="11"/>
        <v>193.42697328999947</v>
      </c>
    </row>
    <row r="378" spans="1:4">
      <c r="A378" s="22">
        <f t="shared" si="10"/>
        <v>397.66537612618811</v>
      </c>
      <c r="B378">
        <v>3976.6537612618813</v>
      </c>
      <c r="C378">
        <v>19249.891491299946</v>
      </c>
      <c r="D378" s="23">
        <f t="shared" si="11"/>
        <v>192.49891491299945</v>
      </c>
    </row>
    <row r="379" spans="1:4">
      <c r="A379" s="22">
        <f t="shared" si="10"/>
        <v>398.72299680737484</v>
      </c>
      <c r="B379">
        <v>3987.2299680737483</v>
      </c>
      <c r="C379">
        <v>19157.085653599945</v>
      </c>
      <c r="D379" s="23">
        <f t="shared" si="11"/>
        <v>191.57085653599944</v>
      </c>
    </row>
    <row r="380" spans="1:4">
      <c r="A380" s="22">
        <f t="shared" si="10"/>
        <v>399.78061748856146</v>
      </c>
      <c r="B380">
        <v>3997.8061748856148</v>
      </c>
      <c r="C380">
        <v>19064.279815899943</v>
      </c>
      <c r="D380" s="23">
        <f t="shared" si="11"/>
        <v>190.64279815899943</v>
      </c>
    </row>
    <row r="381" spans="1:4">
      <c r="A381" s="22">
        <f t="shared" si="10"/>
        <v>400.83823816974819</v>
      </c>
      <c r="B381">
        <v>4008.3823816974818</v>
      </c>
      <c r="C381">
        <v>18971.473978199941</v>
      </c>
      <c r="D381" s="23">
        <f t="shared" si="11"/>
        <v>189.71473978199941</v>
      </c>
    </row>
    <row r="382" spans="1:4">
      <c r="A382" s="22">
        <f t="shared" si="10"/>
        <v>401.89585885093481</v>
      </c>
      <c r="B382">
        <v>4018.9585885093484</v>
      </c>
      <c r="C382">
        <v>18878.66814049994</v>
      </c>
      <c r="D382" s="23">
        <f t="shared" si="11"/>
        <v>188.7866814049994</v>
      </c>
    </row>
    <row r="383" spans="1:4">
      <c r="A383" s="22">
        <f t="shared" si="10"/>
        <v>402.95347953212149</v>
      </c>
      <c r="B383">
        <v>4029.5347953212149</v>
      </c>
      <c r="C383">
        <v>18785.862302799938</v>
      </c>
      <c r="D383" s="23">
        <f t="shared" si="11"/>
        <v>187.85862302799939</v>
      </c>
    </row>
    <row r="384" spans="1:4">
      <c r="A384" s="22">
        <f t="shared" si="10"/>
        <v>404.01110021330817</v>
      </c>
      <c r="B384">
        <v>4040.1110021330819</v>
      </c>
      <c r="C384">
        <v>18693.056465099937</v>
      </c>
      <c r="D384" s="23">
        <f t="shared" si="11"/>
        <v>186.93056465099937</v>
      </c>
    </row>
    <row r="385" spans="1:4">
      <c r="A385" s="22">
        <f t="shared" si="10"/>
        <v>405.06872089449485</v>
      </c>
      <c r="B385">
        <v>4050.6872089449485</v>
      </c>
      <c r="C385">
        <v>18600.250627399935</v>
      </c>
      <c r="D385" s="23">
        <f t="shared" si="11"/>
        <v>186.00250627399936</v>
      </c>
    </row>
    <row r="386" spans="1:4">
      <c r="A386" s="22">
        <f t="shared" si="10"/>
        <v>406.12634157568152</v>
      </c>
      <c r="B386">
        <v>4061.263415756815</v>
      </c>
      <c r="C386">
        <v>18507.444789699934</v>
      </c>
      <c r="D386" s="23">
        <f t="shared" si="11"/>
        <v>185.07444789699935</v>
      </c>
    </row>
    <row r="387" spans="1:4">
      <c r="A387" s="22">
        <f t="shared" ref="A387:A450" si="12">B387/10</f>
        <v>407.1839622568682</v>
      </c>
      <c r="B387">
        <v>4071.839622568682</v>
      </c>
      <c r="C387">
        <v>18414.638951999932</v>
      </c>
      <c r="D387" s="23">
        <f t="shared" ref="D387:D450" si="13">$C387/100</f>
        <v>184.14638951999933</v>
      </c>
    </row>
    <row r="388" spans="1:4">
      <c r="A388" s="22">
        <f t="shared" si="12"/>
        <v>408.24158293805488</v>
      </c>
      <c r="B388">
        <v>4082.4158293805485</v>
      </c>
      <c r="C388">
        <v>18321.83311429993</v>
      </c>
      <c r="D388" s="23">
        <f t="shared" si="13"/>
        <v>183.21833114299932</v>
      </c>
    </row>
    <row r="389" spans="1:4">
      <c r="A389" s="22">
        <f t="shared" si="12"/>
        <v>409.2992036192415</v>
      </c>
      <c r="B389">
        <v>4092.9920361924151</v>
      </c>
      <c r="C389">
        <v>18229.027276599929</v>
      </c>
      <c r="D389" s="23">
        <f t="shared" si="13"/>
        <v>182.29027276599928</v>
      </c>
    </row>
    <row r="390" spans="1:4">
      <c r="A390" s="22">
        <f t="shared" si="12"/>
        <v>410.35682430042817</v>
      </c>
      <c r="B390">
        <v>4103.5682430042816</v>
      </c>
      <c r="C390">
        <v>18136.221438899927</v>
      </c>
      <c r="D390" s="23">
        <f t="shared" si="13"/>
        <v>181.36221438899926</v>
      </c>
    </row>
    <row r="391" spans="1:4">
      <c r="A391" s="22">
        <f t="shared" si="12"/>
        <v>411.41444498161491</v>
      </c>
      <c r="B391">
        <v>4114.1444498161491</v>
      </c>
      <c r="C391">
        <v>18043.415601199926</v>
      </c>
      <c r="D391" s="23">
        <f t="shared" si="13"/>
        <v>180.43415601199925</v>
      </c>
    </row>
    <row r="392" spans="1:4">
      <c r="A392" s="22">
        <f t="shared" si="12"/>
        <v>412.47206566280158</v>
      </c>
      <c r="B392">
        <v>4124.7206566280156</v>
      </c>
      <c r="C392">
        <v>17950.609763499924</v>
      </c>
      <c r="D392" s="23">
        <f t="shared" si="13"/>
        <v>179.50609763499924</v>
      </c>
    </row>
    <row r="393" spans="1:4">
      <c r="A393" s="22">
        <f t="shared" si="12"/>
        <v>413.5296863439882</v>
      </c>
      <c r="B393">
        <v>4135.2968634398821</v>
      </c>
      <c r="C393">
        <v>17857.803925799923</v>
      </c>
      <c r="D393" s="23">
        <f t="shared" si="13"/>
        <v>178.57803925799922</v>
      </c>
    </row>
    <row r="394" spans="1:4">
      <c r="A394" s="22">
        <f t="shared" si="12"/>
        <v>414.58730702517488</v>
      </c>
      <c r="B394">
        <v>4145.8730702517487</v>
      </c>
      <c r="C394">
        <v>17764.998088099921</v>
      </c>
      <c r="D394" s="23">
        <f t="shared" si="13"/>
        <v>177.64998088099921</v>
      </c>
    </row>
    <row r="395" spans="1:4">
      <c r="A395" s="22">
        <f t="shared" si="12"/>
        <v>415.6449277063615</v>
      </c>
      <c r="B395">
        <v>4156.4492770636152</v>
      </c>
      <c r="C395">
        <v>17672.192250399919</v>
      </c>
      <c r="D395" s="23">
        <f t="shared" si="13"/>
        <v>176.7219225039992</v>
      </c>
    </row>
    <row r="396" spans="1:4">
      <c r="A396" s="22">
        <f t="shared" si="12"/>
        <v>416.70254838754829</v>
      </c>
      <c r="B396">
        <v>4167.0254838754827</v>
      </c>
      <c r="C396">
        <v>17579.386412699918</v>
      </c>
      <c r="D396" s="23">
        <f t="shared" si="13"/>
        <v>175.79386412699918</v>
      </c>
    </row>
    <row r="397" spans="1:4">
      <c r="A397" s="22">
        <f t="shared" si="12"/>
        <v>417.76016906873491</v>
      </c>
      <c r="B397">
        <v>4177.6016906873492</v>
      </c>
      <c r="C397">
        <v>17486.580574999916</v>
      </c>
      <c r="D397" s="23">
        <f t="shared" si="13"/>
        <v>174.86580574999917</v>
      </c>
    </row>
    <row r="398" spans="1:4">
      <c r="A398" s="22">
        <f t="shared" si="12"/>
        <v>418.81778974992159</v>
      </c>
      <c r="B398">
        <v>4188.1778974992158</v>
      </c>
      <c r="C398">
        <v>17393.774737299915</v>
      </c>
      <c r="D398" s="23">
        <f t="shared" si="13"/>
        <v>173.93774737299916</v>
      </c>
    </row>
    <row r="399" spans="1:4">
      <c r="A399" s="22">
        <f t="shared" si="12"/>
        <v>419.87541043110821</v>
      </c>
      <c r="B399">
        <v>4198.7541043110823</v>
      </c>
      <c r="C399">
        <v>17300.968899599913</v>
      </c>
      <c r="D399" s="23">
        <f t="shared" si="13"/>
        <v>173.00968899599914</v>
      </c>
    </row>
    <row r="400" spans="1:4">
      <c r="A400" s="22">
        <f t="shared" si="12"/>
        <v>420.93303111229488</v>
      </c>
      <c r="B400">
        <v>4209.3303111229488</v>
      </c>
      <c r="C400">
        <v>17208.163061899912</v>
      </c>
      <c r="D400" s="23">
        <f t="shared" si="13"/>
        <v>172.08163061899913</v>
      </c>
    </row>
    <row r="401" spans="1:4">
      <c r="A401" s="22">
        <f t="shared" si="12"/>
        <v>421.99065179348156</v>
      </c>
      <c r="B401">
        <v>4219.9065179348154</v>
      </c>
      <c r="C401">
        <v>17115.35722419991</v>
      </c>
      <c r="D401" s="23">
        <f t="shared" si="13"/>
        <v>171.15357224199909</v>
      </c>
    </row>
    <row r="402" spans="1:4">
      <c r="A402" s="22">
        <f t="shared" si="12"/>
        <v>423.04827247466829</v>
      </c>
      <c r="B402">
        <v>4230.4827247466828</v>
      </c>
      <c r="C402">
        <v>17022.551386499908</v>
      </c>
      <c r="D402" s="23">
        <f t="shared" si="13"/>
        <v>170.22551386499907</v>
      </c>
    </row>
    <row r="403" spans="1:4">
      <c r="A403" s="22">
        <f t="shared" si="12"/>
        <v>424.10589315585491</v>
      </c>
      <c r="B403">
        <v>4241.0589315585494</v>
      </c>
      <c r="C403">
        <v>16929.745548799907</v>
      </c>
      <c r="D403" s="23">
        <f t="shared" si="13"/>
        <v>169.29745548799906</v>
      </c>
    </row>
    <row r="404" spans="1:4">
      <c r="A404" s="22">
        <f t="shared" si="12"/>
        <v>425.16351383704159</v>
      </c>
      <c r="B404">
        <v>4251.6351383704159</v>
      </c>
      <c r="C404">
        <v>16836.939711099905</v>
      </c>
      <c r="D404" s="23">
        <f t="shared" si="13"/>
        <v>168.36939711099905</v>
      </c>
    </row>
    <row r="405" spans="1:4">
      <c r="A405" s="22">
        <f t="shared" si="12"/>
        <v>426.22113451822827</v>
      </c>
      <c r="B405">
        <v>4262.2113451822825</v>
      </c>
      <c r="C405">
        <v>16744.133873399904</v>
      </c>
      <c r="D405" s="23">
        <f t="shared" si="13"/>
        <v>167.44133873399903</v>
      </c>
    </row>
    <row r="406" spans="1:4">
      <c r="A406" s="22">
        <f t="shared" si="12"/>
        <v>427.27875519941489</v>
      </c>
      <c r="B406">
        <v>4272.787551994149</v>
      </c>
      <c r="C406">
        <v>16651.328035699902</v>
      </c>
      <c r="D406" s="23">
        <f t="shared" si="13"/>
        <v>166.51328035699902</v>
      </c>
    </row>
    <row r="407" spans="1:4">
      <c r="A407" s="22">
        <f t="shared" si="12"/>
        <v>428.33637588060157</v>
      </c>
      <c r="B407">
        <v>4283.3637588060155</v>
      </c>
      <c r="C407">
        <v>16558.522197999901</v>
      </c>
      <c r="D407" s="23">
        <f t="shared" si="13"/>
        <v>165.58522197999901</v>
      </c>
    </row>
    <row r="408" spans="1:4">
      <c r="A408" s="22">
        <f t="shared" si="12"/>
        <v>429.3939965617883</v>
      </c>
      <c r="B408">
        <v>4293.939965617883</v>
      </c>
      <c r="C408">
        <v>16465.716360299899</v>
      </c>
      <c r="D408" s="23">
        <f t="shared" si="13"/>
        <v>164.65716360299899</v>
      </c>
    </row>
    <row r="409" spans="1:4">
      <c r="A409" s="22">
        <f t="shared" si="12"/>
        <v>430.45161724297498</v>
      </c>
      <c r="B409">
        <v>4304.5161724297495</v>
      </c>
      <c r="C409">
        <v>16372.910522599899</v>
      </c>
      <c r="D409" s="23">
        <f t="shared" si="13"/>
        <v>163.72910522599898</v>
      </c>
    </row>
    <row r="410" spans="1:4">
      <c r="A410" s="22">
        <f t="shared" si="12"/>
        <v>431.5092379241616</v>
      </c>
      <c r="B410">
        <v>4315.0923792416161</v>
      </c>
      <c r="C410">
        <v>16280.104684899899</v>
      </c>
      <c r="D410" s="23">
        <f t="shared" si="13"/>
        <v>162.80104684899899</v>
      </c>
    </row>
    <row r="411" spans="1:4">
      <c r="A411" s="22">
        <f t="shared" si="12"/>
        <v>432.56685860534827</v>
      </c>
      <c r="B411">
        <v>4325.6685860534826</v>
      </c>
      <c r="C411">
        <v>16187.2988471999</v>
      </c>
      <c r="D411" s="23">
        <f t="shared" si="13"/>
        <v>161.87298847199901</v>
      </c>
    </row>
    <row r="412" spans="1:4">
      <c r="A412" s="22">
        <f t="shared" si="12"/>
        <v>433.62447928653489</v>
      </c>
      <c r="B412">
        <v>4336.2447928653492</v>
      </c>
      <c r="C412">
        <v>16094.4930094999</v>
      </c>
      <c r="D412" s="23">
        <f t="shared" si="13"/>
        <v>160.94493009499899</v>
      </c>
    </row>
    <row r="413" spans="1:4">
      <c r="A413" s="22">
        <f t="shared" si="12"/>
        <v>434.68209996772168</v>
      </c>
      <c r="B413">
        <v>4346.8209996772166</v>
      </c>
      <c r="C413">
        <v>16001.6871717999</v>
      </c>
      <c r="D413" s="23">
        <f t="shared" si="13"/>
        <v>160.01687171799901</v>
      </c>
    </row>
    <row r="414" spans="1:4">
      <c r="A414" s="22">
        <f t="shared" si="12"/>
        <v>435.7397206489083</v>
      </c>
      <c r="B414">
        <v>4357.3972064890831</v>
      </c>
      <c r="C414">
        <v>15908.8813340999</v>
      </c>
      <c r="D414" s="23">
        <f t="shared" si="13"/>
        <v>159.088813340999</v>
      </c>
    </row>
    <row r="415" spans="1:4">
      <c r="A415" s="22">
        <f t="shared" si="12"/>
        <v>436.79734133009498</v>
      </c>
      <c r="B415">
        <v>4367.9734133009497</v>
      </c>
      <c r="C415">
        <v>15816.075496399901</v>
      </c>
      <c r="D415" s="23">
        <f t="shared" si="13"/>
        <v>158.16075496399901</v>
      </c>
    </row>
    <row r="416" spans="1:4">
      <c r="A416" s="22">
        <f t="shared" si="12"/>
        <v>437.8549620112816</v>
      </c>
      <c r="B416">
        <v>4378.5496201128162</v>
      </c>
      <c r="C416">
        <v>15723.269658699901</v>
      </c>
      <c r="D416" s="23">
        <f t="shared" si="13"/>
        <v>157.232696586999</v>
      </c>
    </row>
    <row r="417" spans="1:4">
      <c r="A417" s="22">
        <f t="shared" si="12"/>
        <v>438.91258269246828</v>
      </c>
      <c r="B417">
        <v>4389.1258269246828</v>
      </c>
      <c r="C417">
        <v>15630.463820999901</v>
      </c>
      <c r="D417" s="23">
        <f t="shared" si="13"/>
        <v>156.30463820999901</v>
      </c>
    </row>
    <row r="418" spans="1:4">
      <c r="A418" s="22">
        <f t="shared" si="12"/>
        <v>439.97020337365495</v>
      </c>
      <c r="B418">
        <v>4399.7020337365493</v>
      </c>
      <c r="C418">
        <v>15537.657983299901</v>
      </c>
      <c r="D418" s="23">
        <f t="shared" si="13"/>
        <v>155.37657983299903</v>
      </c>
    </row>
    <row r="419" spans="1:4">
      <c r="A419" s="22">
        <f t="shared" si="12"/>
        <v>441.02782405484169</v>
      </c>
      <c r="B419">
        <v>4410.2782405484168</v>
      </c>
      <c r="C419">
        <v>15444.852145599902</v>
      </c>
      <c r="D419" s="23">
        <f t="shared" si="13"/>
        <v>154.44852145599901</v>
      </c>
    </row>
    <row r="420" spans="1:4">
      <c r="A420" s="22">
        <f t="shared" si="12"/>
        <v>442.08544473602831</v>
      </c>
      <c r="B420">
        <v>4420.8544473602833</v>
      </c>
      <c r="C420">
        <v>15352.046307899902</v>
      </c>
      <c r="D420" s="23">
        <f t="shared" si="13"/>
        <v>153.52046307899903</v>
      </c>
    </row>
    <row r="421" spans="1:4">
      <c r="A421" s="22">
        <f t="shared" si="12"/>
        <v>443.14306541721498</v>
      </c>
      <c r="B421">
        <v>4431.4306541721498</v>
      </c>
      <c r="C421">
        <v>15259.240470199902</v>
      </c>
      <c r="D421" s="23">
        <f t="shared" si="13"/>
        <v>152.59240470199902</v>
      </c>
    </row>
    <row r="422" spans="1:4">
      <c r="A422" s="22">
        <f t="shared" si="12"/>
        <v>444.20068609840166</v>
      </c>
      <c r="B422">
        <v>4442.0068609840164</v>
      </c>
      <c r="C422">
        <v>15166.434632499902</v>
      </c>
      <c r="D422" s="23">
        <f t="shared" si="13"/>
        <v>151.66434632499903</v>
      </c>
    </row>
    <row r="423" spans="1:4">
      <c r="A423" s="22">
        <f t="shared" si="12"/>
        <v>445.25830677958828</v>
      </c>
      <c r="B423">
        <v>4452.5830677958829</v>
      </c>
      <c r="C423">
        <v>15073.628794799903</v>
      </c>
      <c r="D423" s="23">
        <f t="shared" si="13"/>
        <v>150.73628794799902</v>
      </c>
    </row>
    <row r="424" spans="1:4">
      <c r="A424" s="22">
        <f t="shared" si="12"/>
        <v>446.31592746077501</v>
      </c>
      <c r="B424">
        <v>4463.1592746077504</v>
      </c>
      <c r="C424">
        <v>14980.822957099903</v>
      </c>
      <c r="D424" s="23">
        <f t="shared" si="13"/>
        <v>149.80822957099903</v>
      </c>
    </row>
    <row r="425" spans="1:4">
      <c r="A425" s="22">
        <f t="shared" si="12"/>
        <v>447.37354814196169</v>
      </c>
      <c r="B425">
        <v>4473.7354814196169</v>
      </c>
      <c r="C425">
        <v>14888.017119399903</v>
      </c>
      <c r="D425" s="23">
        <f t="shared" si="13"/>
        <v>148.88017119399902</v>
      </c>
    </row>
    <row r="426" spans="1:4">
      <c r="A426" s="22">
        <f t="shared" si="12"/>
        <v>448.43116882314837</v>
      </c>
      <c r="B426">
        <v>4484.3116882314835</v>
      </c>
      <c r="C426">
        <v>14795.211281699903</v>
      </c>
      <c r="D426" s="23">
        <f t="shared" si="13"/>
        <v>147.95211281699903</v>
      </c>
    </row>
    <row r="427" spans="1:4">
      <c r="A427" s="22">
        <f t="shared" si="12"/>
        <v>449.48878950433499</v>
      </c>
      <c r="B427">
        <v>4494.88789504335</v>
      </c>
      <c r="C427">
        <v>14702.405443999904</v>
      </c>
      <c r="D427" s="23">
        <f t="shared" si="13"/>
        <v>147.02405443999905</v>
      </c>
    </row>
    <row r="428" spans="1:4">
      <c r="A428" s="22">
        <f t="shared" si="12"/>
        <v>450.54641018552167</v>
      </c>
      <c r="B428">
        <v>4505.4641018552165</v>
      </c>
      <c r="C428">
        <v>14609.599606299904</v>
      </c>
      <c r="D428" s="23">
        <f t="shared" si="13"/>
        <v>146.09599606299903</v>
      </c>
    </row>
    <row r="429" spans="1:4">
      <c r="A429" s="22">
        <f t="shared" si="12"/>
        <v>451.60403086670829</v>
      </c>
      <c r="B429">
        <v>4516.0403086670831</v>
      </c>
      <c r="C429">
        <v>14516.793768599904</v>
      </c>
      <c r="D429" s="23">
        <f t="shared" si="13"/>
        <v>145.16793768599905</v>
      </c>
    </row>
    <row r="430" spans="1:4">
      <c r="A430" s="22">
        <f t="shared" si="12"/>
        <v>452.66165154789508</v>
      </c>
      <c r="B430">
        <v>4526.6165154789505</v>
      </c>
      <c r="C430">
        <v>14423.987930899904</v>
      </c>
      <c r="D430" s="23">
        <f t="shared" si="13"/>
        <v>144.23987930899904</v>
      </c>
    </row>
    <row r="431" spans="1:4">
      <c r="A431" s="22">
        <f t="shared" si="12"/>
        <v>453.7192722290817</v>
      </c>
      <c r="B431">
        <v>4537.1927222908171</v>
      </c>
      <c r="C431">
        <v>14331.182093199905</v>
      </c>
      <c r="D431" s="23">
        <f t="shared" si="13"/>
        <v>143.31182093199905</v>
      </c>
    </row>
    <row r="432" spans="1:4">
      <c r="A432" s="22">
        <f t="shared" si="12"/>
        <v>454.77689291026837</v>
      </c>
      <c r="B432">
        <v>4547.7689291026836</v>
      </c>
      <c r="C432">
        <v>14238.376255499905</v>
      </c>
      <c r="D432" s="23">
        <f t="shared" si="13"/>
        <v>142.38376255499904</v>
      </c>
    </row>
    <row r="433" spans="1:4">
      <c r="A433" s="22">
        <f t="shared" si="12"/>
        <v>455.83451359145499</v>
      </c>
      <c r="B433">
        <v>4558.3451359145502</v>
      </c>
      <c r="C433">
        <v>14145.570417799905</v>
      </c>
      <c r="D433" s="23">
        <f t="shared" si="13"/>
        <v>141.45570417799905</v>
      </c>
    </row>
    <row r="434" spans="1:4">
      <c r="A434" s="22">
        <f t="shared" si="12"/>
        <v>456.89213427264167</v>
      </c>
      <c r="B434">
        <v>4568.9213427264167</v>
      </c>
      <c r="C434">
        <v>14052.764580099905</v>
      </c>
      <c r="D434" s="23">
        <f t="shared" si="13"/>
        <v>140.52764580099904</v>
      </c>
    </row>
    <row r="435" spans="1:4">
      <c r="A435" s="22">
        <f t="shared" si="12"/>
        <v>457.9497549538284</v>
      </c>
      <c r="B435">
        <v>4579.4975495382841</v>
      </c>
      <c r="C435">
        <v>13959.958742399906</v>
      </c>
      <c r="D435" s="23">
        <f t="shared" si="13"/>
        <v>139.59958742399905</v>
      </c>
    </row>
    <row r="436" spans="1:4">
      <c r="A436" s="22">
        <f t="shared" si="12"/>
        <v>459.00737563501508</v>
      </c>
      <c r="B436">
        <v>4590.0737563501507</v>
      </c>
      <c r="C436">
        <v>13867.152904699906</v>
      </c>
      <c r="D436" s="23">
        <f t="shared" si="13"/>
        <v>138.67152904699907</v>
      </c>
    </row>
    <row r="437" spans="1:4">
      <c r="A437" s="22">
        <f t="shared" si="12"/>
        <v>460.0649963162017</v>
      </c>
      <c r="B437">
        <v>4600.6499631620172</v>
      </c>
      <c r="C437">
        <v>13774.347066999906</v>
      </c>
      <c r="D437" s="23">
        <f t="shared" si="13"/>
        <v>137.74347066999906</v>
      </c>
    </row>
    <row r="438" spans="1:4">
      <c r="A438" s="22">
        <f t="shared" si="12"/>
        <v>461.12261699738838</v>
      </c>
      <c r="B438">
        <v>4611.2261699738838</v>
      </c>
      <c r="C438">
        <v>13681.541229299906</v>
      </c>
      <c r="D438" s="23">
        <f t="shared" si="13"/>
        <v>136.81541229299907</v>
      </c>
    </row>
    <row r="439" spans="1:4">
      <c r="A439" s="22">
        <f t="shared" si="12"/>
        <v>462.18023767857505</v>
      </c>
      <c r="B439">
        <v>4621.8023767857503</v>
      </c>
      <c r="C439">
        <v>13588.735391599907</v>
      </c>
      <c r="D439" s="23">
        <f t="shared" si="13"/>
        <v>135.88735391599906</v>
      </c>
    </row>
    <row r="440" spans="1:4">
      <c r="A440" s="22">
        <f t="shared" si="12"/>
        <v>463.23785835976167</v>
      </c>
      <c r="B440">
        <v>4632.3785835976169</v>
      </c>
      <c r="C440">
        <v>13495.929553899907</v>
      </c>
      <c r="D440" s="23">
        <f t="shared" si="13"/>
        <v>134.95929553899907</v>
      </c>
    </row>
    <row r="441" spans="1:4">
      <c r="A441" s="22">
        <f t="shared" si="12"/>
        <v>464.29547904094841</v>
      </c>
      <c r="B441">
        <v>4642.9547904094843</v>
      </c>
      <c r="C441">
        <v>13403.123716199907</v>
      </c>
      <c r="D441" s="23">
        <f t="shared" si="13"/>
        <v>134.03123716199906</v>
      </c>
    </row>
    <row r="442" spans="1:4">
      <c r="A442" s="22">
        <f t="shared" si="12"/>
        <v>465.35309972213508</v>
      </c>
      <c r="B442">
        <v>4653.5309972213508</v>
      </c>
      <c r="C442">
        <v>13310.317878499907</v>
      </c>
      <c r="D442" s="23">
        <f t="shared" si="13"/>
        <v>133.10317878499907</v>
      </c>
    </row>
    <row r="443" spans="1:4">
      <c r="A443" s="22">
        <f t="shared" si="12"/>
        <v>466.41072040332176</v>
      </c>
      <c r="B443">
        <v>4664.1072040332174</v>
      </c>
      <c r="C443">
        <v>13217.512040799907</v>
      </c>
      <c r="D443" s="23">
        <f t="shared" si="13"/>
        <v>132.17512040799909</v>
      </c>
    </row>
    <row r="444" spans="1:4">
      <c r="A444" s="22">
        <f t="shared" si="12"/>
        <v>467.46834108450838</v>
      </c>
      <c r="B444">
        <v>4674.6834108450839</v>
      </c>
      <c r="C444">
        <v>13124.706203099908</v>
      </c>
      <c r="D444" s="23">
        <f t="shared" si="13"/>
        <v>131.24706203099907</v>
      </c>
    </row>
    <row r="445" spans="1:4">
      <c r="A445" s="22">
        <f t="shared" si="12"/>
        <v>468.52596176569506</v>
      </c>
      <c r="B445">
        <v>4685.2596176569505</v>
      </c>
      <c r="C445">
        <v>13031.900365399908</v>
      </c>
      <c r="D445" s="23">
        <f t="shared" si="13"/>
        <v>130.31900365399909</v>
      </c>
    </row>
    <row r="446" spans="1:4">
      <c r="A446" s="22">
        <f t="shared" si="12"/>
        <v>469.58358244688179</v>
      </c>
      <c r="B446">
        <v>4695.8358244688179</v>
      </c>
      <c r="C446">
        <v>12939.094527699908</v>
      </c>
      <c r="D446" s="23">
        <f t="shared" si="13"/>
        <v>129.39094527699908</v>
      </c>
    </row>
    <row r="447" spans="1:4">
      <c r="A447" s="22">
        <f t="shared" si="12"/>
        <v>470.64120312806847</v>
      </c>
      <c r="B447">
        <v>4706.4120312806845</v>
      </c>
      <c r="C447">
        <v>12846.288689999908</v>
      </c>
      <c r="D447" s="23">
        <f t="shared" si="13"/>
        <v>128.46288689999909</v>
      </c>
    </row>
    <row r="448" spans="1:4">
      <c r="A448" s="22">
        <f t="shared" si="12"/>
        <v>471.69882380925509</v>
      </c>
      <c r="B448">
        <v>4716.988238092551</v>
      </c>
      <c r="C448">
        <v>12753.482852299909</v>
      </c>
      <c r="D448" s="23">
        <f t="shared" si="13"/>
        <v>127.53482852299909</v>
      </c>
    </row>
    <row r="449" spans="1:4">
      <c r="A449" s="22">
        <f t="shared" si="12"/>
        <v>472.75644449044177</v>
      </c>
      <c r="B449">
        <v>4727.5644449044175</v>
      </c>
      <c r="C449">
        <v>12660.677014599909</v>
      </c>
      <c r="D449" s="23">
        <f t="shared" si="13"/>
        <v>126.60677014599909</v>
      </c>
    </row>
    <row r="450" spans="1:4">
      <c r="A450" s="22">
        <f t="shared" si="12"/>
        <v>473.81406517162839</v>
      </c>
      <c r="B450">
        <v>4738.1406517162841</v>
      </c>
      <c r="C450">
        <v>12567.871176899909</v>
      </c>
      <c r="D450" s="23">
        <f t="shared" si="13"/>
        <v>125.67871176899909</v>
      </c>
    </row>
    <row r="451" spans="1:4">
      <c r="A451" s="22">
        <f t="shared" ref="A451:A514" si="14">B451/10</f>
        <v>474.87168585281506</v>
      </c>
      <c r="B451">
        <v>4748.7168585281506</v>
      </c>
      <c r="C451">
        <v>12475.065339199909</v>
      </c>
      <c r="D451" s="23">
        <f t="shared" ref="D451:D514" si="15">$C451/100</f>
        <v>124.75065339199909</v>
      </c>
    </row>
    <row r="452" spans="1:4">
      <c r="A452" s="22">
        <f t="shared" si="14"/>
        <v>475.9293065340018</v>
      </c>
      <c r="B452">
        <v>4759.2930653400181</v>
      </c>
      <c r="C452">
        <v>12382.25950149991</v>
      </c>
      <c r="D452" s="23">
        <f t="shared" si="15"/>
        <v>123.8225950149991</v>
      </c>
    </row>
    <row r="453" spans="1:4">
      <c r="A453" s="22">
        <f t="shared" si="14"/>
        <v>476.98692721518847</v>
      </c>
      <c r="B453">
        <v>4769.8692721518846</v>
      </c>
      <c r="C453">
        <v>12289.45366379991</v>
      </c>
      <c r="D453" s="23">
        <f t="shared" si="15"/>
        <v>122.8945366379991</v>
      </c>
    </row>
    <row r="454" spans="1:4">
      <c r="A454" s="22">
        <f t="shared" si="14"/>
        <v>478.04454789637509</v>
      </c>
      <c r="B454">
        <v>4780.4454789637512</v>
      </c>
      <c r="C454">
        <v>12196.64782609991</v>
      </c>
      <c r="D454" s="23">
        <f t="shared" si="15"/>
        <v>121.9664782609991</v>
      </c>
    </row>
    <row r="455" spans="1:4">
      <c r="A455" s="22">
        <f t="shared" si="14"/>
        <v>479.10216857756177</v>
      </c>
      <c r="B455">
        <v>4791.0216857756177</v>
      </c>
      <c r="C455">
        <v>12103.84198839991</v>
      </c>
      <c r="D455" s="23">
        <f t="shared" si="15"/>
        <v>121.0384198839991</v>
      </c>
    </row>
    <row r="456" spans="1:4">
      <c r="A456" s="22">
        <f t="shared" si="14"/>
        <v>480.15978925874845</v>
      </c>
      <c r="B456">
        <v>4801.5978925874842</v>
      </c>
      <c r="C456">
        <v>12011.036150699911</v>
      </c>
      <c r="D456" s="23">
        <f t="shared" si="15"/>
        <v>120.11036150699911</v>
      </c>
    </row>
    <row r="457" spans="1:4">
      <c r="A457" s="22">
        <f t="shared" si="14"/>
        <v>481.21740993993518</v>
      </c>
      <c r="B457">
        <v>4812.1740993993517</v>
      </c>
      <c r="C457">
        <v>11918.230312999911</v>
      </c>
      <c r="D457" s="23">
        <f t="shared" si="15"/>
        <v>119.18230312999911</v>
      </c>
    </row>
    <row r="458" spans="1:4">
      <c r="A458" s="22">
        <f t="shared" si="14"/>
        <v>482.2750306211218</v>
      </c>
      <c r="B458">
        <v>4822.7503062112182</v>
      </c>
      <c r="C458">
        <v>11825.424475299911</v>
      </c>
      <c r="D458" s="23">
        <f t="shared" si="15"/>
        <v>118.25424475299911</v>
      </c>
    </row>
    <row r="459" spans="1:4">
      <c r="A459" s="22">
        <f t="shared" si="14"/>
        <v>483.33265130230848</v>
      </c>
      <c r="B459">
        <v>4833.3265130230848</v>
      </c>
      <c r="C459">
        <v>11732.618637599911</v>
      </c>
      <c r="D459" s="23">
        <f t="shared" si="15"/>
        <v>117.32618637599911</v>
      </c>
    </row>
    <row r="460" spans="1:4">
      <c r="A460" s="22">
        <f t="shared" si="14"/>
        <v>484.39027198349515</v>
      </c>
      <c r="B460">
        <v>4843.9027198349513</v>
      </c>
      <c r="C460">
        <v>11639.812799899912</v>
      </c>
      <c r="D460" s="23">
        <f t="shared" si="15"/>
        <v>116.39812799899912</v>
      </c>
    </row>
    <row r="461" spans="1:4">
      <c r="A461" s="22">
        <f t="shared" si="14"/>
        <v>485.44789266468177</v>
      </c>
      <c r="B461">
        <v>4854.4789266468179</v>
      </c>
      <c r="C461">
        <v>11547.006962199912</v>
      </c>
      <c r="D461" s="23">
        <f t="shared" si="15"/>
        <v>115.47006962199912</v>
      </c>
    </row>
    <row r="462" spans="1:4">
      <c r="A462" s="22">
        <f t="shared" si="14"/>
        <v>486.50551334586845</v>
      </c>
      <c r="B462">
        <v>4865.0551334586844</v>
      </c>
      <c r="C462">
        <v>11454.201124499912</v>
      </c>
      <c r="D462" s="23">
        <f t="shared" si="15"/>
        <v>114.54201124499912</v>
      </c>
    </row>
    <row r="463" spans="1:4">
      <c r="A463" s="22">
        <f t="shared" si="14"/>
        <v>487.56313402705518</v>
      </c>
      <c r="B463">
        <v>4875.6313402705518</v>
      </c>
      <c r="C463">
        <v>11361.395286799912</v>
      </c>
      <c r="D463" s="23">
        <f t="shared" si="15"/>
        <v>113.61395286799912</v>
      </c>
    </row>
    <row r="464" spans="1:4">
      <c r="A464" s="22">
        <f t="shared" si="14"/>
        <v>488.62075470824186</v>
      </c>
      <c r="B464">
        <v>4886.2075470824184</v>
      </c>
      <c r="C464">
        <v>11268.589449099913</v>
      </c>
      <c r="D464" s="23">
        <f t="shared" si="15"/>
        <v>112.68589449099913</v>
      </c>
    </row>
    <row r="465" spans="1:4">
      <c r="A465" s="22">
        <f t="shared" si="14"/>
        <v>489.67837538942848</v>
      </c>
      <c r="B465">
        <v>4896.7837538942849</v>
      </c>
      <c r="C465">
        <v>11175.783611399913</v>
      </c>
      <c r="D465" s="23">
        <f t="shared" si="15"/>
        <v>111.75783611399913</v>
      </c>
    </row>
    <row r="466" spans="1:4">
      <c r="A466" s="22">
        <f t="shared" si="14"/>
        <v>490.73599607061516</v>
      </c>
      <c r="B466">
        <v>4907.3599607061515</v>
      </c>
      <c r="C466">
        <v>11082.977773699913</v>
      </c>
      <c r="D466" s="23">
        <f t="shared" si="15"/>
        <v>110.82977773699913</v>
      </c>
    </row>
    <row r="467" spans="1:4">
      <c r="A467" s="22">
        <f t="shared" si="14"/>
        <v>491.79361675180178</v>
      </c>
      <c r="B467">
        <v>4917.936167518018</v>
      </c>
      <c r="C467">
        <v>10990.171935999913</v>
      </c>
      <c r="D467" s="23">
        <f t="shared" si="15"/>
        <v>109.90171935999913</v>
      </c>
    </row>
    <row r="468" spans="1:4">
      <c r="A468" s="22">
        <f t="shared" si="14"/>
        <v>492.85123743298857</v>
      </c>
      <c r="B468">
        <v>4928.5123743298855</v>
      </c>
      <c r="C468">
        <v>10897.366098299914</v>
      </c>
      <c r="D468" s="23">
        <f t="shared" si="15"/>
        <v>108.97366098299914</v>
      </c>
    </row>
    <row r="469" spans="1:4">
      <c r="A469" s="22">
        <f t="shared" si="14"/>
        <v>493.90885811417519</v>
      </c>
      <c r="B469">
        <v>4939.088581141752</v>
      </c>
      <c r="C469">
        <v>10804.560260599914</v>
      </c>
      <c r="D469" s="23">
        <f t="shared" si="15"/>
        <v>108.04560260599914</v>
      </c>
    </row>
    <row r="470" spans="1:4">
      <c r="A470" s="22">
        <f t="shared" si="14"/>
        <v>494.96647879536187</v>
      </c>
      <c r="B470">
        <v>4949.6647879536185</v>
      </c>
      <c r="C470">
        <v>10711.754422899914</v>
      </c>
      <c r="D470" s="23">
        <f t="shared" si="15"/>
        <v>107.11754422899914</v>
      </c>
    </row>
    <row r="471" spans="1:4">
      <c r="A471" s="22">
        <f t="shared" si="14"/>
        <v>496.02409947654849</v>
      </c>
      <c r="B471">
        <v>4960.2409947654851</v>
      </c>
      <c r="C471">
        <v>10618.948585199914</v>
      </c>
      <c r="D471" s="23">
        <f t="shared" si="15"/>
        <v>106.18948585199914</v>
      </c>
    </row>
    <row r="472" spans="1:4">
      <c r="A472" s="22">
        <f t="shared" si="14"/>
        <v>497.08172015773516</v>
      </c>
      <c r="B472">
        <v>4970.8172015773516</v>
      </c>
      <c r="C472">
        <v>10526.142747499915</v>
      </c>
      <c r="D472" s="23">
        <f t="shared" si="15"/>
        <v>105.26142747499915</v>
      </c>
    </row>
    <row r="473" spans="1:4">
      <c r="A473" s="22">
        <f t="shared" si="14"/>
        <v>498.13934083892184</v>
      </c>
      <c r="B473">
        <v>4981.3934083892182</v>
      </c>
      <c r="C473">
        <v>10433.336909799915</v>
      </c>
      <c r="D473" s="23">
        <f t="shared" si="15"/>
        <v>104.33336909799915</v>
      </c>
    </row>
    <row r="474" spans="1:4">
      <c r="A474" s="22">
        <f t="shared" si="14"/>
        <v>499.19696152010857</v>
      </c>
      <c r="B474">
        <v>4991.9696152010856</v>
      </c>
      <c r="C474">
        <v>10340.531072099915</v>
      </c>
      <c r="D474" s="23">
        <f t="shared" si="15"/>
        <v>103.40531072099915</v>
      </c>
    </row>
    <row r="475" spans="1:4">
      <c r="A475" s="22">
        <f t="shared" si="14"/>
        <v>500.25458220129519</v>
      </c>
      <c r="B475">
        <v>5002.5458220129522</v>
      </c>
      <c r="C475">
        <v>10247.725234399915</v>
      </c>
      <c r="D475" s="23">
        <f t="shared" si="15"/>
        <v>102.47725234399915</v>
      </c>
    </row>
    <row r="476" spans="1:4">
      <c r="A476" s="22">
        <f t="shared" si="14"/>
        <v>501.31220288248187</v>
      </c>
      <c r="B476">
        <v>5013.1220288248187</v>
      </c>
      <c r="C476">
        <v>10154.919396699916</v>
      </c>
      <c r="D476" s="23">
        <f t="shared" si="15"/>
        <v>101.54919396699916</v>
      </c>
    </row>
    <row r="477" spans="1:4">
      <c r="A477" s="22">
        <f t="shared" si="14"/>
        <v>502.36982356366855</v>
      </c>
      <c r="B477">
        <v>5023.6982356366852</v>
      </c>
      <c r="C477">
        <v>10062.113558999916</v>
      </c>
      <c r="D477" s="23">
        <f t="shared" si="15"/>
        <v>100.62113558999916</v>
      </c>
    </row>
    <row r="478" spans="1:4">
      <c r="A478" s="22">
        <f t="shared" si="14"/>
        <v>503.42744424485517</v>
      </c>
      <c r="B478">
        <v>5034.2744424485518</v>
      </c>
      <c r="C478">
        <v>9969.307721299916</v>
      </c>
      <c r="D478" s="23">
        <f t="shared" si="15"/>
        <v>99.693077212999157</v>
      </c>
    </row>
    <row r="479" spans="1:4">
      <c r="A479" s="22">
        <f t="shared" si="14"/>
        <v>504.4850649260419</v>
      </c>
      <c r="B479">
        <v>5044.8506492604192</v>
      </c>
      <c r="C479">
        <v>9876.5018835999163</v>
      </c>
      <c r="D479" s="23">
        <f t="shared" si="15"/>
        <v>98.765018835999157</v>
      </c>
    </row>
    <row r="480" spans="1:4">
      <c r="A480" s="22">
        <f t="shared" si="14"/>
        <v>505.54268560722858</v>
      </c>
      <c r="B480">
        <v>5055.4268560722858</v>
      </c>
      <c r="C480">
        <v>9783.6960458999165</v>
      </c>
      <c r="D480" s="23">
        <f t="shared" si="15"/>
        <v>97.836960458999158</v>
      </c>
    </row>
    <row r="481" spans="1:4">
      <c r="A481" s="22">
        <f t="shared" si="14"/>
        <v>506.60030628841525</v>
      </c>
      <c r="B481">
        <v>5066.0030628841523</v>
      </c>
      <c r="C481">
        <v>9690.8902081999167</v>
      </c>
      <c r="D481" s="23">
        <f t="shared" si="15"/>
        <v>96.908902081999173</v>
      </c>
    </row>
    <row r="482" spans="1:4">
      <c r="A482" s="22">
        <f t="shared" si="14"/>
        <v>507.65792696960187</v>
      </c>
      <c r="B482">
        <v>5076.5792696960189</v>
      </c>
      <c r="C482">
        <v>9598.084370499917</v>
      </c>
      <c r="D482" s="23">
        <f t="shared" si="15"/>
        <v>95.980843704999174</v>
      </c>
    </row>
    <row r="483" spans="1:4">
      <c r="A483" s="22">
        <f t="shared" si="14"/>
        <v>508.71554765078855</v>
      </c>
      <c r="B483">
        <v>5087.1554765078854</v>
      </c>
      <c r="C483">
        <v>9505.2785327999172</v>
      </c>
      <c r="D483" s="23">
        <f t="shared" si="15"/>
        <v>95.052785327999175</v>
      </c>
    </row>
    <row r="484" spans="1:4">
      <c r="A484" s="22">
        <f t="shared" si="14"/>
        <v>509.77316833197517</v>
      </c>
      <c r="B484">
        <v>5097.7316833197519</v>
      </c>
      <c r="C484">
        <v>9412.4726950999175</v>
      </c>
      <c r="D484" s="23">
        <f t="shared" si="15"/>
        <v>94.124726950999175</v>
      </c>
    </row>
    <row r="485" spans="1:4">
      <c r="A485" s="22">
        <f t="shared" si="14"/>
        <v>510.83078901316196</v>
      </c>
      <c r="B485">
        <v>5108.3078901316194</v>
      </c>
      <c r="C485">
        <v>9319.6668573999177</v>
      </c>
      <c r="D485" s="23">
        <f t="shared" si="15"/>
        <v>93.196668573999176</v>
      </c>
    </row>
    <row r="486" spans="1:4">
      <c r="A486" s="22">
        <f t="shared" si="14"/>
        <v>511.88840969434858</v>
      </c>
      <c r="B486">
        <v>5118.8840969434859</v>
      </c>
      <c r="C486">
        <v>9226.861019699918</v>
      </c>
      <c r="D486" s="23">
        <f t="shared" si="15"/>
        <v>92.268610196999177</v>
      </c>
    </row>
    <row r="487" spans="1:4">
      <c r="A487" s="22">
        <f t="shared" si="14"/>
        <v>512.9460303755352</v>
      </c>
      <c r="B487">
        <v>5129.4603037553525</v>
      </c>
      <c r="C487">
        <v>9134.0551819999182</v>
      </c>
      <c r="D487" s="23">
        <f t="shared" si="15"/>
        <v>91.340551819999177</v>
      </c>
    </row>
    <row r="488" spans="1:4">
      <c r="A488" s="22">
        <f t="shared" si="14"/>
        <v>514.00365105672188</v>
      </c>
      <c r="B488">
        <v>5140.036510567219</v>
      </c>
      <c r="C488">
        <v>9041.2493442999184</v>
      </c>
      <c r="D488" s="23">
        <f t="shared" si="15"/>
        <v>90.412493442999178</v>
      </c>
    </row>
    <row r="489" spans="1:4">
      <c r="A489" s="22">
        <f t="shared" si="14"/>
        <v>515.06127173790856</v>
      </c>
      <c r="B489">
        <v>5150.6127173790856</v>
      </c>
      <c r="C489">
        <v>8948.4435065999187</v>
      </c>
      <c r="D489" s="23">
        <f t="shared" si="15"/>
        <v>89.484435065999193</v>
      </c>
    </row>
    <row r="490" spans="1:4">
      <c r="A490" s="22">
        <f t="shared" si="14"/>
        <v>516.11889241909535</v>
      </c>
      <c r="B490">
        <v>5161.188924190953</v>
      </c>
      <c r="C490">
        <v>8855.6376688999189</v>
      </c>
      <c r="D490" s="23">
        <f t="shared" si="15"/>
        <v>88.556376688999194</v>
      </c>
    </row>
    <row r="491" spans="1:4">
      <c r="A491" s="22">
        <f t="shared" si="14"/>
        <v>517.17651310028191</v>
      </c>
      <c r="B491">
        <v>5171.7651310028195</v>
      </c>
      <c r="C491">
        <v>8762.8318311999192</v>
      </c>
      <c r="D491" s="23">
        <f t="shared" si="15"/>
        <v>87.628318311999195</v>
      </c>
    </row>
    <row r="492" spans="1:4">
      <c r="A492" s="22">
        <f t="shared" si="14"/>
        <v>518.23413378146859</v>
      </c>
      <c r="B492">
        <v>5182.3413378146861</v>
      </c>
      <c r="C492">
        <v>8670.0259934999194</v>
      </c>
      <c r="D492" s="23">
        <f t="shared" si="15"/>
        <v>86.700259934999195</v>
      </c>
    </row>
    <row r="493" spans="1:4">
      <c r="A493" s="22">
        <f t="shared" si="14"/>
        <v>519.29175446265526</v>
      </c>
      <c r="B493">
        <v>5192.9175446265526</v>
      </c>
      <c r="C493">
        <v>8577.2201557999197</v>
      </c>
      <c r="D493" s="23">
        <f t="shared" si="15"/>
        <v>85.772201557999196</v>
      </c>
    </row>
    <row r="494" spans="1:4">
      <c r="A494" s="22">
        <f t="shared" si="14"/>
        <v>520.34937514384194</v>
      </c>
      <c r="B494">
        <v>5203.4937514384192</v>
      </c>
      <c r="C494">
        <v>8484.4143180999199</v>
      </c>
      <c r="D494" s="23">
        <f t="shared" si="15"/>
        <v>84.844143180999197</v>
      </c>
    </row>
    <row r="495" spans="1:4">
      <c r="A495" s="22">
        <f t="shared" si="14"/>
        <v>521.40699582502862</v>
      </c>
      <c r="B495">
        <v>5214.0699582502857</v>
      </c>
      <c r="C495">
        <v>8391.6084803999202</v>
      </c>
      <c r="D495" s="23">
        <f t="shared" si="15"/>
        <v>83.916084803999198</v>
      </c>
    </row>
    <row r="496" spans="1:4">
      <c r="A496" s="22">
        <f t="shared" si="14"/>
        <v>522.46461650621529</v>
      </c>
      <c r="B496">
        <v>5224.6461650621532</v>
      </c>
      <c r="C496">
        <v>8298.8026426999204</v>
      </c>
      <c r="D496" s="23">
        <f t="shared" si="15"/>
        <v>82.988026426999198</v>
      </c>
    </row>
    <row r="497" spans="1:4">
      <c r="A497" s="22">
        <f t="shared" si="14"/>
        <v>523.52223718740197</v>
      </c>
      <c r="B497">
        <v>5235.2223718740197</v>
      </c>
      <c r="C497">
        <v>8205.9968049999206</v>
      </c>
      <c r="D497" s="23">
        <f t="shared" si="15"/>
        <v>82.059968049999213</v>
      </c>
    </row>
    <row r="498" spans="1:4">
      <c r="A498" s="22">
        <f t="shared" si="14"/>
        <v>524.57985786858865</v>
      </c>
      <c r="B498">
        <v>5245.7985786858862</v>
      </c>
      <c r="C498">
        <v>8113.1909672999209</v>
      </c>
      <c r="D498" s="23">
        <f t="shared" si="15"/>
        <v>81.131909672999214</v>
      </c>
    </row>
    <row r="499" spans="1:4">
      <c r="A499" s="22">
        <f t="shared" si="14"/>
        <v>525.63747854977532</v>
      </c>
      <c r="B499">
        <v>5256.3747854977528</v>
      </c>
      <c r="C499">
        <v>8020.3851295999211</v>
      </c>
      <c r="D499" s="23">
        <f t="shared" si="15"/>
        <v>80.203851295999215</v>
      </c>
    </row>
    <row r="500" spans="1:4">
      <c r="A500" s="22">
        <f t="shared" si="14"/>
        <v>526.69509923096189</v>
      </c>
      <c r="B500">
        <v>5266.9509923096193</v>
      </c>
      <c r="C500">
        <v>7927.5792918999214</v>
      </c>
      <c r="D500" s="23">
        <f t="shared" si="15"/>
        <v>79.275792918999215</v>
      </c>
    </row>
    <row r="501" spans="1:4">
      <c r="A501" s="22">
        <f t="shared" si="14"/>
        <v>527.75271991214868</v>
      </c>
      <c r="B501">
        <v>5277.5271991214868</v>
      </c>
      <c r="C501">
        <v>7834.7734541999216</v>
      </c>
      <c r="D501" s="23">
        <f t="shared" si="15"/>
        <v>78.347734541999216</v>
      </c>
    </row>
    <row r="502" spans="1:4">
      <c r="A502" s="22">
        <f t="shared" si="14"/>
        <v>528.81034059333535</v>
      </c>
      <c r="B502">
        <v>5288.1034059333533</v>
      </c>
      <c r="C502">
        <v>7741.9676164999219</v>
      </c>
      <c r="D502" s="23">
        <f t="shared" si="15"/>
        <v>77.419676164999217</v>
      </c>
    </row>
    <row r="503" spans="1:4">
      <c r="A503" s="22">
        <f t="shared" si="14"/>
        <v>529.86796127452203</v>
      </c>
      <c r="B503">
        <v>5298.6796127452199</v>
      </c>
      <c r="C503">
        <v>7649.1617787999221</v>
      </c>
      <c r="D503" s="23">
        <f t="shared" si="15"/>
        <v>76.491617787999218</v>
      </c>
    </row>
    <row r="504" spans="1:4">
      <c r="A504" s="22">
        <f t="shared" si="14"/>
        <v>530.92558195570859</v>
      </c>
      <c r="B504">
        <v>5309.2558195570864</v>
      </c>
      <c r="C504">
        <v>7556.3559410999223</v>
      </c>
      <c r="D504" s="23">
        <f t="shared" si="15"/>
        <v>75.563559410999218</v>
      </c>
    </row>
    <row r="505" spans="1:4">
      <c r="A505" s="22">
        <f t="shared" si="14"/>
        <v>531.98320263689527</v>
      </c>
      <c r="B505">
        <v>5319.8320263689529</v>
      </c>
      <c r="C505">
        <v>7463.5501033999226</v>
      </c>
      <c r="D505" s="23">
        <f t="shared" si="15"/>
        <v>74.635501033999219</v>
      </c>
    </row>
    <row r="506" spans="1:4">
      <c r="A506" s="22">
        <f t="shared" si="14"/>
        <v>533.04082331808195</v>
      </c>
      <c r="B506">
        <v>5330.4082331808195</v>
      </c>
      <c r="C506">
        <v>7370.7442656999228</v>
      </c>
      <c r="D506" s="23">
        <f t="shared" si="15"/>
        <v>73.707442656999234</v>
      </c>
    </row>
    <row r="507" spans="1:4">
      <c r="A507" s="22">
        <f t="shared" si="14"/>
        <v>534.09844399926874</v>
      </c>
      <c r="B507">
        <v>5340.9844399926869</v>
      </c>
      <c r="C507">
        <v>7277.9384279999231</v>
      </c>
      <c r="D507" s="23">
        <f t="shared" si="15"/>
        <v>72.779384279999235</v>
      </c>
    </row>
    <row r="508" spans="1:4">
      <c r="A508" s="22">
        <f t="shared" si="14"/>
        <v>535.1560646804553</v>
      </c>
      <c r="B508">
        <v>5351.5606468045535</v>
      </c>
      <c r="C508">
        <v>7185.1325902999233</v>
      </c>
      <c r="D508" s="23">
        <f t="shared" si="15"/>
        <v>71.851325902999235</v>
      </c>
    </row>
    <row r="509" spans="1:4">
      <c r="A509" s="22">
        <f t="shared" si="14"/>
        <v>536.21368536164198</v>
      </c>
      <c r="B509">
        <v>5362.13685361642</v>
      </c>
      <c r="C509">
        <v>7092.3267525999236</v>
      </c>
      <c r="D509" s="23">
        <f t="shared" si="15"/>
        <v>70.923267525999236</v>
      </c>
    </row>
    <row r="510" spans="1:4">
      <c r="A510" s="22">
        <f t="shared" si="14"/>
        <v>537.27130604282866</v>
      </c>
      <c r="B510">
        <v>5372.7130604282866</v>
      </c>
      <c r="C510">
        <v>6999.5209148999238</v>
      </c>
      <c r="D510" s="23">
        <f t="shared" si="15"/>
        <v>69.995209148999237</v>
      </c>
    </row>
    <row r="511" spans="1:4">
      <c r="A511" s="22">
        <f t="shared" si="14"/>
        <v>538.32892672401533</v>
      </c>
      <c r="B511">
        <v>5383.2892672401531</v>
      </c>
      <c r="C511">
        <v>6906.7150771999241</v>
      </c>
      <c r="D511" s="23">
        <f t="shared" si="15"/>
        <v>69.067150771999238</v>
      </c>
    </row>
    <row r="512" spans="1:4">
      <c r="A512" s="22">
        <f t="shared" si="14"/>
        <v>539.38654740520201</v>
      </c>
      <c r="B512">
        <v>5393.8654740520205</v>
      </c>
      <c r="C512">
        <v>6813.9092394999243</v>
      </c>
      <c r="D512" s="23">
        <f t="shared" si="15"/>
        <v>68.139092394999238</v>
      </c>
    </row>
    <row r="513" spans="1:4">
      <c r="A513" s="22">
        <f t="shared" si="14"/>
        <v>540.44416808638869</v>
      </c>
      <c r="B513">
        <v>5404.4416808638871</v>
      </c>
      <c r="C513">
        <v>6721.1034017999245</v>
      </c>
      <c r="D513" s="23">
        <f t="shared" si="15"/>
        <v>67.211034017999239</v>
      </c>
    </row>
    <row r="514" spans="1:4">
      <c r="A514" s="22">
        <f t="shared" si="14"/>
        <v>541.50178876757536</v>
      </c>
      <c r="B514">
        <v>5415.0178876757536</v>
      </c>
      <c r="C514">
        <v>6628.2975640999248</v>
      </c>
      <c r="D514" s="23">
        <f t="shared" si="15"/>
        <v>66.282975640999254</v>
      </c>
    </row>
    <row r="515" spans="1:4">
      <c r="A515" s="22">
        <f t="shared" ref="A515:A578" si="16">B515/10</f>
        <v>542.55940944876204</v>
      </c>
      <c r="B515">
        <v>5425.5940944876202</v>
      </c>
      <c r="C515">
        <v>6535.491726399925</v>
      </c>
      <c r="D515" s="23">
        <f t="shared" ref="D515:D578" si="17">$C515/100</f>
        <v>65.354917263999255</v>
      </c>
    </row>
    <row r="516" spans="1:4">
      <c r="A516" s="22">
        <f t="shared" si="16"/>
        <v>543.61703012994872</v>
      </c>
      <c r="B516">
        <v>5436.1703012994867</v>
      </c>
      <c r="C516">
        <v>6442.6858886999253</v>
      </c>
      <c r="D516" s="23">
        <f t="shared" si="17"/>
        <v>64.426858886999256</v>
      </c>
    </row>
    <row r="517" spans="1:4">
      <c r="A517" s="22">
        <f t="shared" si="16"/>
        <v>544.67465081113528</v>
      </c>
      <c r="B517">
        <v>5446.7465081113533</v>
      </c>
      <c r="C517">
        <v>6349.8800509999255</v>
      </c>
      <c r="D517" s="23">
        <f t="shared" si="17"/>
        <v>63.498800509999256</v>
      </c>
    </row>
    <row r="518" spans="1:4">
      <c r="A518" s="22">
        <f t="shared" si="16"/>
        <v>545.73227149232207</v>
      </c>
      <c r="B518">
        <v>5457.3227149232207</v>
      </c>
      <c r="C518">
        <v>6257.0742132999258</v>
      </c>
      <c r="D518" s="23">
        <f t="shared" si="17"/>
        <v>62.570742132999257</v>
      </c>
    </row>
    <row r="519" spans="1:4">
      <c r="A519" s="22">
        <f t="shared" si="16"/>
        <v>546.78989217350875</v>
      </c>
      <c r="B519">
        <v>5467.8989217350872</v>
      </c>
      <c r="C519">
        <v>6164.268375599926</v>
      </c>
      <c r="D519" s="23">
        <f t="shared" si="17"/>
        <v>61.642683755999258</v>
      </c>
    </row>
    <row r="520" spans="1:4">
      <c r="A520" s="22">
        <f t="shared" si="16"/>
        <v>547.84751285469542</v>
      </c>
      <c r="B520">
        <v>5478.4751285469538</v>
      </c>
      <c r="C520">
        <v>6071.4625378999262</v>
      </c>
      <c r="D520" s="23">
        <f t="shared" si="17"/>
        <v>60.714625378999266</v>
      </c>
    </row>
    <row r="521" spans="1:4">
      <c r="A521" s="22">
        <f t="shared" si="16"/>
        <v>548.90513353588199</v>
      </c>
      <c r="B521">
        <v>5489.0513353588203</v>
      </c>
      <c r="C521">
        <v>5978.6567001999265</v>
      </c>
      <c r="D521" s="23">
        <f t="shared" si="17"/>
        <v>59.786567001999266</v>
      </c>
    </row>
    <row r="522" spans="1:4">
      <c r="A522" s="22">
        <f t="shared" si="16"/>
        <v>549.96275421706866</v>
      </c>
      <c r="B522">
        <v>5499.6275421706869</v>
      </c>
      <c r="C522">
        <v>5885.8508624999267</v>
      </c>
      <c r="D522" s="23">
        <f t="shared" si="17"/>
        <v>58.858508624999267</v>
      </c>
    </row>
    <row r="523" spans="1:4">
      <c r="A523" s="22">
        <f t="shared" si="16"/>
        <v>551.02037489825545</v>
      </c>
      <c r="B523">
        <v>5510.2037489825543</v>
      </c>
      <c r="C523">
        <v>5793.045024799927</v>
      </c>
      <c r="D523" s="23">
        <f t="shared" si="17"/>
        <v>57.930450247999268</v>
      </c>
    </row>
    <row r="524" spans="1:4">
      <c r="A524" s="22">
        <f t="shared" si="16"/>
        <v>552.07799557944213</v>
      </c>
      <c r="B524">
        <v>5520.7799557944209</v>
      </c>
      <c r="C524">
        <v>5700.2391870999272</v>
      </c>
      <c r="D524" s="23">
        <f t="shared" si="17"/>
        <v>57.002391870999276</v>
      </c>
    </row>
    <row r="525" spans="1:4">
      <c r="A525" s="22">
        <f t="shared" si="16"/>
        <v>553.13561626062869</v>
      </c>
      <c r="B525">
        <v>5531.3561626062874</v>
      </c>
      <c r="C525">
        <v>5607.4333493999275</v>
      </c>
      <c r="D525" s="23">
        <f t="shared" si="17"/>
        <v>56.074333493999276</v>
      </c>
    </row>
    <row r="526" spans="1:4">
      <c r="A526" s="22">
        <f t="shared" si="16"/>
        <v>554.19323694181537</v>
      </c>
      <c r="B526">
        <v>5541.9323694181539</v>
      </c>
      <c r="C526">
        <v>5514.6275116999277</v>
      </c>
      <c r="D526" s="23">
        <f t="shared" si="17"/>
        <v>55.146275116999277</v>
      </c>
    </row>
    <row r="527" spans="1:4">
      <c r="A527" s="22">
        <f t="shared" si="16"/>
        <v>555.25085762300205</v>
      </c>
      <c r="B527">
        <v>5552.5085762300205</v>
      </c>
      <c r="C527">
        <v>5421.821673999928</v>
      </c>
      <c r="D527" s="23">
        <f t="shared" si="17"/>
        <v>54.218216739999278</v>
      </c>
    </row>
    <row r="528" spans="1:4">
      <c r="A528" s="22">
        <f t="shared" si="16"/>
        <v>556.30847830418872</v>
      </c>
      <c r="B528">
        <v>5563.084783041887</v>
      </c>
      <c r="C528">
        <v>5329.0158362999282</v>
      </c>
      <c r="D528" s="23">
        <f t="shared" si="17"/>
        <v>53.290158362999279</v>
      </c>
    </row>
    <row r="529" spans="1:4">
      <c r="A529" s="22">
        <f t="shared" si="16"/>
        <v>557.3660989853754</v>
      </c>
      <c r="B529">
        <v>5573.6609898537545</v>
      </c>
      <c r="C529">
        <v>5236.2099985999284</v>
      </c>
      <c r="D529" s="23">
        <f t="shared" si="17"/>
        <v>52.362099985999286</v>
      </c>
    </row>
    <row r="530" spans="1:4">
      <c r="A530" s="22">
        <f t="shared" si="16"/>
        <v>558.42371966656208</v>
      </c>
      <c r="B530">
        <v>5584.237196665621</v>
      </c>
      <c r="C530">
        <v>5143.4041608999287</v>
      </c>
      <c r="D530" s="23">
        <f t="shared" si="17"/>
        <v>51.434041608999287</v>
      </c>
    </row>
    <row r="531" spans="1:4">
      <c r="A531" s="22">
        <f t="shared" si="16"/>
        <v>559.48134034774876</v>
      </c>
      <c r="B531">
        <v>5594.8134034774876</v>
      </c>
      <c r="C531">
        <v>5050.5983231999289</v>
      </c>
      <c r="D531" s="23">
        <f t="shared" si="17"/>
        <v>50.505983231999288</v>
      </c>
    </row>
    <row r="532" spans="1:4">
      <c r="A532" s="22">
        <f t="shared" si="16"/>
        <v>560.53896102893543</v>
      </c>
      <c r="B532">
        <v>5605.3896102893541</v>
      </c>
      <c r="C532">
        <v>4957.7924854999292</v>
      </c>
      <c r="D532" s="23">
        <f t="shared" si="17"/>
        <v>49.577924854999289</v>
      </c>
    </row>
    <row r="533" spans="1:4">
      <c r="A533" s="22">
        <f t="shared" si="16"/>
        <v>561.59658171012211</v>
      </c>
      <c r="B533">
        <v>5615.9658171012206</v>
      </c>
      <c r="C533">
        <v>4864.9866477999294</v>
      </c>
      <c r="D533" s="23">
        <f t="shared" si="17"/>
        <v>48.649866477999296</v>
      </c>
    </row>
    <row r="534" spans="1:4">
      <c r="A534" s="22">
        <f t="shared" si="16"/>
        <v>562.65420239130879</v>
      </c>
      <c r="B534">
        <v>5626.5420239130881</v>
      </c>
      <c r="C534">
        <v>4772.1808100999297</v>
      </c>
      <c r="D534" s="23">
        <f t="shared" si="17"/>
        <v>47.721808100999297</v>
      </c>
    </row>
    <row r="535" spans="1:4">
      <c r="A535" s="22">
        <f t="shared" si="16"/>
        <v>563.71182307249546</v>
      </c>
      <c r="B535">
        <v>5637.1182307249546</v>
      </c>
      <c r="C535">
        <v>4679.3749723999299</v>
      </c>
      <c r="D535" s="23">
        <f t="shared" si="17"/>
        <v>46.793749723999298</v>
      </c>
    </row>
    <row r="536" spans="1:4">
      <c r="A536" s="22">
        <f t="shared" si="16"/>
        <v>564.76944375368214</v>
      </c>
      <c r="B536">
        <v>5647.6944375368212</v>
      </c>
      <c r="C536">
        <v>4586.5691346999301</v>
      </c>
      <c r="D536" s="23">
        <f t="shared" si="17"/>
        <v>45.865691346999299</v>
      </c>
    </row>
    <row r="537" spans="1:4">
      <c r="A537" s="22">
        <f t="shared" si="16"/>
        <v>565.82706443486882</v>
      </c>
      <c r="B537">
        <v>5658.2706443486877</v>
      </c>
      <c r="C537">
        <v>4493.7632969999304</v>
      </c>
      <c r="D537" s="23">
        <f t="shared" si="17"/>
        <v>44.937632969999306</v>
      </c>
    </row>
    <row r="538" spans="1:4">
      <c r="A538" s="22">
        <f t="shared" si="16"/>
        <v>566.88468511605538</v>
      </c>
      <c r="B538">
        <v>5668.8468511605543</v>
      </c>
      <c r="C538">
        <v>4400.9574592999306</v>
      </c>
      <c r="D538" s="23">
        <f t="shared" si="17"/>
        <v>44.009574592999307</v>
      </c>
    </row>
    <row r="539" spans="1:4">
      <c r="A539" s="22">
        <f t="shared" si="16"/>
        <v>567.94230579724206</v>
      </c>
      <c r="B539">
        <v>5679.4230579724208</v>
      </c>
      <c r="C539">
        <v>4308.1516215999309</v>
      </c>
      <c r="D539" s="23">
        <f t="shared" si="17"/>
        <v>43.081516215999308</v>
      </c>
    </row>
    <row r="540" spans="1:4">
      <c r="A540" s="22">
        <f t="shared" si="16"/>
        <v>568.99992647842885</v>
      </c>
      <c r="B540">
        <v>5689.9992647842882</v>
      </c>
      <c r="C540">
        <v>4215.3457838999311</v>
      </c>
      <c r="D540" s="23">
        <f t="shared" si="17"/>
        <v>42.153457838999309</v>
      </c>
    </row>
    <row r="541" spans="1:4">
      <c r="A541" s="22">
        <f t="shared" si="16"/>
        <v>570.05754715961552</v>
      </c>
      <c r="B541">
        <v>5700.5754715961548</v>
      </c>
      <c r="C541">
        <v>4122.5399461999314</v>
      </c>
      <c r="D541" s="23">
        <f t="shared" si="17"/>
        <v>41.225399461999316</v>
      </c>
    </row>
    <row r="542" spans="1:4">
      <c r="A542" s="22">
        <f t="shared" si="16"/>
        <v>571.11516784080209</v>
      </c>
      <c r="B542">
        <v>5711.1516784080213</v>
      </c>
      <c r="C542">
        <v>4029.7341084999312</v>
      </c>
      <c r="D542" s="23">
        <f t="shared" si="17"/>
        <v>40.29734108499931</v>
      </c>
    </row>
    <row r="543" spans="1:4">
      <c r="A543" s="22">
        <f t="shared" si="16"/>
        <v>572.17278852198876</v>
      </c>
      <c r="B543">
        <v>5721.7278852198879</v>
      </c>
      <c r="C543">
        <v>3936.9282707999309</v>
      </c>
      <c r="D543" s="23">
        <f t="shared" si="17"/>
        <v>39.369282707999311</v>
      </c>
    </row>
    <row r="544" spans="1:4">
      <c r="A544" s="22">
        <f t="shared" si="16"/>
        <v>573.23040920317544</v>
      </c>
      <c r="B544">
        <v>5732.3040920317544</v>
      </c>
      <c r="C544">
        <v>3844.1224330999307</v>
      </c>
      <c r="D544" s="23">
        <f t="shared" si="17"/>
        <v>38.441224330999304</v>
      </c>
    </row>
    <row r="545" spans="1:4">
      <c r="A545" s="22">
        <f t="shared" si="16"/>
        <v>574.28802988436223</v>
      </c>
      <c r="B545">
        <v>5742.8802988436219</v>
      </c>
      <c r="C545">
        <v>3751.3165953999305</v>
      </c>
      <c r="D545" s="23">
        <f t="shared" si="17"/>
        <v>37.513165953999305</v>
      </c>
    </row>
    <row r="546" spans="1:4">
      <c r="A546" s="22">
        <f t="shared" si="16"/>
        <v>575.34565056554879</v>
      </c>
      <c r="B546">
        <v>5753.4565056554884</v>
      </c>
      <c r="C546">
        <v>3658.5107576999303</v>
      </c>
      <c r="D546" s="23">
        <f t="shared" si="17"/>
        <v>36.585107576999306</v>
      </c>
    </row>
    <row r="547" spans="1:4">
      <c r="A547" s="22">
        <f t="shared" si="16"/>
        <v>576.40327124673547</v>
      </c>
      <c r="B547">
        <v>5764.0327124673549</v>
      </c>
      <c r="C547">
        <v>3565.7049199999301</v>
      </c>
      <c r="D547" s="23">
        <f t="shared" si="17"/>
        <v>35.6570491999993</v>
      </c>
    </row>
    <row r="548" spans="1:4">
      <c r="A548" s="22">
        <f t="shared" si="16"/>
        <v>577.46089192792215</v>
      </c>
      <c r="B548">
        <v>5774.6089192792215</v>
      </c>
      <c r="C548">
        <v>3472.8990822999299</v>
      </c>
      <c r="D548" s="23">
        <f t="shared" si="17"/>
        <v>34.7289908229993</v>
      </c>
    </row>
    <row r="549" spans="1:4">
      <c r="A549" s="22">
        <f t="shared" si="16"/>
        <v>578.51851260910883</v>
      </c>
      <c r="B549">
        <v>5785.185126091088</v>
      </c>
      <c r="C549">
        <v>3380.0932445999297</v>
      </c>
      <c r="D549" s="23">
        <f t="shared" si="17"/>
        <v>33.800932445999294</v>
      </c>
    </row>
    <row r="550" spans="1:4">
      <c r="A550" s="22">
        <f t="shared" si="16"/>
        <v>579.5761332902955</v>
      </c>
      <c r="B550">
        <v>5795.7613329029546</v>
      </c>
      <c r="C550">
        <v>3287.2874068999295</v>
      </c>
      <c r="D550" s="23">
        <f t="shared" si="17"/>
        <v>32.872874068999295</v>
      </c>
    </row>
    <row r="551" spans="1:4">
      <c r="A551" s="22">
        <f t="shared" si="16"/>
        <v>580.63375397148218</v>
      </c>
      <c r="B551">
        <v>5806.337539714822</v>
      </c>
      <c r="C551">
        <v>3194.4815691999293</v>
      </c>
      <c r="D551" s="23">
        <f t="shared" si="17"/>
        <v>31.944815691999292</v>
      </c>
    </row>
    <row r="552" spans="1:4">
      <c r="A552" s="22">
        <f t="shared" si="16"/>
        <v>581.69137465266886</v>
      </c>
      <c r="B552">
        <v>5816.9137465266886</v>
      </c>
      <c r="C552">
        <v>3101.675731499929</v>
      </c>
      <c r="D552" s="23">
        <f t="shared" si="17"/>
        <v>31.016757314999289</v>
      </c>
    </row>
    <row r="553" spans="1:4">
      <c r="A553" s="22">
        <f t="shared" si="16"/>
        <v>582.74899533385553</v>
      </c>
      <c r="B553">
        <v>5827.4899533385551</v>
      </c>
      <c r="C553">
        <v>3008.8698937999288</v>
      </c>
      <c r="D553" s="23">
        <f t="shared" si="17"/>
        <v>30.08869893799929</v>
      </c>
    </row>
    <row r="554" spans="1:4">
      <c r="A554" s="22">
        <f t="shared" si="16"/>
        <v>583.80661601504221</v>
      </c>
      <c r="B554">
        <v>5838.0661601504216</v>
      </c>
      <c r="C554">
        <v>2916.0640560999286</v>
      </c>
      <c r="D554" s="23">
        <f t="shared" si="17"/>
        <v>29.160640560999287</v>
      </c>
    </row>
    <row r="555" spans="1:4">
      <c r="A555" s="22">
        <f t="shared" si="16"/>
        <v>584.86423669622877</v>
      </c>
      <c r="B555">
        <v>5848.6423669622882</v>
      </c>
      <c r="C555">
        <v>2823.2582183999284</v>
      </c>
      <c r="D555" s="23">
        <f t="shared" si="17"/>
        <v>28.232582183999284</v>
      </c>
    </row>
    <row r="556" spans="1:4">
      <c r="A556" s="22">
        <f t="shared" si="16"/>
        <v>585.92185737741556</v>
      </c>
      <c r="B556">
        <v>5859.2185737741556</v>
      </c>
      <c r="C556">
        <v>2730.4523806999282</v>
      </c>
      <c r="D556" s="23">
        <f t="shared" si="17"/>
        <v>27.304523806999281</v>
      </c>
    </row>
    <row r="557" spans="1:4">
      <c r="A557" s="22">
        <f t="shared" si="16"/>
        <v>586.97947805860224</v>
      </c>
      <c r="B557">
        <v>5869.7947805860222</v>
      </c>
      <c r="C557">
        <v>2637.646542999928</v>
      </c>
      <c r="D557" s="23">
        <f t="shared" si="17"/>
        <v>26.376465429999278</v>
      </c>
    </row>
    <row r="558" spans="1:4">
      <c r="A558" s="22">
        <f t="shared" si="16"/>
        <v>588.03709873978892</v>
      </c>
      <c r="B558">
        <v>5880.3709873978887</v>
      </c>
      <c r="C558">
        <v>2544.8407052999278</v>
      </c>
      <c r="D558" s="23">
        <f t="shared" si="17"/>
        <v>25.448407052999279</v>
      </c>
    </row>
    <row r="559" spans="1:4">
      <c r="A559" s="22">
        <f t="shared" si="16"/>
        <v>589.09471942097548</v>
      </c>
      <c r="B559">
        <v>5890.9471942097553</v>
      </c>
      <c r="C559">
        <v>2452.0348675999276</v>
      </c>
      <c r="D559" s="23">
        <f t="shared" si="17"/>
        <v>24.520348675999276</v>
      </c>
    </row>
    <row r="560" spans="1:4">
      <c r="A560" s="22">
        <f t="shared" si="16"/>
        <v>590.15234010216216</v>
      </c>
      <c r="B560">
        <v>5901.5234010216218</v>
      </c>
      <c r="C560">
        <v>2359.2290298999274</v>
      </c>
      <c r="D560" s="23">
        <f t="shared" si="17"/>
        <v>23.592290298999274</v>
      </c>
    </row>
    <row r="561" spans="1:4">
      <c r="A561" s="22">
        <f t="shared" si="16"/>
        <v>591.20996078334883</v>
      </c>
      <c r="B561">
        <v>5912.0996078334883</v>
      </c>
      <c r="C561">
        <v>2266.4231921999271</v>
      </c>
      <c r="D561" s="23">
        <f t="shared" si="17"/>
        <v>22.664231921999271</v>
      </c>
    </row>
    <row r="562" spans="1:4">
      <c r="A562" s="22">
        <f t="shared" si="16"/>
        <v>592.26758146453562</v>
      </c>
      <c r="B562">
        <v>5922.6758146453558</v>
      </c>
      <c r="C562">
        <v>2173.6173544999269</v>
      </c>
      <c r="D562" s="23">
        <f t="shared" si="17"/>
        <v>21.736173544999268</v>
      </c>
    </row>
    <row r="563" spans="1:4">
      <c r="A563" s="22">
        <f t="shared" si="16"/>
        <v>593.32520214572219</v>
      </c>
      <c r="B563">
        <v>5933.2520214572223</v>
      </c>
      <c r="C563">
        <v>2080.8115167999267</v>
      </c>
      <c r="D563" s="23">
        <f t="shared" si="17"/>
        <v>20.808115167999269</v>
      </c>
    </row>
    <row r="564" spans="1:4">
      <c r="A564" s="22">
        <f t="shared" si="16"/>
        <v>594.38282282690886</v>
      </c>
      <c r="B564">
        <v>5943.8282282690889</v>
      </c>
      <c r="C564">
        <v>1988.0056790999267</v>
      </c>
      <c r="D564" s="23">
        <f t="shared" si="17"/>
        <v>19.880056790999266</v>
      </c>
    </row>
    <row r="565" spans="1:4">
      <c r="A565" s="22">
        <f t="shared" si="16"/>
        <v>595.44044350809554</v>
      </c>
      <c r="B565">
        <v>5954.4044350809554</v>
      </c>
      <c r="C565">
        <v>1895.1998413999268</v>
      </c>
      <c r="D565" s="23">
        <f t="shared" si="17"/>
        <v>18.951998413999267</v>
      </c>
    </row>
    <row r="566" spans="1:4">
      <c r="A566" s="22">
        <f t="shared" si="16"/>
        <v>596.49806418928222</v>
      </c>
      <c r="B566">
        <v>5964.980641892822</v>
      </c>
      <c r="C566">
        <v>1802.3940036999268</v>
      </c>
      <c r="D566" s="23">
        <f t="shared" si="17"/>
        <v>18.023940036999267</v>
      </c>
    </row>
    <row r="567" spans="1:4">
      <c r="A567" s="22">
        <f t="shared" si="16"/>
        <v>597.55568487046889</v>
      </c>
      <c r="B567">
        <v>5975.5568487046894</v>
      </c>
      <c r="C567">
        <v>1709.5881659999268</v>
      </c>
      <c r="D567" s="23">
        <f t="shared" si="17"/>
        <v>17.095881659999268</v>
      </c>
    </row>
    <row r="568" spans="1:4">
      <c r="A568" s="22">
        <f t="shared" si="16"/>
        <v>598.61330555165557</v>
      </c>
      <c r="B568">
        <v>5986.1330555165559</v>
      </c>
      <c r="C568">
        <v>1616.7823282999268</v>
      </c>
      <c r="D568" s="23">
        <f t="shared" si="17"/>
        <v>16.167823282999269</v>
      </c>
    </row>
    <row r="569" spans="1:4">
      <c r="A569" s="22">
        <f t="shared" si="16"/>
        <v>599.67092623284225</v>
      </c>
      <c r="B569">
        <v>5996.7092623284225</v>
      </c>
      <c r="C569">
        <v>1523.9764905999268</v>
      </c>
      <c r="D569" s="23">
        <f t="shared" si="17"/>
        <v>15.239764905999268</v>
      </c>
    </row>
    <row r="570" spans="1:4">
      <c r="A570" s="22">
        <f t="shared" si="16"/>
        <v>600.72854691402893</v>
      </c>
      <c r="B570">
        <v>6007.285469140289</v>
      </c>
      <c r="C570">
        <v>1431.1706528999268</v>
      </c>
      <c r="D570" s="23">
        <f t="shared" si="17"/>
        <v>14.311706528999268</v>
      </c>
    </row>
    <row r="571" spans="1:4">
      <c r="A571" s="22">
        <f t="shared" si="16"/>
        <v>601.7861675952156</v>
      </c>
      <c r="B571">
        <v>6017.8616759521556</v>
      </c>
      <c r="C571">
        <v>1338.3648151999269</v>
      </c>
      <c r="D571" s="23">
        <f t="shared" si="17"/>
        <v>13.383648151999269</v>
      </c>
    </row>
    <row r="572" spans="1:4">
      <c r="A572" s="22">
        <f t="shared" si="16"/>
        <v>602.84378827640217</v>
      </c>
      <c r="B572">
        <v>6028.4378827640221</v>
      </c>
      <c r="C572">
        <v>1245.5589774999269</v>
      </c>
      <c r="D572" s="23">
        <f t="shared" si="17"/>
        <v>12.455589774999268</v>
      </c>
    </row>
    <row r="573" spans="1:4">
      <c r="A573" s="22">
        <f t="shared" si="16"/>
        <v>603.90140895758896</v>
      </c>
      <c r="B573">
        <v>6039.0140895758896</v>
      </c>
      <c r="C573">
        <v>1152.7531397999269</v>
      </c>
      <c r="D573" s="23">
        <f t="shared" si="17"/>
        <v>11.527531397999269</v>
      </c>
    </row>
    <row r="574" spans="1:4">
      <c r="A574" s="22">
        <f t="shared" si="16"/>
        <v>604.95902963877563</v>
      </c>
      <c r="B574">
        <v>6049.5902963877561</v>
      </c>
      <c r="C574">
        <v>1059.9473020999269</v>
      </c>
      <c r="D574" s="23">
        <f t="shared" si="17"/>
        <v>10.59947302099927</v>
      </c>
    </row>
    <row r="575" spans="1:4">
      <c r="A575" s="22">
        <f t="shared" si="16"/>
        <v>606.01665031996231</v>
      </c>
      <c r="B575">
        <v>6060.1665031996226</v>
      </c>
      <c r="C575">
        <v>967.14146439992692</v>
      </c>
      <c r="D575" s="23">
        <f t="shared" si="17"/>
        <v>9.6714146439992685</v>
      </c>
    </row>
    <row r="576" spans="1:4">
      <c r="A576" s="22">
        <f t="shared" si="16"/>
        <v>607.07427100114887</v>
      </c>
      <c r="B576">
        <v>6070.7427100114892</v>
      </c>
      <c r="C576">
        <v>874.33562669992693</v>
      </c>
      <c r="D576" s="23">
        <f t="shared" si="17"/>
        <v>8.7433562669992693</v>
      </c>
    </row>
    <row r="577" spans="1:4">
      <c r="A577" s="22">
        <f t="shared" si="16"/>
        <v>608.13189168233555</v>
      </c>
      <c r="B577">
        <v>6081.3189168233557</v>
      </c>
      <c r="C577">
        <v>781.67</v>
      </c>
      <c r="D577" s="23">
        <f t="shared" si="17"/>
        <v>7.8167</v>
      </c>
    </row>
    <row r="578" spans="1:4">
      <c r="A578" s="22">
        <f t="shared" si="16"/>
        <v>609.18951236352234</v>
      </c>
      <c r="B578">
        <v>6091.8951236352232</v>
      </c>
      <c r="C578">
        <v>690.39599999999996</v>
      </c>
      <c r="D578" s="23">
        <f t="shared" si="17"/>
        <v>6.9039599999999997</v>
      </c>
    </row>
    <row r="579" spans="1:4">
      <c r="A579" s="22">
        <f>B579/10</f>
        <v>610.24713304470902</v>
      </c>
      <c r="B579">
        <v>6102.4713304470897</v>
      </c>
      <c r="C579">
        <v>599.12199999999996</v>
      </c>
      <c r="D579" s="23">
        <f>$C579/100</f>
        <v>5.9912199999999993</v>
      </c>
    </row>
    <row r="580" spans="1:4">
      <c r="A580" s="22">
        <f>B580/10</f>
        <v>611.30475372589558</v>
      </c>
      <c r="B580">
        <v>6113.0475372589563</v>
      </c>
      <c r="C580">
        <v>507.84799999999996</v>
      </c>
      <c r="D580" s="23">
        <f>$C580/100</f>
        <v>5.0784799999999999</v>
      </c>
    </row>
    <row r="581" spans="1:4">
      <c r="A581" s="22">
        <f>B581/10</f>
        <v>612.36237440708226</v>
      </c>
      <c r="B581">
        <v>6123.6237440708228</v>
      </c>
      <c r="C581">
        <v>416.57399999999996</v>
      </c>
      <c r="D581" s="23">
        <f>$C581/100</f>
        <v>4.1657399999999996</v>
      </c>
    </row>
    <row r="582" spans="1:4">
      <c r="A582" s="22">
        <f t="shared" ref="A582:A585" si="18">B582/10</f>
        <v>613.41999508826893</v>
      </c>
      <c r="B582">
        <v>6134.1999508826893</v>
      </c>
      <c r="C582">
        <v>325.3</v>
      </c>
      <c r="D582" s="23">
        <f t="shared" ref="D582:D585" si="19">$C582/100</f>
        <v>3.2530000000000001</v>
      </c>
    </row>
    <row r="583" spans="1:4">
      <c r="A583" s="22">
        <f t="shared" si="18"/>
        <v>614.47761576945561</v>
      </c>
      <c r="B583">
        <v>6144.7761576945559</v>
      </c>
      <c r="C583">
        <v>247.28</v>
      </c>
      <c r="D583" s="23">
        <f t="shared" si="19"/>
        <v>2.4727999999999999</v>
      </c>
    </row>
    <row r="584" spans="1:4">
      <c r="A584" s="22">
        <f t="shared" si="18"/>
        <v>615.53523645064229</v>
      </c>
      <c r="B584">
        <v>6155.3523645064233</v>
      </c>
      <c r="C584">
        <v>179.3</v>
      </c>
      <c r="D584" s="23">
        <f t="shared" si="19"/>
        <v>1.7930000000000001</v>
      </c>
    </row>
    <row r="585" spans="1:4">
      <c r="A585" s="22">
        <f t="shared" si="18"/>
        <v>616.59285713182896</v>
      </c>
      <c r="B585">
        <v>6165.9285713182899</v>
      </c>
      <c r="C585">
        <v>122.28</v>
      </c>
      <c r="D585" s="23">
        <f t="shared" si="19"/>
        <v>1.2228000000000001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/>
  <dimension ref="A1:D576"/>
  <sheetViews>
    <sheetView topLeftCell="A550" zoomScaleNormal="100" workbookViewId="0">
      <selection activeCell="B559" sqref="B559"/>
    </sheetView>
  </sheetViews>
  <sheetFormatPr baseColWidth="10" defaultColWidth="10.3984375" defaultRowHeight="14.25"/>
  <cols>
    <col min="2" max="2" width="14.3984375" bestFit="1" customWidth="1"/>
  </cols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>
        <f>$B2/10</f>
        <v>0</v>
      </c>
      <c r="B2" s="12">
        <v>0</v>
      </c>
      <c r="C2" s="12">
        <v>252</v>
      </c>
      <c r="D2">
        <f>$C2/100</f>
        <v>2.52</v>
      </c>
    </row>
    <row r="3" spans="1:4">
      <c r="A3">
        <f t="shared" ref="A3:A66" si="0">$B3/10</f>
        <v>1</v>
      </c>
      <c r="B3" s="12">
        <v>10</v>
      </c>
      <c r="C3" s="12">
        <v>313</v>
      </c>
      <c r="D3">
        <f t="shared" ref="D3:D66" si="1">$C3/100</f>
        <v>3.13</v>
      </c>
    </row>
    <row r="4" spans="1:4">
      <c r="A4">
        <f t="shared" si="0"/>
        <v>2</v>
      </c>
      <c r="B4" s="12">
        <v>20</v>
      </c>
      <c r="C4" s="12">
        <v>380</v>
      </c>
      <c r="D4">
        <f t="shared" si="1"/>
        <v>3.8</v>
      </c>
    </row>
    <row r="5" spans="1:4">
      <c r="A5">
        <f t="shared" si="0"/>
        <v>3</v>
      </c>
      <c r="B5" s="12">
        <v>30</v>
      </c>
      <c r="C5" s="12">
        <v>455</v>
      </c>
      <c r="D5">
        <f t="shared" si="1"/>
        <v>4.55</v>
      </c>
    </row>
    <row r="6" spans="1:4">
      <c r="A6">
        <f t="shared" si="0"/>
        <v>4</v>
      </c>
      <c r="B6" s="12">
        <v>40</v>
      </c>
      <c r="C6" s="12">
        <v>535</v>
      </c>
      <c r="D6">
        <f t="shared" si="1"/>
        <v>5.35</v>
      </c>
    </row>
    <row r="7" spans="1:4">
      <c r="A7">
        <f t="shared" si="0"/>
        <v>5</v>
      </c>
      <c r="B7" s="12">
        <v>50</v>
      </c>
      <c r="C7" s="12">
        <v>621</v>
      </c>
      <c r="D7">
        <f t="shared" si="1"/>
        <v>6.21</v>
      </c>
    </row>
    <row r="8" spans="1:4">
      <c r="A8">
        <f t="shared" si="0"/>
        <v>6</v>
      </c>
      <c r="B8" s="12">
        <v>60</v>
      </c>
      <c r="C8" s="12">
        <v>712</v>
      </c>
      <c r="D8">
        <f t="shared" si="1"/>
        <v>7.12</v>
      </c>
    </row>
    <row r="9" spans="1:4">
      <c r="A9">
        <f t="shared" si="0"/>
        <v>7</v>
      </c>
      <c r="B9" s="12">
        <v>70</v>
      </c>
      <c r="C9" s="12">
        <v>808</v>
      </c>
      <c r="D9">
        <f t="shared" si="1"/>
        <v>8.08</v>
      </c>
    </row>
    <row r="10" spans="1:4">
      <c r="A10">
        <f t="shared" si="0"/>
        <v>8</v>
      </c>
      <c r="B10" s="12">
        <v>80</v>
      </c>
      <c r="C10" s="12">
        <v>905</v>
      </c>
      <c r="D10">
        <f t="shared" si="1"/>
        <v>9.0500000000000007</v>
      </c>
    </row>
    <row r="11" spans="1:4">
      <c r="A11">
        <f t="shared" si="0"/>
        <v>9</v>
      </c>
      <c r="B11" s="12">
        <v>90</v>
      </c>
      <c r="C11" s="12">
        <v>1003</v>
      </c>
      <c r="D11">
        <f t="shared" si="1"/>
        <v>10.029999999999999</v>
      </c>
    </row>
    <row r="12" spans="1:4">
      <c r="A12">
        <f t="shared" si="0"/>
        <v>10</v>
      </c>
      <c r="B12" s="12">
        <v>100</v>
      </c>
      <c r="C12" s="12">
        <v>1102</v>
      </c>
      <c r="D12">
        <f t="shared" si="1"/>
        <v>11.02</v>
      </c>
    </row>
    <row r="13" spans="1:4">
      <c r="A13">
        <f t="shared" si="0"/>
        <v>11</v>
      </c>
      <c r="B13" s="12">
        <v>110</v>
      </c>
      <c r="C13" s="12">
        <v>1200</v>
      </c>
      <c r="D13">
        <f t="shared" si="1"/>
        <v>12</v>
      </c>
    </row>
    <row r="14" spans="1:4">
      <c r="A14">
        <f t="shared" si="0"/>
        <v>12</v>
      </c>
      <c r="B14" s="12">
        <v>120</v>
      </c>
      <c r="C14" s="12">
        <v>1298</v>
      </c>
      <c r="D14">
        <f t="shared" si="1"/>
        <v>12.98</v>
      </c>
    </row>
    <row r="15" spans="1:4">
      <c r="A15">
        <f t="shared" si="0"/>
        <v>13</v>
      </c>
      <c r="B15" s="12">
        <v>130</v>
      </c>
      <c r="C15" s="12">
        <v>1397</v>
      </c>
      <c r="D15">
        <f t="shared" si="1"/>
        <v>13.97</v>
      </c>
    </row>
    <row r="16" spans="1:4">
      <c r="A16">
        <f t="shared" si="0"/>
        <v>14</v>
      </c>
      <c r="B16" s="12">
        <v>140</v>
      </c>
      <c r="C16" s="12">
        <v>1495</v>
      </c>
      <c r="D16">
        <f t="shared" si="1"/>
        <v>14.95</v>
      </c>
    </row>
    <row r="17" spans="1:4">
      <c r="A17">
        <f t="shared" si="0"/>
        <v>15</v>
      </c>
      <c r="B17" s="12">
        <v>150</v>
      </c>
      <c r="C17" s="12">
        <v>1593</v>
      </c>
      <c r="D17">
        <f t="shared" si="1"/>
        <v>15.93</v>
      </c>
    </row>
    <row r="18" spans="1:4">
      <c r="A18">
        <f t="shared" si="0"/>
        <v>16</v>
      </c>
      <c r="B18" s="12">
        <v>160</v>
      </c>
      <c r="C18" s="12">
        <v>1691</v>
      </c>
      <c r="D18">
        <f t="shared" si="1"/>
        <v>16.91</v>
      </c>
    </row>
    <row r="19" spans="1:4">
      <c r="A19">
        <f t="shared" si="0"/>
        <v>17</v>
      </c>
      <c r="B19" s="12">
        <v>170</v>
      </c>
      <c r="C19" s="12">
        <v>1790</v>
      </c>
      <c r="D19">
        <f t="shared" si="1"/>
        <v>17.899999999999999</v>
      </c>
    </row>
    <row r="20" spans="1:4">
      <c r="A20">
        <f t="shared" si="0"/>
        <v>18</v>
      </c>
      <c r="B20" s="12">
        <v>180</v>
      </c>
      <c r="C20" s="12">
        <v>1888</v>
      </c>
      <c r="D20">
        <f t="shared" si="1"/>
        <v>18.88</v>
      </c>
    </row>
    <row r="21" spans="1:4">
      <c r="A21">
        <f t="shared" si="0"/>
        <v>19</v>
      </c>
      <c r="B21" s="12">
        <v>190</v>
      </c>
      <c r="C21" s="12">
        <v>1986</v>
      </c>
      <c r="D21">
        <f t="shared" si="1"/>
        <v>19.86</v>
      </c>
    </row>
    <row r="22" spans="1:4">
      <c r="A22">
        <f t="shared" si="0"/>
        <v>20</v>
      </c>
      <c r="B22" s="12">
        <v>200</v>
      </c>
      <c r="C22" s="12">
        <v>2085</v>
      </c>
      <c r="D22">
        <f t="shared" si="1"/>
        <v>20.85</v>
      </c>
    </row>
    <row r="23" spans="1:4">
      <c r="A23">
        <f t="shared" si="0"/>
        <v>21</v>
      </c>
      <c r="B23" s="12">
        <v>210</v>
      </c>
      <c r="C23" s="12">
        <v>2183</v>
      </c>
      <c r="D23">
        <f t="shared" si="1"/>
        <v>21.83</v>
      </c>
    </row>
    <row r="24" spans="1:4">
      <c r="A24">
        <f t="shared" si="0"/>
        <v>22</v>
      </c>
      <c r="B24" s="12">
        <v>220</v>
      </c>
      <c r="C24" s="12">
        <v>2281</v>
      </c>
      <c r="D24">
        <f t="shared" si="1"/>
        <v>22.81</v>
      </c>
    </row>
    <row r="25" spans="1:4">
      <c r="A25">
        <f t="shared" si="0"/>
        <v>23</v>
      </c>
      <c r="B25" s="12">
        <v>230</v>
      </c>
      <c r="C25" s="12">
        <v>2379</v>
      </c>
      <c r="D25">
        <f t="shared" si="1"/>
        <v>23.79</v>
      </c>
    </row>
    <row r="26" spans="1:4">
      <c r="A26">
        <f t="shared" si="0"/>
        <v>24</v>
      </c>
      <c r="B26" s="12">
        <v>240</v>
      </c>
      <c r="C26" s="12">
        <v>2478</v>
      </c>
      <c r="D26">
        <f t="shared" si="1"/>
        <v>24.78</v>
      </c>
    </row>
    <row r="27" spans="1:4">
      <c r="A27">
        <f t="shared" si="0"/>
        <v>25</v>
      </c>
      <c r="B27" s="12">
        <v>250</v>
      </c>
      <c r="C27" s="12">
        <v>2576</v>
      </c>
      <c r="D27">
        <f t="shared" si="1"/>
        <v>25.76</v>
      </c>
    </row>
    <row r="28" spans="1:4">
      <c r="A28">
        <f t="shared" si="0"/>
        <v>26</v>
      </c>
      <c r="B28" s="12">
        <v>260</v>
      </c>
      <c r="C28" s="12">
        <v>2674</v>
      </c>
      <c r="D28">
        <f t="shared" si="1"/>
        <v>26.74</v>
      </c>
    </row>
    <row r="29" spans="1:4">
      <c r="A29">
        <f t="shared" si="0"/>
        <v>27</v>
      </c>
      <c r="B29" s="12">
        <v>270</v>
      </c>
      <c r="C29" s="12">
        <v>2772</v>
      </c>
      <c r="D29">
        <f t="shared" si="1"/>
        <v>27.72</v>
      </c>
    </row>
    <row r="30" spans="1:4">
      <c r="A30">
        <f t="shared" si="0"/>
        <v>28</v>
      </c>
      <c r="B30" s="12">
        <v>280</v>
      </c>
      <c r="C30" s="12">
        <v>2871</v>
      </c>
      <c r="D30">
        <f t="shared" si="1"/>
        <v>28.71</v>
      </c>
    </row>
    <row r="31" spans="1:4">
      <c r="A31">
        <f t="shared" si="0"/>
        <v>29</v>
      </c>
      <c r="B31" s="12">
        <v>290</v>
      </c>
      <c r="C31" s="12">
        <v>2969</v>
      </c>
      <c r="D31">
        <f t="shared" si="1"/>
        <v>29.69</v>
      </c>
    </row>
    <row r="32" spans="1:4">
      <c r="A32">
        <f t="shared" si="0"/>
        <v>30</v>
      </c>
      <c r="B32" s="12">
        <v>300</v>
      </c>
      <c r="C32" s="12">
        <v>3067</v>
      </c>
      <c r="D32">
        <f t="shared" si="1"/>
        <v>30.67</v>
      </c>
    </row>
    <row r="33" spans="1:4">
      <c r="A33">
        <f t="shared" si="0"/>
        <v>31</v>
      </c>
      <c r="B33" s="12">
        <v>310</v>
      </c>
      <c r="C33" s="12">
        <v>3166</v>
      </c>
      <c r="D33">
        <f t="shared" si="1"/>
        <v>31.66</v>
      </c>
    </row>
    <row r="34" spans="1:4">
      <c r="A34">
        <f t="shared" si="0"/>
        <v>32</v>
      </c>
      <c r="B34" s="12">
        <v>320</v>
      </c>
      <c r="C34" s="12">
        <v>3264</v>
      </c>
      <c r="D34">
        <f t="shared" si="1"/>
        <v>32.64</v>
      </c>
    </row>
    <row r="35" spans="1:4">
      <c r="A35">
        <f t="shared" si="0"/>
        <v>33</v>
      </c>
      <c r="B35" s="12">
        <v>330</v>
      </c>
      <c r="C35" s="12">
        <v>3362</v>
      </c>
      <c r="D35">
        <f t="shared" si="1"/>
        <v>33.619999999999997</v>
      </c>
    </row>
    <row r="36" spans="1:4">
      <c r="A36">
        <f t="shared" si="0"/>
        <v>34</v>
      </c>
      <c r="B36" s="12">
        <v>340</v>
      </c>
      <c r="C36" s="12">
        <v>3460</v>
      </c>
      <c r="D36">
        <f t="shared" si="1"/>
        <v>34.6</v>
      </c>
    </row>
    <row r="37" spans="1:4">
      <c r="A37">
        <f t="shared" si="0"/>
        <v>35</v>
      </c>
      <c r="B37" s="12">
        <v>350</v>
      </c>
      <c r="C37" s="12">
        <v>3559</v>
      </c>
      <c r="D37">
        <f t="shared" si="1"/>
        <v>35.590000000000003</v>
      </c>
    </row>
    <row r="38" spans="1:4">
      <c r="A38">
        <f t="shared" si="0"/>
        <v>36</v>
      </c>
      <c r="B38" s="12">
        <v>360</v>
      </c>
      <c r="C38" s="12">
        <v>3657</v>
      </c>
      <c r="D38">
        <f t="shared" si="1"/>
        <v>36.57</v>
      </c>
    </row>
    <row r="39" spans="1:4">
      <c r="A39">
        <f t="shared" si="0"/>
        <v>37</v>
      </c>
      <c r="B39" s="12">
        <v>370</v>
      </c>
      <c r="C39" s="12">
        <v>3755</v>
      </c>
      <c r="D39">
        <f t="shared" si="1"/>
        <v>37.549999999999997</v>
      </c>
    </row>
    <row r="40" spans="1:4">
      <c r="A40">
        <f t="shared" si="0"/>
        <v>38</v>
      </c>
      <c r="B40" s="12">
        <v>380</v>
      </c>
      <c r="C40" s="12">
        <v>3854</v>
      </c>
      <c r="D40">
        <f t="shared" si="1"/>
        <v>38.54</v>
      </c>
    </row>
    <row r="41" spans="1:4">
      <c r="A41">
        <f t="shared" si="0"/>
        <v>39</v>
      </c>
      <c r="B41" s="12">
        <v>390</v>
      </c>
      <c r="C41" s="12">
        <v>3952</v>
      </c>
      <c r="D41">
        <f t="shared" si="1"/>
        <v>39.520000000000003</v>
      </c>
    </row>
    <row r="42" spans="1:4">
      <c r="A42">
        <f t="shared" si="0"/>
        <v>40</v>
      </c>
      <c r="B42" s="12">
        <v>400</v>
      </c>
      <c r="C42" s="12">
        <v>4050</v>
      </c>
      <c r="D42">
        <f t="shared" si="1"/>
        <v>40.5</v>
      </c>
    </row>
    <row r="43" spans="1:4">
      <c r="A43">
        <f t="shared" si="0"/>
        <v>41</v>
      </c>
      <c r="B43" s="12">
        <v>410</v>
      </c>
      <c r="C43" s="12">
        <v>4148</v>
      </c>
      <c r="D43">
        <f t="shared" si="1"/>
        <v>41.48</v>
      </c>
    </row>
    <row r="44" spans="1:4">
      <c r="A44">
        <f t="shared" si="0"/>
        <v>42</v>
      </c>
      <c r="B44" s="12">
        <v>420</v>
      </c>
      <c r="C44" s="12">
        <v>4247</v>
      </c>
      <c r="D44">
        <f t="shared" si="1"/>
        <v>42.47</v>
      </c>
    </row>
    <row r="45" spans="1:4">
      <c r="A45">
        <f t="shared" si="0"/>
        <v>43</v>
      </c>
      <c r="B45" s="12">
        <v>430</v>
      </c>
      <c r="C45" s="12">
        <v>4345</v>
      </c>
      <c r="D45">
        <f t="shared" si="1"/>
        <v>43.45</v>
      </c>
    </row>
    <row r="46" spans="1:4">
      <c r="A46">
        <f t="shared" si="0"/>
        <v>44</v>
      </c>
      <c r="B46" s="12">
        <v>440</v>
      </c>
      <c r="C46" s="12">
        <v>4443</v>
      </c>
      <c r="D46">
        <f t="shared" si="1"/>
        <v>44.43</v>
      </c>
    </row>
    <row r="47" spans="1:4">
      <c r="A47">
        <f t="shared" si="0"/>
        <v>45</v>
      </c>
      <c r="B47" s="12">
        <v>450</v>
      </c>
      <c r="C47" s="12">
        <v>4542</v>
      </c>
      <c r="D47">
        <f t="shared" si="1"/>
        <v>45.42</v>
      </c>
    </row>
    <row r="48" spans="1:4">
      <c r="A48">
        <f t="shared" si="0"/>
        <v>46</v>
      </c>
      <c r="B48" s="12">
        <v>460</v>
      </c>
      <c r="C48" s="12">
        <v>4640</v>
      </c>
      <c r="D48">
        <f t="shared" si="1"/>
        <v>46.4</v>
      </c>
    </row>
    <row r="49" spans="1:4">
      <c r="A49">
        <f t="shared" si="0"/>
        <v>47</v>
      </c>
      <c r="B49" s="12">
        <v>470</v>
      </c>
      <c r="C49" s="12">
        <v>4738</v>
      </c>
      <c r="D49">
        <f t="shared" si="1"/>
        <v>47.38</v>
      </c>
    </row>
    <row r="50" spans="1:4">
      <c r="A50">
        <f t="shared" si="0"/>
        <v>48</v>
      </c>
      <c r="B50" s="12">
        <v>480</v>
      </c>
      <c r="C50" s="12">
        <v>4836</v>
      </c>
      <c r="D50">
        <f t="shared" si="1"/>
        <v>48.36</v>
      </c>
    </row>
    <row r="51" spans="1:4">
      <c r="A51">
        <f t="shared" si="0"/>
        <v>49</v>
      </c>
      <c r="B51" s="12">
        <v>490</v>
      </c>
      <c r="C51" s="12">
        <v>4935</v>
      </c>
      <c r="D51">
        <f t="shared" si="1"/>
        <v>49.35</v>
      </c>
    </row>
    <row r="52" spans="1:4">
      <c r="A52">
        <f t="shared" si="0"/>
        <v>50</v>
      </c>
      <c r="B52" s="12">
        <v>500</v>
      </c>
      <c r="C52" s="12">
        <v>5033</v>
      </c>
      <c r="D52">
        <f t="shared" si="1"/>
        <v>50.33</v>
      </c>
    </row>
    <row r="53" spans="1:4">
      <c r="A53">
        <f t="shared" si="0"/>
        <v>51</v>
      </c>
      <c r="B53" s="12">
        <v>510</v>
      </c>
      <c r="C53" s="12">
        <v>5131</v>
      </c>
      <c r="D53">
        <f t="shared" si="1"/>
        <v>51.31</v>
      </c>
    </row>
    <row r="54" spans="1:4">
      <c r="A54">
        <f t="shared" si="0"/>
        <v>52</v>
      </c>
      <c r="B54" s="12">
        <v>520</v>
      </c>
      <c r="C54" s="12">
        <v>5229</v>
      </c>
      <c r="D54">
        <f t="shared" si="1"/>
        <v>52.29</v>
      </c>
    </row>
    <row r="55" spans="1:4">
      <c r="A55">
        <f t="shared" si="0"/>
        <v>53</v>
      </c>
      <c r="B55" s="12">
        <v>530</v>
      </c>
      <c r="C55" s="12">
        <v>5328</v>
      </c>
      <c r="D55">
        <f t="shared" si="1"/>
        <v>53.28</v>
      </c>
    </row>
    <row r="56" spans="1:4">
      <c r="A56">
        <f t="shared" si="0"/>
        <v>54</v>
      </c>
      <c r="B56" s="12">
        <v>540</v>
      </c>
      <c r="C56" s="12">
        <v>5426</v>
      </c>
      <c r="D56">
        <f t="shared" si="1"/>
        <v>54.26</v>
      </c>
    </row>
    <row r="57" spans="1:4">
      <c r="A57">
        <f t="shared" si="0"/>
        <v>55</v>
      </c>
      <c r="B57" s="12">
        <v>550</v>
      </c>
      <c r="C57" s="12">
        <v>5524</v>
      </c>
      <c r="D57">
        <f t="shared" si="1"/>
        <v>55.24</v>
      </c>
    </row>
    <row r="58" spans="1:4">
      <c r="A58">
        <f t="shared" si="0"/>
        <v>56</v>
      </c>
      <c r="B58" s="12">
        <v>560</v>
      </c>
      <c r="C58" s="12">
        <v>5623</v>
      </c>
      <c r="D58">
        <f t="shared" si="1"/>
        <v>56.23</v>
      </c>
    </row>
    <row r="59" spans="1:4">
      <c r="A59">
        <f t="shared" si="0"/>
        <v>57</v>
      </c>
      <c r="B59" s="12">
        <v>570</v>
      </c>
      <c r="C59" s="12">
        <v>5721</v>
      </c>
      <c r="D59">
        <f t="shared" si="1"/>
        <v>57.21</v>
      </c>
    </row>
    <row r="60" spans="1:4">
      <c r="A60">
        <f t="shared" si="0"/>
        <v>58</v>
      </c>
      <c r="B60" s="12">
        <v>580</v>
      </c>
      <c r="C60" s="12">
        <v>5819</v>
      </c>
      <c r="D60">
        <f t="shared" si="1"/>
        <v>58.19</v>
      </c>
    </row>
    <row r="61" spans="1:4">
      <c r="A61">
        <f t="shared" si="0"/>
        <v>59</v>
      </c>
      <c r="B61" s="12">
        <v>590</v>
      </c>
      <c r="C61" s="12">
        <v>5917</v>
      </c>
      <c r="D61">
        <f t="shared" si="1"/>
        <v>59.17</v>
      </c>
    </row>
    <row r="62" spans="1:4">
      <c r="A62">
        <f t="shared" si="0"/>
        <v>60</v>
      </c>
      <c r="B62" s="12">
        <v>600</v>
      </c>
      <c r="C62" s="12">
        <v>6016</v>
      </c>
      <c r="D62">
        <f t="shared" si="1"/>
        <v>60.16</v>
      </c>
    </row>
    <row r="63" spans="1:4">
      <c r="A63">
        <f t="shared" si="0"/>
        <v>61</v>
      </c>
      <c r="B63" s="12">
        <v>610</v>
      </c>
      <c r="C63" s="12">
        <v>6114</v>
      </c>
      <c r="D63">
        <f t="shared" si="1"/>
        <v>61.14</v>
      </c>
    </row>
    <row r="64" spans="1:4">
      <c r="A64">
        <f t="shared" si="0"/>
        <v>62</v>
      </c>
      <c r="B64" s="12">
        <v>620</v>
      </c>
      <c r="C64" s="12">
        <v>6212</v>
      </c>
      <c r="D64">
        <f t="shared" si="1"/>
        <v>62.12</v>
      </c>
    </row>
    <row r="65" spans="1:4">
      <c r="A65">
        <f t="shared" si="0"/>
        <v>63</v>
      </c>
      <c r="B65" s="12">
        <v>630</v>
      </c>
      <c r="C65" s="12">
        <v>6311</v>
      </c>
      <c r="D65">
        <f t="shared" si="1"/>
        <v>63.11</v>
      </c>
    </row>
    <row r="66" spans="1:4">
      <c r="A66">
        <f t="shared" si="0"/>
        <v>64</v>
      </c>
      <c r="B66" s="12">
        <v>640</v>
      </c>
      <c r="C66" s="12">
        <v>6409</v>
      </c>
      <c r="D66">
        <f t="shared" si="1"/>
        <v>64.09</v>
      </c>
    </row>
    <row r="67" spans="1:4">
      <c r="A67">
        <f t="shared" ref="A67:A130" si="2">$B67/10</f>
        <v>65</v>
      </c>
      <c r="B67" s="12">
        <v>650</v>
      </c>
      <c r="C67" s="12">
        <v>6507</v>
      </c>
      <c r="D67">
        <f t="shared" ref="D67:D130" si="3">$C67/100</f>
        <v>65.069999999999993</v>
      </c>
    </row>
    <row r="68" spans="1:4">
      <c r="A68">
        <f t="shared" si="2"/>
        <v>66</v>
      </c>
      <c r="B68" s="12">
        <v>660</v>
      </c>
      <c r="C68" s="12">
        <v>6605</v>
      </c>
      <c r="D68">
        <f t="shared" si="3"/>
        <v>66.05</v>
      </c>
    </row>
    <row r="69" spans="1:4">
      <c r="A69">
        <f t="shared" si="2"/>
        <v>67</v>
      </c>
      <c r="B69" s="12">
        <v>670</v>
      </c>
      <c r="C69" s="12">
        <v>6704</v>
      </c>
      <c r="D69">
        <f t="shared" si="3"/>
        <v>67.040000000000006</v>
      </c>
    </row>
    <row r="70" spans="1:4">
      <c r="A70">
        <f t="shared" si="2"/>
        <v>68</v>
      </c>
      <c r="B70" s="12">
        <v>680</v>
      </c>
      <c r="C70" s="12">
        <v>6802</v>
      </c>
      <c r="D70">
        <f t="shared" si="3"/>
        <v>68.02</v>
      </c>
    </row>
    <row r="71" spans="1:4">
      <c r="A71">
        <f t="shared" si="2"/>
        <v>69</v>
      </c>
      <c r="B71" s="12">
        <v>690</v>
      </c>
      <c r="C71" s="12">
        <v>6900</v>
      </c>
      <c r="D71">
        <f t="shared" si="3"/>
        <v>69</v>
      </c>
    </row>
    <row r="72" spans="1:4">
      <c r="A72">
        <f t="shared" si="2"/>
        <v>70</v>
      </c>
      <c r="B72" s="12">
        <v>700</v>
      </c>
      <c r="C72" s="12">
        <v>6999</v>
      </c>
      <c r="D72">
        <f t="shared" si="3"/>
        <v>69.989999999999995</v>
      </c>
    </row>
    <row r="73" spans="1:4">
      <c r="A73">
        <f t="shared" si="2"/>
        <v>71</v>
      </c>
      <c r="B73" s="12">
        <v>710</v>
      </c>
      <c r="C73" s="12">
        <v>7097</v>
      </c>
      <c r="D73">
        <f t="shared" si="3"/>
        <v>70.97</v>
      </c>
    </row>
    <row r="74" spans="1:4">
      <c r="A74">
        <f t="shared" si="2"/>
        <v>72</v>
      </c>
      <c r="B74" s="12">
        <v>720</v>
      </c>
      <c r="C74" s="12">
        <v>7195</v>
      </c>
      <c r="D74">
        <f t="shared" si="3"/>
        <v>71.95</v>
      </c>
    </row>
    <row r="75" spans="1:4">
      <c r="A75">
        <f t="shared" si="2"/>
        <v>73</v>
      </c>
      <c r="B75" s="12">
        <v>730</v>
      </c>
      <c r="C75" s="12">
        <v>7293</v>
      </c>
      <c r="D75">
        <f t="shared" si="3"/>
        <v>72.930000000000007</v>
      </c>
    </row>
    <row r="76" spans="1:4">
      <c r="A76">
        <f t="shared" si="2"/>
        <v>74</v>
      </c>
      <c r="B76" s="12">
        <v>740</v>
      </c>
      <c r="C76" s="12">
        <v>7392</v>
      </c>
      <c r="D76">
        <f t="shared" si="3"/>
        <v>73.92</v>
      </c>
    </row>
    <row r="77" spans="1:4">
      <c r="A77">
        <f t="shared" si="2"/>
        <v>75</v>
      </c>
      <c r="B77" s="12">
        <v>750</v>
      </c>
      <c r="C77" s="12">
        <v>7490</v>
      </c>
      <c r="D77">
        <f t="shared" si="3"/>
        <v>74.900000000000006</v>
      </c>
    </row>
    <row r="78" spans="1:4">
      <c r="A78">
        <f t="shared" si="2"/>
        <v>76</v>
      </c>
      <c r="B78" s="12">
        <v>760</v>
      </c>
      <c r="C78" s="12">
        <v>7588</v>
      </c>
      <c r="D78">
        <f t="shared" si="3"/>
        <v>75.88</v>
      </c>
    </row>
    <row r="79" spans="1:4">
      <c r="A79">
        <f t="shared" si="2"/>
        <v>77</v>
      </c>
      <c r="B79" s="12">
        <v>770</v>
      </c>
      <c r="C79" s="12">
        <v>7686</v>
      </c>
      <c r="D79">
        <f t="shared" si="3"/>
        <v>76.86</v>
      </c>
    </row>
    <row r="80" spans="1:4">
      <c r="A80">
        <f t="shared" si="2"/>
        <v>78</v>
      </c>
      <c r="B80" s="12">
        <v>780</v>
      </c>
      <c r="C80" s="12">
        <v>7785</v>
      </c>
      <c r="D80">
        <f t="shared" si="3"/>
        <v>77.849999999999994</v>
      </c>
    </row>
    <row r="81" spans="1:4">
      <c r="A81">
        <f t="shared" si="2"/>
        <v>79</v>
      </c>
      <c r="B81" s="12">
        <v>790</v>
      </c>
      <c r="C81" s="12">
        <v>7883</v>
      </c>
      <c r="D81">
        <f t="shared" si="3"/>
        <v>78.83</v>
      </c>
    </row>
    <row r="82" spans="1:4">
      <c r="A82">
        <f t="shared" si="2"/>
        <v>80</v>
      </c>
      <c r="B82" s="12">
        <v>800</v>
      </c>
      <c r="C82" s="12">
        <v>7981</v>
      </c>
      <c r="D82">
        <f t="shared" si="3"/>
        <v>79.81</v>
      </c>
    </row>
    <row r="83" spans="1:4">
      <c r="A83">
        <f t="shared" si="2"/>
        <v>81</v>
      </c>
      <c r="B83" s="12">
        <v>810</v>
      </c>
      <c r="C83" s="12">
        <v>8080</v>
      </c>
      <c r="D83">
        <f t="shared" si="3"/>
        <v>80.8</v>
      </c>
    </row>
    <row r="84" spans="1:4">
      <c r="A84">
        <f t="shared" si="2"/>
        <v>82</v>
      </c>
      <c r="B84" s="12">
        <v>820</v>
      </c>
      <c r="C84" s="12">
        <v>8178</v>
      </c>
      <c r="D84">
        <f t="shared" si="3"/>
        <v>81.78</v>
      </c>
    </row>
    <row r="85" spans="1:4">
      <c r="A85">
        <f t="shared" si="2"/>
        <v>83</v>
      </c>
      <c r="B85" s="12">
        <v>830</v>
      </c>
      <c r="C85" s="12">
        <v>8276</v>
      </c>
      <c r="D85">
        <f t="shared" si="3"/>
        <v>82.76</v>
      </c>
    </row>
    <row r="86" spans="1:4">
      <c r="A86">
        <f t="shared" si="2"/>
        <v>84</v>
      </c>
      <c r="B86" s="12">
        <v>840</v>
      </c>
      <c r="C86" s="12">
        <v>8374</v>
      </c>
      <c r="D86">
        <f t="shared" si="3"/>
        <v>83.74</v>
      </c>
    </row>
    <row r="87" spans="1:4">
      <c r="A87">
        <f t="shared" si="2"/>
        <v>85</v>
      </c>
      <c r="B87" s="12">
        <v>850</v>
      </c>
      <c r="C87" s="12">
        <v>8473</v>
      </c>
      <c r="D87">
        <f t="shared" si="3"/>
        <v>84.73</v>
      </c>
    </row>
    <row r="88" spans="1:4">
      <c r="A88">
        <f t="shared" si="2"/>
        <v>86</v>
      </c>
      <c r="B88" s="12">
        <v>860</v>
      </c>
      <c r="C88" s="12">
        <v>8571</v>
      </c>
      <c r="D88">
        <f t="shared" si="3"/>
        <v>85.71</v>
      </c>
    </row>
    <row r="89" spans="1:4">
      <c r="A89">
        <f t="shared" si="2"/>
        <v>87</v>
      </c>
      <c r="B89" s="12">
        <v>870</v>
      </c>
      <c r="C89" s="12">
        <v>8669</v>
      </c>
      <c r="D89">
        <f t="shared" si="3"/>
        <v>86.69</v>
      </c>
    </row>
    <row r="90" spans="1:4">
      <c r="A90">
        <f t="shared" si="2"/>
        <v>88</v>
      </c>
      <c r="B90" s="12">
        <v>880</v>
      </c>
      <c r="C90" s="12">
        <v>8768</v>
      </c>
      <c r="D90">
        <f t="shared" si="3"/>
        <v>87.68</v>
      </c>
    </row>
    <row r="91" spans="1:4">
      <c r="A91">
        <f t="shared" si="2"/>
        <v>89</v>
      </c>
      <c r="B91" s="12">
        <v>890</v>
      </c>
      <c r="C91" s="12">
        <v>8866</v>
      </c>
      <c r="D91">
        <f t="shared" si="3"/>
        <v>88.66</v>
      </c>
    </row>
    <row r="92" spans="1:4">
      <c r="A92">
        <f t="shared" si="2"/>
        <v>90</v>
      </c>
      <c r="B92" s="12">
        <v>900</v>
      </c>
      <c r="C92" s="12">
        <v>8964</v>
      </c>
      <c r="D92">
        <f t="shared" si="3"/>
        <v>89.64</v>
      </c>
    </row>
    <row r="93" spans="1:4">
      <c r="A93">
        <f t="shared" si="2"/>
        <v>91</v>
      </c>
      <c r="B93" s="12">
        <v>910</v>
      </c>
      <c r="C93" s="12">
        <v>9062</v>
      </c>
      <c r="D93">
        <f t="shared" si="3"/>
        <v>90.62</v>
      </c>
    </row>
    <row r="94" spans="1:4">
      <c r="A94">
        <f t="shared" si="2"/>
        <v>92</v>
      </c>
      <c r="B94" s="12">
        <v>920</v>
      </c>
      <c r="C94" s="12">
        <v>9161</v>
      </c>
      <c r="D94">
        <f t="shared" si="3"/>
        <v>91.61</v>
      </c>
    </row>
    <row r="95" spans="1:4">
      <c r="A95">
        <f t="shared" si="2"/>
        <v>93</v>
      </c>
      <c r="B95" s="12">
        <v>930</v>
      </c>
      <c r="C95" s="12">
        <v>9259</v>
      </c>
      <c r="D95">
        <f t="shared" si="3"/>
        <v>92.59</v>
      </c>
    </row>
    <row r="96" spans="1:4">
      <c r="A96">
        <f t="shared" si="2"/>
        <v>94</v>
      </c>
      <c r="B96" s="12">
        <v>940</v>
      </c>
      <c r="C96" s="12">
        <v>9357</v>
      </c>
      <c r="D96">
        <f t="shared" si="3"/>
        <v>93.57</v>
      </c>
    </row>
    <row r="97" spans="1:4">
      <c r="A97">
        <f t="shared" si="2"/>
        <v>95</v>
      </c>
      <c r="B97" s="12">
        <v>950</v>
      </c>
      <c r="C97" s="12">
        <v>9456</v>
      </c>
      <c r="D97">
        <f t="shared" si="3"/>
        <v>94.56</v>
      </c>
    </row>
    <row r="98" spans="1:4">
      <c r="A98">
        <f t="shared" si="2"/>
        <v>96</v>
      </c>
      <c r="B98" s="12">
        <v>960</v>
      </c>
      <c r="C98" s="12">
        <v>9554</v>
      </c>
      <c r="D98">
        <f t="shared" si="3"/>
        <v>95.54</v>
      </c>
    </row>
    <row r="99" spans="1:4">
      <c r="A99">
        <f t="shared" si="2"/>
        <v>97</v>
      </c>
      <c r="B99" s="12">
        <v>970</v>
      </c>
      <c r="C99" s="12">
        <v>9652</v>
      </c>
      <c r="D99">
        <f t="shared" si="3"/>
        <v>96.52</v>
      </c>
    </row>
    <row r="100" spans="1:4">
      <c r="A100">
        <f t="shared" si="2"/>
        <v>98</v>
      </c>
      <c r="B100" s="12">
        <v>980</v>
      </c>
      <c r="C100" s="12">
        <v>9750</v>
      </c>
      <c r="D100">
        <f t="shared" si="3"/>
        <v>97.5</v>
      </c>
    </row>
    <row r="101" spans="1:4">
      <c r="A101">
        <f t="shared" si="2"/>
        <v>99</v>
      </c>
      <c r="B101" s="12">
        <v>990</v>
      </c>
      <c r="C101" s="12">
        <v>9849</v>
      </c>
      <c r="D101">
        <f t="shared" si="3"/>
        <v>98.49</v>
      </c>
    </row>
    <row r="102" spans="1:4">
      <c r="A102">
        <f t="shared" si="2"/>
        <v>100</v>
      </c>
      <c r="B102" s="12">
        <v>1000</v>
      </c>
      <c r="C102" s="12">
        <v>9947</v>
      </c>
      <c r="D102">
        <f t="shared" si="3"/>
        <v>99.47</v>
      </c>
    </row>
    <row r="103" spans="1:4">
      <c r="A103">
        <f t="shared" si="2"/>
        <v>101</v>
      </c>
      <c r="B103" s="12">
        <v>1010</v>
      </c>
      <c r="C103" s="12">
        <v>10045</v>
      </c>
      <c r="D103">
        <f t="shared" si="3"/>
        <v>100.45</v>
      </c>
    </row>
    <row r="104" spans="1:4">
      <c r="A104">
        <f t="shared" si="2"/>
        <v>102</v>
      </c>
      <c r="B104" s="12">
        <v>1020</v>
      </c>
      <c r="C104" s="12">
        <v>10143</v>
      </c>
      <c r="D104">
        <f t="shared" si="3"/>
        <v>101.43</v>
      </c>
    </row>
    <row r="105" spans="1:4">
      <c r="A105">
        <f t="shared" si="2"/>
        <v>103</v>
      </c>
      <c r="B105" s="12">
        <v>1030</v>
      </c>
      <c r="C105" s="12">
        <v>10242</v>
      </c>
      <c r="D105">
        <f t="shared" si="3"/>
        <v>102.42</v>
      </c>
    </row>
    <row r="106" spans="1:4">
      <c r="A106">
        <f t="shared" si="2"/>
        <v>104</v>
      </c>
      <c r="B106" s="12">
        <v>1040</v>
      </c>
      <c r="C106" s="12">
        <v>10340</v>
      </c>
      <c r="D106">
        <f t="shared" si="3"/>
        <v>103.4</v>
      </c>
    </row>
    <row r="107" spans="1:4">
      <c r="A107">
        <f t="shared" si="2"/>
        <v>105</v>
      </c>
      <c r="B107" s="12">
        <v>1050</v>
      </c>
      <c r="C107" s="12">
        <v>10438</v>
      </c>
      <c r="D107">
        <f t="shared" si="3"/>
        <v>104.38</v>
      </c>
    </row>
    <row r="108" spans="1:4">
      <c r="A108">
        <f t="shared" si="2"/>
        <v>106</v>
      </c>
      <c r="B108" s="12">
        <v>1060</v>
      </c>
      <c r="C108" s="12">
        <v>10537</v>
      </c>
      <c r="D108">
        <f t="shared" si="3"/>
        <v>105.37</v>
      </c>
    </row>
    <row r="109" spans="1:4">
      <c r="A109">
        <f t="shared" si="2"/>
        <v>107</v>
      </c>
      <c r="B109" s="12">
        <v>1070</v>
      </c>
      <c r="C109" s="12">
        <v>10635</v>
      </c>
      <c r="D109">
        <f t="shared" si="3"/>
        <v>106.35</v>
      </c>
    </row>
    <row r="110" spans="1:4">
      <c r="A110">
        <f t="shared" si="2"/>
        <v>108</v>
      </c>
      <c r="B110" s="12">
        <v>1080</v>
      </c>
      <c r="C110" s="12">
        <v>10733</v>
      </c>
      <c r="D110">
        <f t="shared" si="3"/>
        <v>107.33</v>
      </c>
    </row>
    <row r="111" spans="1:4">
      <c r="A111">
        <f t="shared" si="2"/>
        <v>109</v>
      </c>
      <c r="B111" s="12">
        <v>1090</v>
      </c>
      <c r="C111" s="12">
        <v>10831</v>
      </c>
      <c r="D111">
        <f t="shared" si="3"/>
        <v>108.31</v>
      </c>
    </row>
    <row r="112" spans="1:4">
      <c r="A112">
        <f t="shared" si="2"/>
        <v>110</v>
      </c>
      <c r="B112" s="12">
        <v>1100</v>
      </c>
      <c r="C112" s="12">
        <v>10930</v>
      </c>
      <c r="D112">
        <f t="shared" si="3"/>
        <v>109.3</v>
      </c>
    </row>
    <row r="113" spans="1:4">
      <c r="A113">
        <f t="shared" si="2"/>
        <v>111</v>
      </c>
      <c r="B113" s="12">
        <v>1110</v>
      </c>
      <c r="C113" s="12">
        <v>11028</v>
      </c>
      <c r="D113">
        <f t="shared" si="3"/>
        <v>110.28</v>
      </c>
    </row>
    <row r="114" spans="1:4">
      <c r="A114">
        <f t="shared" si="2"/>
        <v>112</v>
      </c>
      <c r="B114" s="12">
        <v>1120</v>
      </c>
      <c r="C114" s="12">
        <v>11126</v>
      </c>
      <c r="D114">
        <f t="shared" si="3"/>
        <v>111.26</v>
      </c>
    </row>
    <row r="115" spans="1:4">
      <c r="A115">
        <f t="shared" si="2"/>
        <v>113</v>
      </c>
      <c r="B115" s="12">
        <v>1130</v>
      </c>
      <c r="C115" s="12">
        <v>11225</v>
      </c>
      <c r="D115">
        <f t="shared" si="3"/>
        <v>112.25</v>
      </c>
    </row>
    <row r="116" spans="1:4">
      <c r="A116">
        <f t="shared" si="2"/>
        <v>114</v>
      </c>
      <c r="B116" s="12">
        <v>1140</v>
      </c>
      <c r="C116" s="12">
        <v>11323</v>
      </c>
      <c r="D116">
        <f t="shared" si="3"/>
        <v>113.23</v>
      </c>
    </row>
    <row r="117" spans="1:4">
      <c r="A117">
        <f t="shared" si="2"/>
        <v>115</v>
      </c>
      <c r="B117" s="12">
        <v>1150</v>
      </c>
      <c r="C117" s="12">
        <v>11421</v>
      </c>
      <c r="D117">
        <f t="shared" si="3"/>
        <v>114.21</v>
      </c>
    </row>
    <row r="118" spans="1:4">
      <c r="A118">
        <f t="shared" si="2"/>
        <v>116</v>
      </c>
      <c r="B118" s="12">
        <v>1160</v>
      </c>
      <c r="C118" s="12">
        <v>11519</v>
      </c>
      <c r="D118">
        <f t="shared" si="3"/>
        <v>115.19</v>
      </c>
    </row>
    <row r="119" spans="1:4">
      <c r="A119">
        <f t="shared" si="2"/>
        <v>117</v>
      </c>
      <c r="B119" s="12">
        <v>1170</v>
      </c>
      <c r="C119" s="12">
        <v>11618</v>
      </c>
      <c r="D119">
        <f t="shared" si="3"/>
        <v>116.18</v>
      </c>
    </row>
    <row r="120" spans="1:4">
      <c r="A120">
        <f t="shared" si="2"/>
        <v>118</v>
      </c>
      <c r="B120" s="12">
        <v>1180</v>
      </c>
      <c r="C120" s="12">
        <v>11716</v>
      </c>
      <c r="D120">
        <f t="shared" si="3"/>
        <v>117.16</v>
      </c>
    </row>
    <row r="121" spans="1:4">
      <c r="A121">
        <f t="shared" si="2"/>
        <v>119</v>
      </c>
      <c r="B121" s="12">
        <v>1190</v>
      </c>
      <c r="C121" s="12">
        <v>11814</v>
      </c>
      <c r="D121">
        <f t="shared" si="3"/>
        <v>118.14</v>
      </c>
    </row>
    <row r="122" spans="1:4">
      <c r="A122">
        <f t="shared" si="2"/>
        <v>120</v>
      </c>
      <c r="B122" s="12">
        <v>1200</v>
      </c>
      <c r="C122" s="12">
        <v>11913</v>
      </c>
      <c r="D122">
        <f t="shared" si="3"/>
        <v>119.13</v>
      </c>
    </row>
    <row r="123" spans="1:4">
      <c r="A123">
        <f t="shared" si="2"/>
        <v>121</v>
      </c>
      <c r="B123" s="12">
        <v>1210</v>
      </c>
      <c r="C123" s="12">
        <v>12011</v>
      </c>
      <c r="D123">
        <f t="shared" si="3"/>
        <v>120.11</v>
      </c>
    </row>
    <row r="124" spans="1:4">
      <c r="A124">
        <f t="shared" si="2"/>
        <v>122</v>
      </c>
      <c r="B124" s="12">
        <v>1220</v>
      </c>
      <c r="C124" s="12">
        <v>12109</v>
      </c>
      <c r="D124">
        <f t="shared" si="3"/>
        <v>121.09</v>
      </c>
    </row>
    <row r="125" spans="1:4">
      <c r="A125">
        <f t="shared" si="2"/>
        <v>123</v>
      </c>
      <c r="B125" s="12">
        <v>1230</v>
      </c>
      <c r="C125" s="12">
        <v>12207</v>
      </c>
      <c r="D125">
        <f t="shared" si="3"/>
        <v>122.07</v>
      </c>
    </row>
    <row r="126" spans="1:4">
      <c r="A126">
        <f t="shared" si="2"/>
        <v>124</v>
      </c>
      <c r="B126" s="12">
        <v>1240</v>
      </c>
      <c r="C126" s="12">
        <v>12306</v>
      </c>
      <c r="D126">
        <f t="shared" si="3"/>
        <v>123.06</v>
      </c>
    </row>
    <row r="127" spans="1:4">
      <c r="A127">
        <f t="shared" si="2"/>
        <v>125</v>
      </c>
      <c r="B127" s="12">
        <v>1250</v>
      </c>
      <c r="C127" s="12">
        <v>12404</v>
      </c>
      <c r="D127">
        <f t="shared" si="3"/>
        <v>124.04</v>
      </c>
    </row>
    <row r="128" spans="1:4">
      <c r="A128">
        <f t="shared" si="2"/>
        <v>126</v>
      </c>
      <c r="B128" s="12">
        <v>1260</v>
      </c>
      <c r="C128" s="12">
        <v>12502</v>
      </c>
      <c r="D128">
        <f t="shared" si="3"/>
        <v>125.02</v>
      </c>
    </row>
    <row r="129" spans="1:4">
      <c r="A129">
        <f t="shared" si="2"/>
        <v>127</v>
      </c>
      <c r="B129" s="12">
        <v>1270</v>
      </c>
      <c r="C129" s="12">
        <v>12600</v>
      </c>
      <c r="D129">
        <f t="shared" si="3"/>
        <v>126</v>
      </c>
    </row>
    <row r="130" spans="1:4">
      <c r="A130">
        <f t="shared" si="2"/>
        <v>128</v>
      </c>
      <c r="B130" s="12">
        <v>1280</v>
      </c>
      <c r="C130" s="12">
        <v>12699</v>
      </c>
      <c r="D130">
        <f t="shared" si="3"/>
        <v>126.99</v>
      </c>
    </row>
    <row r="131" spans="1:4">
      <c r="A131">
        <f t="shared" ref="A131:A194" si="4">$B131/10</f>
        <v>129</v>
      </c>
      <c r="B131" s="12">
        <v>1290</v>
      </c>
      <c r="C131" s="12">
        <v>12797</v>
      </c>
      <c r="D131">
        <f t="shared" ref="D131:D194" si="5">$C131/100</f>
        <v>127.97</v>
      </c>
    </row>
    <row r="132" spans="1:4">
      <c r="A132">
        <f t="shared" si="4"/>
        <v>130</v>
      </c>
      <c r="B132" s="12">
        <v>1300</v>
      </c>
      <c r="C132" s="12">
        <v>12895</v>
      </c>
      <c r="D132">
        <f t="shared" si="5"/>
        <v>128.94999999999999</v>
      </c>
    </row>
    <row r="133" spans="1:4">
      <c r="A133">
        <f t="shared" si="4"/>
        <v>131</v>
      </c>
      <c r="B133" s="12">
        <v>1310</v>
      </c>
      <c r="C133" s="12">
        <v>12994</v>
      </c>
      <c r="D133">
        <f t="shared" si="5"/>
        <v>129.94</v>
      </c>
    </row>
    <row r="134" spans="1:4">
      <c r="A134">
        <f t="shared" si="4"/>
        <v>132</v>
      </c>
      <c r="B134" s="12">
        <v>1320</v>
      </c>
      <c r="C134" s="12">
        <v>13092</v>
      </c>
      <c r="D134">
        <f t="shared" si="5"/>
        <v>130.91999999999999</v>
      </c>
    </row>
    <row r="135" spans="1:4">
      <c r="A135">
        <f t="shared" si="4"/>
        <v>133</v>
      </c>
      <c r="B135" s="12">
        <v>1330</v>
      </c>
      <c r="C135" s="12">
        <v>13190</v>
      </c>
      <c r="D135">
        <f t="shared" si="5"/>
        <v>131.9</v>
      </c>
    </row>
    <row r="136" spans="1:4">
      <c r="A136">
        <f t="shared" si="4"/>
        <v>134</v>
      </c>
      <c r="B136" s="12">
        <v>1340</v>
      </c>
      <c r="C136" s="12">
        <v>13288</v>
      </c>
      <c r="D136">
        <f t="shared" si="5"/>
        <v>132.88</v>
      </c>
    </row>
    <row r="137" spans="1:4">
      <c r="A137">
        <f t="shared" si="4"/>
        <v>135</v>
      </c>
      <c r="B137" s="12">
        <v>1350</v>
      </c>
      <c r="C137" s="12">
        <v>13387</v>
      </c>
      <c r="D137">
        <f t="shared" si="5"/>
        <v>133.87</v>
      </c>
    </row>
    <row r="138" spans="1:4">
      <c r="A138">
        <f t="shared" si="4"/>
        <v>136</v>
      </c>
      <c r="B138" s="12">
        <v>1360</v>
      </c>
      <c r="C138" s="12">
        <v>13485</v>
      </c>
      <c r="D138">
        <f t="shared" si="5"/>
        <v>134.85</v>
      </c>
    </row>
    <row r="139" spans="1:4">
      <c r="A139">
        <f t="shared" si="4"/>
        <v>137</v>
      </c>
      <c r="B139" s="12">
        <v>1370</v>
      </c>
      <c r="C139" s="12">
        <v>13583</v>
      </c>
      <c r="D139">
        <f t="shared" si="5"/>
        <v>135.83000000000001</v>
      </c>
    </row>
    <row r="140" spans="1:4">
      <c r="A140">
        <f t="shared" si="4"/>
        <v>138</v>
      </c>
      <c r="B140" s="12">
        <v>1380</v>
      </c>
      <c r="C140" s="12">
        <v>13682</v>
      </c>
      <c r="D140">
        <f t="shared" si="5"/>
        <v>136.82</v>
      </c>
    </row>
    <row r="141" spans="1:4">
      <c r="A141">
        <f t="shared" si="4"/>
        <v>139</v>
      </c>
      <c r="B141" s="12">
        <v>1390</v>
      </c>
      <c r="C141" s="12">
        <v>13780</v>
      </c>
      <c r="D141">
        <f t="shared" si="5"/>
        <v>137.80000000000001</v>
      </c>
    </row>
    <row r="142" spans="1:4">
      <c r="A142">
        <f t="shared" si="4"/>
        <v>140</v>
      </c>
      <c r="B142" s="12">
        <v>1400</v>
      </c>
      <c r="C142" s="12">
        <v>13878</v>
      </c>
      <c r="D142">
        <f t="shared" si="5"/>
        <v>138.78</v>
      </c>
    </row>
    <row r="143" spans="1:4">
      <c r="A143">
        <f t="shared" si="4"/>
        <v>141</v>
      </c>
      <c r="B143" s="12">
        <v>1410</v>
      </c>
      <c r="C143" s="12">
        <v>13976</v>
      </c>
      <c r="D143">
        <f t="shared" si="5"/>
        <v>139.76</v>
      </c>
    </row>
    <row r="144" spans="1:4">
      <c r="A144">
        <f t="shared" si="4"/>
        <v>142</v>
      </c>
      <c r="B144" s="12">
        <v>1420</v>
      </c>
      <c r="C144" s="12">
        <v>14075</v>
      </c>
      <c r="D144">
        <f t="shared" si="5"/>
        <v>140.75</v>
      </c>
    </row>
    <row r="145" spans="1:4">
      <c r="A145">
        <f t="shared" si="4"/>
        <v>143</v>
      </c>
      <c r="B145" s="12">
        <v>1430</v>
      </c>
      <c r="C145" s="12">
        <v>14173</v>
      </c>
      <c r="D145">
        <f t="shared" si="5"/>
        <v>141.72999999999999</v>
      </c>
    </row>
    <row r="146" spans="1:4">
      <c r="A146">
        <f t="shared" si="4"/>
        <v>144</v>
      </c>
      <c r="B146" s="12">
        <v>1440</v>
      </c>
      <c r="C146" s="12">
        <v>14271</v>
      </c>
      <c r="D146">
        <f t="shared" si="5"/>
        <v>142.71</v>
      </c>
    </row>
    <row r="147" spans="1:4">
      <c r="A147">
        <f t="shared" si="4"/>
        <v>145</v>
      </c>
      <c r="B147" s="12">
        <v>1450</v>
      </c>
      <c r="C147" s="12">
        <v>14370</v>
      </c>
      <c r="D147">
        <f t="shared" si="5"/>
        <v>143.69999999999999</v>
      </c>
    </row>
    <row r="148" spans="1:4">
      <c r="A148">
        <f t="shared" si="4"/>
        <v>146</v>
      </c>
      <c r="B148" s="12">
        <v>1460</v>
      </c>
      <c r="C148" s="12">
        <v>14468</v>
      </c>
      <c r="D148">
        <f t="shared" si="5"/>
        <v>144.68</v>
      </c>
    </row>
    <row r="149" spans="1:4">
      <c r="A149">
        <f t="shared" si="4"/>
        <v>147</v>
      </c>
      <c r="B149" s="12">
        <v>1470</v>
      </c>
      <c r="C149" s="12">
        <v>14566</v>
      </c>
      <c r="D149">
        <f t="shared" si="5"/>
        <v>145.66</v>
      </c>
    </row>
    <row r="150" spans="1:4">
      <c r="A150">
        <f t="shared" si="4"/>
        <v>148</v>
      </c>
      <c r="B150" s="12">
        <v>1480</v>
      </c>
      <c r="C150" s="12">
        <v>14664</v>
      </c>
      <c r="D150">
        <f t="shared" si="5"/>
        <v>146.63999999999999</v>
      </c>
    </row>
    <row r="151" spans="1:4">
      <c r="A151">
        <f t="shared" si="4"/>
        <v>149</v>
      </c>
      <c r="B151" s="12">
        <v>1490</v>
      </c>
      <c r="C151" s="12">
        <v>14763</v>
      </c>
      <c r="D151">
        <f t="shared" si="5"/>
        <v>147.63</v>
      </c>
    </row>
    <row r="152" spans="1:4">
      <c r="A152">
        <f t="shared" si="4"/>
        <v>150</v>
      </c>
      <c r="B152" s="12">
        <v>1500</v>
      </c>
      <c r="C152" s="12">
        <v>14861</v>
      </c>
      <c r="D152">
        <f t="shared" si="5"/>
        <v>148.61000000000001</v>
      </c>
    </row>
    <row r="153" spans="1:4">
      <c r="A153">
        <f t="shared" si="4"/>
        <v>151</v>
      </c>
      <c r="B153" s="12">
        <v>1510</v>
      </c>
      <c r="C153" s="12">
        <v>14959</v>
      </c>
      <c r="D153">
        <f t="shared" si="5"/>
        <v>149.59</v>
      </c>
    </row>
    <row r="154" spans="1:4">
      <c r="A154">
        <f t="shared" si="4"/>
        <v>152</v>
      </c>
      <c r="B154" s="12">
        <v>1520</v>
      </c>
      <c r="C154" s="12">
        <v>15057</v>
      </c>
      <c r="D154">
        <f t="shared" si="5"/>
        <v>150.57</v>
      </c>
    </row>
    <row r="155" spans="1:4">
      <c r="A155">
        <f t="shared" si="4"/>
        <v>153</v>
      </c>
      <c r="B155" s="12">
        <v>1530</v>
      </c>
      <c r="C155" s="12">
        <v>15156</v>
      </c>
      <c r="D155">
        <f t="shared" si="5"/>
        <v>151.56</v>
      </c>
    </row>
    <row r="156" spans="1:4">
      <c r="A156">
        <f t="shared" si="4"/>
        <v>154</v>
      </c>
      <c r="B156" s="12">
        <v>1540</v>
      </c>
      <c r="C156" s="12">
        <v>15254</v>
      </c>
      <c r="D156">
        <f t="shared" si="5"/>
        <v>152.54</v>
      </c>
    </row>
    <row r="157" spans="1:4">
      <c r="A157">
        <f t="shared" si="4"/>
        <v>155</v>
      </c>
      <c r="B157" s="12">
        <v>1550</v>
      </c>
      <c r="C157" s="12">
        <v>15352</v>
      </c>
      <c r="D157">
        <f t="shared" si="5"/>
        <v>153.52000000000001</v>
      </c>
    </row>
    <row r="158" spans="1:4">
      <c r="A158">
        <f t="shared" si="4"/>
        <v>156</v>
      </c>
      <c r="B158" s="12">
        <v>1560</v>
      </c>
      <c r="C158" s="12">
        <v>15451</v>
      </c>
      <c r="D158">
        <f t="shared" si="5"/>
        <v>154.51</v>
      </c>
    </row>
    <row r="159" spans="1:4">
      <c r="A159">
        <f t="shared" si="4"/>
        <v>157</v>
      </c>
      <c r="B159" s="12">
        <v>1570</v>
      </c>
      <c r="C159" s="12">
        <v>15549</v>
      </c>
      <c r="D159">
        <f t="shared" si="5"/>
        <v>155.49</v>
      </c>
    </row>
    <row r="160" spans="1:4">
      <c r="A160">
        <f t="shared" si="4"/>
        <v>158</v>
      </c>
      <c r="B160" s="12">
        <v>1580</v>
      </c>
      <c r="C160" s="12">
        <v>15647</v>
      </c>
      <c r="D160">
        <f t="shared" si="5"/>
        <v>156.47</v>
      </c>
    </row>
    <row r="161" spans="1:4">
      <c r="A161">
        <f t="shared" si="4"/>
        <v>159</v>
      </c>
      <c r="B161" s="12">
        <v>1590</v>
      </c>
      <c r="C161" s="12">
        <v>15745</v>
      </c>
      <c r="D161">
        <f t="shared" si="5"/>
        <v>157.44999999999999</v>
      </c>
    </row>
    <row r="162" spans="1:4">
      <c r="A162">
        <f t="shared" si="4"/>
        <v>160</v>
      </c>
      <c r="B162" s="12">
        <v>1600</v>
      </c>
      <c r="C162" s="12">
        <v>15844</v>
      </c>
      <c r="D162">
        <f t="shared" si="5"/>
        <v>158.44</v>
      </c>
    </row>
    <row r="163" spans="1:4">
      <c r="A163">
        <f t="shared" si="4"/>
        <v>161</v>
      </c>
      <c r="B163" s="12">
        <v>1610</v>
      </c>
      <c r="C163" s="12">
        <v>15942</v>
      </c>
      <c r="D163">
        <f t="shared" si="5"/>
        <v>159.41999999999999</v>
      </c>
    </row>
    <row r="164" spans="1:4">
      <c r="A164">
        <f t="shared" si="4"/>
        <v>162</v>
      </c>
      <c r="B164" s="12">
        <v>1620</v>
      </c>
      <c r="C164" s="12">
        <v>16040</v>
      </c>
      <c r="D164">
        <f t="shared" si="5"/>
        <v>160.4</v>
      </c>
    </row>
    <row r="165" spans="1:4">
      <c r="A165">
        <f t="shared" si="4"/>
        <v>163</v>
      </c>
      <c r="B165" s="12">
        <v>1630</v>
      </c>
      <c r="C165" s="12">
        <v>16139</v>
      </c>
      <c r="D165">
        <f t="shared" si="5"/>
        <v>161.38999999999999</v>
      </c>
    </row>
    <row r="166" spans="1:4">
      <c r="A166">
        <f t="shared" si="4"/>
        <v>164</v>
      </c>
      <c r="B166" s="12">
        <v>1640</v>
      </c>
      <c r="C166" s="12">
        <v>16237</v>
      </c>
      <c r="D166">
        <f t="shared" si="5"/>
        <v>162.37</v>
      </c>
    </row>
    <row r="167" spans="1:4">
      <c r="A167">
        <f t="shared" si="4"/>
        <v>165</v>
      </c>
      <c r="B167" s="12">
        <v>1650</v>
      </c>
      <c r="C167" s="12">
        <v>16335</v>
      </c>
      <c r="D167">
        <f t="shared" si="5"/>
        <v>163.35</v>
      </c>
    </row>
    <row r="168" spans="1:4">
      <c r="A168">
        <f t="shared" si="4"/>
        <v>166</v>
      </c>
      <c r="B168" s="12">
        <v>1660</v>
      </c>
      <c r="C168" s="12">
        <v>16433</v>
      </c>
      <c r="D168">
        <f t="shared" si="5"/>
        <v>164.33</v>
      </c>
    </row>
    <row r="169" spans="1:4">
      <c r="A169">
        <f t="shared" si="4"/>
        <v>167</v>
      </c>
      <c r="B169" s="12">
        <v>1670</v>
      </c>
      <c r="C169" s="12">
        <v>16532</v>
      </c>
      <c r="D169">
        <f t="shared" si="5"/>
        <v>165.32</v>
      </c>
    </row>
    <row r="170" spans="1:4">
      <c r="A170">
        <f t="shared" si="4"/>
        <v>168</v>
      </c>
      <c r="B170" s="12">
        <v>1680</v>
      </c>
      <c r="C170" s="12">
        <v>16630</v>
      </c>
      <c r="D170">
        <f t="shared" si="5"/>
        <v>166.3</v>
      </c>
    </row>
    <row r="171" spans="1:4">
      <c r="A171">
        <f t="shared" si="4"/>
        <v>169</v>
      </c>
      <c r="B171" s="12">
        <v>1690</v>
      </c>
      <c r="C171" s="12">
        <v>16728</v>
      </c>
      <c r="D171">
        <f t="shared" si="5"/>
        <v>167.28</v>
      </c>
    </row>
    <row r="172" spans="1:4">
      <c r="A172">
        <f t="shared" si="4"/>
        <v>170</v>
      </c>
      <c r="B172" s="12">
        <v>1700</v>
      </c>
      <c r="C172" s="12">
        <v>16827</v>
      </c>
      <c r="D172">
        <f t="shared" si="5"/>
        <v>168.27</v>
      </c>
    </row>
    <row r="173" spans="1:4">
      <c r="A173">
        <f t="shared" si="4"/>
        <v>171</v>
      </c>
      <c r="B173" s="12">
        <v>1710</v>
      </c>
      <c r="C173" s="12">
        <v>16925</v>
      </c>
      <c r="D173">
        <f t="shared" si="5"/>
        <v>169.25</v>
      </c>
    </row>
    <row r="174" spans="1:4">
      <c r="A174">
        <f t="shared" si="4"/>
        <v>172</v>
      </c>
      <c r="B174" s="12">
        <v>1720</v>
      </c>
      <c r="C174" s="12">
        <v>17023</v>
      </c>
      <c r="D174">
        <f t="shared" si="5"/>
        <v>170.23</v>
      </c>
    </row>
    <row r="175" spans="1:4">
      <c r="A175">
        <f t="shared" si="4"/>
        <v>173</v>
      </c>
      <c r="B175" s="12">
        <v>1730</v>
      </c>
      <c r="C175" s="12">
        <v>17121</v>
      </c>
      <c r="D175">
        <f t="shared" si="5"/>
        <v>171.21</v>
      </c>
    </row>
    <row r="176" spans="1:4">
      <c r="A176">
        <f t="shared" si="4"/>
        <v>174</v>
      </c>
      <c r="B176" s="12">
        <v>1740</v>
      </c>
      <c r="C176" s="12">
        <v>17220</v>
      </c>
      <c r="D176">
        <f t="shared" si="5"/>
        <v>172.2</v>
      </c>
    </row>
    <row r="177" spans="1:4">
      <c r="A177">
        <f t="shared" si="4"/>
        <v>175</v>
      </c>
      <c r="B177" s="12">
        <v>1750</v>
      </c>
      <c r="C177" s="12">
        <v>17318</v>
      </c>
      <c r="D177">
        <f t="shared" si="5"/>
        <v>173.18</v>
      </c>
    </row>
    <row r="178" spans="1:4">
      <c r="A178">
        <f t="shared" si="4"/>
        <v>176</v>
      </c>
      <c r="B178" s="12">
        <v>1760</v>
      </c>
      <c r="C178" s="12">
        <v>17416</v>
      </c>
      <c r="D178">
        <f t="shared" si="5"/>
        <v>174.16</v>
      </c>
    </row>
    <row r="179" spans="1:4">
      <c r="A179">
        <f t="shared" si="4"/>
        <v>177</v>
      </c>
      <c r="B179" s="12">
        <v>1770</v>
      </c>
      <c r="C179" s="12">
        <v>17514</v>
      </c>
      <c r="D179">
        <f t="shared" si="5"/>
        <v>175.14</v>
      </c>
    </row>
    <row r="180" spans="1:4">
      <c r="A180">
        <f t="shared" si="4"/>
        <v>178</v>
      </c>
      <c r="B180" s="12">
        <v>1780</v>
      </c>
      <c r="C180" s="12">
        <v>17613</v>
      </c>
      <c r="D180">
        <f t="shared" si="5"/>
        <v>176.13</v>
      </c>
    </row>
    <row r="181" spans="1:4">
      <c r="A181">
        <f t="shared" si="4"/>
        <v>179</v>
      </c>
      <c r="B181" s="12">
        <v>1790</v>
      </c>
      <c r="C181" s="12">
        <v>17711</v>
      </c>
      <c r="D181">
        <f t="shared" si="5"/>
        <v>177.11</v>
      </c>
    </row>
    <row r="182" spans="1:4">
      <c r="A182">
        <f t="shared" si="4"/>
        <v>180</v>
      </c>
      <c r="B182" s="12">
        <v>1800</v>
      </c>
      <c r="C182" s="12">
        <v>17809</v>
      </c>
      <c r="D182">
        <f t="shared" si="5"/>
        <v>178.09</v>
      </c>
    </row>
    <row r="183" spans="1:4">
      <c r="A183">
        <f t="shared" si="4"/>
        <v>181</v>
      </c>
      <c r="B183" s="12">
        <v>1810</v>
      </c>
      <c r="C183" s="12">
        <v>17908</v>
      </c>
      <c r="D183">
        <f t="shared" si="5"/>
        <v>179.08</v>
      </c>
    </row>
    <row r="184" spans="1:4">
      <c r="A184">
        <f t="shared" si="4"/>
        <v>182</v>
      </c>
      <c r="B184" s="12">
        <v>1820</v>
      </c>
      <c r="C184" s="12">
        <v>18006</v>
      </c>
      <c r="D184">
        <f t="shared" si="5"/>
        <v>180.06</v>
      </c>
    </row>
    <row r="185" spans="1:4">
      <c r="A185">
        <f t="shared" si="4"/>
        <v>183</v>
      </c>
      <c r="B185" s="12">
        <v>1830</v>
      </c>
      <c r="C185" s="12">
        <v>18104</v>
      </c>
      <c r="D185">
        <f t="shared" si="5"/>
        <v>181.04</v>
      </c>
    </row>
    <row r="186" spans="1:4">
      <c r="A186">
        <f t="shared" si="4"/>
        <v>184</v>
      </c>
      <c r="B186" s="12">
        <v>1840</v>
      </c>
      <c r="C186" s="12">
        <v>18202</v>
      </c>
      <c r="D186">
        <f t="shared" si="5"/>
        <v>182.02</v>
      </c>
    </row>
    <row r="187" spans="1:4">
      <c r="A187">
        <f t="shared" si="4"/>
        <v>185</v>
      </c>
      <c r="B187" s="12">
        <v>1850</v>
      </c>
      <c r="C187" s="12">
        <v>18301</v>
      </c>
      <c r="D187">
        <f t="shared" si="5"/>
        <v>183.01</v>
      </c>
    </row>
    <row r="188" spans="1:4">
      <c r="A188">
        <f t="shared" si="4"/>
        <v>186</v>
      </c>
      <c r="B188" s="12">
        <v>1860</v>
      </c>
      <c r="C188" s="12">
        <v>18399</v>
      </c>
      <c r="D188">
        <f t="shared" si="5"/>
        <v>183.99</v>
      </c>
    </row>
    <row r="189" spans="1:4">
      <c r="A189">
        <f t="shared" si="4"/>
        <v>187</v>
      </c>
      <c r="B189" s="12">
        <v>1870</v>
      </c>
      <c r="C189" s="12">
        <v>18497</v>
      </c>
      <c r="D189">
        <f t="shared" si="5"/>
        <v>184.97</v>
      </c>
    </row>
    <row r="190" spans="1:4">
      <c r="A190">
        <f t="shared" si="4"/>
        <v>188</v>
      </c>
      <c r="B190" s="12">
        <v>1880</v>
      </c>
      <c r="C190" s="12">
        <v>18596</v>
      </c>
      <c r="D190">
        <f t="shared" si="5"/>
        <v>185.96</v>
      </c>
    </row>
    <row r="191" spans="1:4">
      <c r="A191">
        <f t="shared" si="4"/>
        <v>189</v>
      </c>
      <c r="B191" s="12">
        <v>1890</v>
      </c>
      <c r="C191" s="12">
        <v>18694</v>
      </c>
      <c r="D191">
        <f t="shared" si="5"/>
        <v>186.94</v>
      </c>
    </row>
    <row r="192" spans="1:4">
      <c r="A192">
        <f t="shared" si="4"/>
        <v>190</v>
      </c>
      <c r="B192" s="12">
        <v>1900</v>
      </c>
      <c r="C192" s="12">
        <v>18792</v>
      </c>
      <c r="D192">
        <f t="shared" si="5"/>
        <v>187.92</v>
      </c>
    </row>
    <row r="193" spans="1:4">
      <c r="A193">
        <f t="shared" si="4"/>
        <v>191</v>
      </c>
      <c r="B193" s="12">
        <v>1910</v>
      </c>
      <c r="C193" s="12">
        <v>18890</v>
      </c>
      <c r="D193">
        <f t="shared" si="5"/>
        <v>188.9</v>
      </c>
    </row>
    <row r="194" spans="1:4">
      <c r="A194">
        <f t="shared" si="4"/>
        <v>192</v>
      </c>
      <c r="B194" s="12">
        <v>1920</v>
      </c>
      <c r="C194" s="12">
        <v>18989</v>
      </c>
      <c r="D194">
        <f t="shared" si="5"/>
        <v>189.89</v>
      </c>
    </row>
    <row r="195" spans="1:4">
      <c r="A195">
        <f t="shared" ref="A195:A258" si="6">$B195/10</f>
        <v>193</v>
      </c>
      <c r="B195" s="12">
        <v>1930</v>
      </c>
      <c r="C195" s="12">
        <v>19087</v>
      </c>
      <c r="D195">
        <f t="shared" ref="D195:D258" si="7">$C195/100</f>
        <v>190.87</v>
      </c>
    </row>
    <row r="196" spans="1:4">
      <c r="A196">
        <f t="shared" si="6"/>
        <v>194</v>
      </c>
      <c r="B196" s="12">
        <v>1940</v>
      </c>
      <c r="C196" s="12">
        <v>19185</v>
      </c>
      <c r="D196">
        <f t="shared" si="7"/>
        <v>191.85</v>
      </c>
    </row>
    <row r="197" spans="1:4">
      <c r="A197">
        <f t="shared" si="6"/>
        <v>195</v>
      </c>
      <c r="B197" s="12">
        <v>1950</v>
      </c>
      <c r="C197" s="12">
        <v>19284</v>
      </c>
      <c r="D197">
        <f t="shared" si="7"/>
        <v>192.84</v>
      </c>
    </row>
    <row r="198" spans="1:4">
      <c r="A198">
        <f t="shared" si="6"/>
        <v>196</v>
      </c>
      <c r="B198" s="12">
        <v>1960</v>
      </c>
      <c r="C198" s="12">
        <v>19382</v>
      </c>
      <c r="D198">
        <f t="shared" si="7"/>
        <v>193.82</v>
      </c>
    </row>
    <row r="199" spans="1:4">
      <c r="A199">
        <f t="shared" si="6"/>
        <v>197</v>
      </c>
      <c r="B199" s="12">
        <v>1970</v>
      </c>
      <c r="C199" s="12">
        <v>19480</v>
      </c>
      <c r="D199">
        <f t="shared" si="7"/>
        <v>194.8</v>
      </c>
    </row>
    <row r="200" spans="1:4">
      <c r="A200">
        <f t="shared" si="6"/>
        <v>198</v>
      </c>
      <c r="B200" s="12">
        <v>1980</v>
      </c>
      <c r="C200" s="12">
        <v>19578</v>
      </c>
      <c r="D200">
        <f t="shared" si="7"/>
        <v>195.78</v>
      </c>
    </row>
    <row r="201" spans="1:4">
      <c r="A201">
        <f t="shared" si="6"/>
        <v>199</v>
      </c>
      <c r="B201" s="12">
        <v>1990</v>
      </c>
      <c r="C201" s="12">
        <v>19677</v>
      </c>
      <c r="D201">
        <f t="shared" si="7"/>
        <v>196.77</v>
      </c>
    </row>
    <row r="202" spans="1:4">
      <c r="A202">
        <f t="shared" si="6"/>
        <v>200</v>
      </c>
      <c r="B202" s="12">
        <v>2000</v>
      </c>
      <c r="C202" s="12">
        <v>19775</v>
      </c>
      <c r="D202">
        <f t="shared" si="7"/>
        <v>197.75</v>
      </c>
    </row>
    <row r="203" spans="1:4">
      <c r="A203">
        <f t="shared" si="6"/>
        <v>201</v>
      </c>
      <c r="B203" s="12">
        <v>2010</v>
      </c>
      <c r="C203" s="12">
        <v>19873</v>
      </c>
      <c r="D203">
        <f t="shared" si="7"/>
        <v>198.73</v>
      </c>
    </row>
    <row r="204" spans="1:4">
      <c r="A204">
        <f t="shared" si="6"/>
        <v>202</v>
      </c>
      <c r="B204" s="12">
        <v>2020</v>
      </c>
      <c r="C204" s="12">
        <v>19971</v>
      </c>
      <c r="D204">
        <f t="shared" si="7"/>
        <v>199.71</v>
      </c>
    </row>
    <row r="205" spans="1:4">
      <c r="A205">
        <f t="shared" si="6"/>
        <v>203</v>
      </c>
      <c r="B205" s="12">
        <v>2030</v>
      </c>
      <c r="C205" s="12">
        <v>20070</v>
      </c>
      <c r="D205">
        <f t="shared" si="7"/>
        <v>200.7</v>
      </c>
    </row>
    <row r="206" spans="1:4">
      <c r="A206">
        <f t="shared" si="6"/>
        <v>204</v>
      </c>
      <c r="B206" s="12">
        <v>2040</v>
      </c>
      <c r="C206" s="12">
        <v>20168</v>
      </c>
      <c r="D206">
        <f t="shared" si="7"/>
        <v>201.68</v>
      </c>
    </row>
    <row r="207" spans="1:4">
      <c r="A207">
        <f t="shared" si="6"/>
        <v>205</v>
      </c>
      <c r="B207" s="12">
        <v>2050</v>
      </c>
      <c r="C207" s="12">
        <v>20266</v>
      </c>
      <c r="D207">
        <f t="shared" si="7"/>
        <v>202.66</v>
      </c>
    </row>
    <row r="208" spans="1:4">
      <c r="A208">
        <f t="shared" si="6"/>
        <v>206</v>
      </c>
      <c r="B208" s="12">
        <v>2060</v>
      </c>
      <c r="C208" s="12">
        <v>20365</v>
      </c>
      <c r="D208">
        <f t="shared" si="7"/>
        <v>203.65</v>
      </c>
    </row>
    <row r="209" spans="1:4">
      <c r="A209">
        <f t="shared" si="6"/>
        <v>207</v>
      </c>
      <c r="B209" s="12">
        <v>2070</v>
      </c>
      <c r="C209" s="12">
        <v>20463</v>
      </c>
      <c r="D209">
        <f t="shared" si="7"/>
        <v>204.63</v>
      </c>
    </row>
    <row r="210" spans="1:4">
      <c r="A210">
        <f t="shared" si="6"/>
        <v>208</v>
      </c>
      <c r="B210" s="12">
        <v>2080</v>
      </c>
      <c r="C210" s="12">
        <v>20561</v>
      </c>
      <c r="D210">
        <f t="shared" si="7"/>
        <v>205.61</v>
      </c>
    </row>
    <row r="211" spans="1:4">
      <c r="A211">
        <f t="shared" si="6"/>
        <v>209</v>
      </c>
      <c r="B211" s="12">
        <v>2090</v>
      </c>
      <c r="C211" s="12">
        <v>20659</v>
      </c>
      <c r="D211">
        <f t="shared" si="7"/>
        <v>206.59</v>
      </c>
    </row>
    <row r="212" spans="1:4">
      <c r="A212">
        <f t="shared" si="6"/>
        <v>210</v>
      </c>
      <c r="B212" s="12">
        <v>2100</v>
      </c>
      <c r="C212" s="12">
        <v>20758</v>
      </c>
      <c r="D212">
        <f t="shared" si="7"/>
        <v>207.58</v>
      </c>
    </row>
    <row r="213" spans="1:4">
      <c r="A213">
        <f t="shared" si="6"/>
        <v>211</v>
      </c>
      <c r="B213" s="12">
        <v>2110</v>
      </c>
      <c r="C213" s="12">
        <v>20856</v>
      </c>
      <c r="D213">
        <f t="shared" si="7"/>
        <v>208.56</v>
      </c>
    </row>
    <row r="214" spans="1:4">
      <c r="A214">
        <f t="shared" si="6"/>
        <v>212</v>
      </c>
      <c r="B214" s="12">
        <v>2120</v>
      </c>
      <c r="C214" s="12">
        <v>20954</v>
      </c>
      <c r="D214">
        <f t="shared" si="7"/>
        <v>209.54</v>
      </c>
    </row>
    <row r="215" spans="1:4">
      <c r="A215">
        <f t="shared" si="6"/>
        <v>213</v>
      </c>
      <c r="B215" s="12">
        <v>2130</v>
      </c>
      <c r="C215" s="12">
        <v>21053</v>
      </c>
      <c r="D215">
        <f t="shared" si="7"/>
        <v>210.53</v>
      </c>
    </row>
    <row r="216" spans="1:4">
      <c r="A216">
        <f t="shared" si="6"/>
        <v>214</v>
      </c>
      <c r="B216" s="12">
        <v>2140</v>
      </c>
      <c r="C216" s="12">
        <v>21151</v>
      </c>
      <c r="D216">
        <f t="shared" si="7"/>
        <v>211.51</v>
      </c>
    </row>
    <row r="217" spans="1:4">
      <c r="A217">
        <f t="shared" si="6"/>
        <v>215</v>
      </c>
      <c r="B217" s="12">
        <v>2150</v>
      </c>
      <c r="C217" s="12">
        <v>21249</v>
      </c>
      <c r="D217">
        <f t="shared" si="7"/>
        <v>212.49</v>
      </c>
    </row>
    <row r="218" spans="1:4">
      <c r="A218">
        <f t="shared" si="6"/>
        <v>216</v>
      </c>
      <c r="B218" s="12">
        <v>2160</v>
      </c>
      <c r="C218" s="12">
        <v>21347</v>
      </c>
      <c r="D218">
        <f t="shared" si="7"/>
        <v>213.47</v>
      </c>
    </row>
    <row r="219" spans="1:4">
      <c r="A219">
        <f t="shared" si="6"/>
        <v>217</v>
      </c>
      <c r="B219" s="12">
        <v>2170</v>
      </c>
      <c r="C219" s="12">
        <v>21446</v>
      </c>
      <c r="D219">
        <f t="shared" si="7"/>
        <v>214.46</v>
      </c>
    </row>
    <row r="220" spans="1:4">
      <c r="A220">
        <f t="shared" si="6"/>
        <v>218</v>
      </c>
      <c r="B220" s="12">
        <v>2180</v>
      </c>
      <c r="C220" s="12">
        <v>21544</v>
      </c>
      <c r="D220">
        <f t="shared" si="7"/>
        <v>215.44</v>
      </c>
    </row>
    <row r="221" spans="1:4">
      <c r="A221">
        <f t="shared" si="6"/>
        <v>219</v>
      </c>
      <c r="B221" s="12">
        <v>2190</v>
      </c>
      <c r="C221" s="12">
        <v>21642</v>
      </c>
      <c r="D221">
        <f t="shared" si="7"/>
        <v>216.42</v>
      </c>
    </row>
    <row r="222" spans="1:4">
      <c r="A222">
        <f t="shared" si="6"/>
        <v>220</v>
      </c>
      <c r="B222" s="12">
        <v>2200</v>
      </c>
      <c r="C222" s="12">
        <v>21741</v>
      </c>
      <c r="D222">
        <f t="shared" si="7"/>
        <v>217.41</v>
      </c>
    </row>
    <row r="223" spans="1:4">
      <c r="A223">
        <f t="shared" si="6"/>
        <v>221</v>
      </c>
      <c r="B223" s="12">
        <v>2210</v>
      </c>
      <c r="C223" s="12">
        <v>21839</v>
      </c>
      <c r="D223">
        <f t="shared" si="7"/>
        <v>218.39</v>
      </c>
    </row>
    <row r="224" spans="1:4">
      <c r="A224">
        <f t="shared" si="6"/>
        <v>222</v>
      </c>
      <c r="B224" s="12">
        <v>2220</v>
      </c>
      <c r="C224" s="12">
        <v>21937</v>
      </c>
      <c r="D224">
        <f t="shared" si="7"/>
        <v>219.37</v>
      </c>
    </row>
    <row r="225" spans="1:4">
      <c r="A225">
        <f t="shared" si="6"/>
        <v>223</v>
      </c>
      <c r="B225" s="12">
        <v>2230</v>
      </c>
      <c r="C225" s="12">
        <v>22035</v>
      </c>
      <c r="D225">
        <f t="shared" si="7"/>
        <v>220.35</v>
      </c>
    </row>
    <row r="226" spans="1:4">
      <c r="A226">
        <f t="shared" si="6"/>
        <v>224</v>
      </c>
      <c r="B226" s="12">
        <v>2240</v>
      </c>
      <c r="C226" s="12">
        <v>22134</v>
      </c>
      <c r="D226">
        <f t="shared" si="7"/>
        <v>221.34</v>
      </c>
    </row>
    <row r="227" spans="1:4">
      <c r="A227">
        <f t="shared" si="6"/>
        <v>225</v>
      </c>
      <c r="B227" s="12">
        <v>2250</v>
      </c>
      <c r="C227" s="12">
        <v>22232</v>
      </c>
      <c r="D227">
        <f t="shared" si="7"/>
        <v>222.32</v>
      </c>
    </row>
    <row r="228" spans="1:4">
      <c r="A228">
        <f t="shared" si="6"/>
        <v>226</v>
      </c>
      <c r="B228" s="12">
        <v>2260</v>
      </c>
      <c r="C228" s="12">
        <v>22330</v>
      </c>
      <c r="D228">
        <f t="shared" si="7"/>
        <v>223.3</v>
      </c>
    </row>
    <row r="229" spans="1:4">
      <c r="A229">
        <f t="shared" si="6"/>
        <v>227</v>
      </c>
      <c r="B229" s="12">
        <v>2270</v>
      </c>
      <c r="C229" s="12">
        <v>22428</v>
      </c>
      <c r="D229">
        <f t="shared" si="7"/>
        <v>224.28</v>
      </c>
    </row>
    <row r="230" spans="1:4">
      <c r="A230">
        <f t="shared" si="6"/>
        <v>228</v>
      </c>
      <c r="B230" s="12">
        <v>2280</v>
      </c>
      <c r="C230" s="12">
        <v>22527</v>
      </c>
      <c r="D230">
        <f t="shared" si="7"/>
        <v>225.27</v>
      </c>
    </row>
    <row r="231" spans="1:4">
      <c r="A231">
        <f t="shared" si="6"/>
        <v>229</v>
      </c>
      <c r="B231" s="12">
        <v>2290</v>
      </c>
      <c r="C231" s="12">
        <v>22625</v>
      </c>
      <c r="D231">
        <f t="shared" si="7"/>
        <v>226.25</v>
      </c>
    </row>
    <row r="232" spans="1:4">
      <c r="A232">
        <f t="shared" si="6"/>
        <v>230</v>
      </c>
      <c r="B232" s="12">
        <v>2300</v>
      </c>
      <c r="C232" s="12">
        <v>22723</v>
      </c>
      <c r="D232">
        <f t="shared" si="7"/>
        <v>227.23</v>
      </c>
    </row>
    <row r="233" spans="1:4">
      <c r="A233">
        <f t="shared" si="6"/>
        <v>231</v>
      </c>
      <c r="B233" s="12">
        <v>2310</v>
      </c>
      <c r="C233" s="12">
        <v>22822</v>
      </c>
      <c r="D233">
        <f t="shared" si="7"/>
        <v>228.22</v>
      </c>
    </row>
    <row r="234" spans="1:4">
      <c r="A234">
        <f t="shared" si="6"/>
        <v>232</v>
      </c>
      <c r="B234" s="12">
        <v>2320</v>
      </c>
      <c r="C234" s="12">
        <v>22920</v>
      </c>
      <c r="D234">
        <f t="shared" si="7"/>
        <v>229.2</v>
      </c>
    </row>
    <row r="235" spans="1:4">
      <c r="A235">
        <f t="shared" si="6"/>
        <v>233</v>
      </c>
      <c r="B235" s="12">
        <v>2330</v>
      </c>
      <c r="C235" s="12">
        <v>23018</v>
      </c>
      <c r="D235">
        <f t="shared" si="7"/>
        <v>230.18</v>
      </c>
    </row>
    <row r="236" spans="1:4">
      <c r="A236">
        <f t="shared" si="6"/>
        <v>234</v>
      </c>
      <c r="B236" s="12">
        <v>2340</v>
      </c>
      <c r="C236" s="12">
        <v>23116</v>
      </c>
      <c r="D236">
        <f t="shared" si="7"/>
        <v>231.16</v>
      </c>
    </row>
    <row r="237" spans="1:4">
      <c r="A237">
        <f t="shared" si="6"/>
        <v>235</v>
      </c>
      <c r="B237" s="12">
        <v>2350</v>
      </c>
      <c r="C237" s="12">
        <v>23215</v>
      </c>
      <c r="D237">
        <f t="shared" si="7"/>
        <v>232.15</v>
      </c>
    </row>
    <row r="238" spans="1:4">
      <c r="A238">
        <f t="shared" si="6"/>
        <v>236</v>
      </c>
      <c r="B238" s="12">
        <v>2360</v>
      </c>
      <c r="C238" s="12">
        <v>23313</v>
      </c>
      <c r="D238">
        <f t="shared" si="7"/>
        <v>233.13</v>
      </c>
    </row>
    <row r="239" spans="1:4">
      <c r="A239">
        <f t="shared" si="6"/>
        <v>237</v>
      </c>
      <c r="B239" s="12">
        <v>2370</v>
      </c>
      <c r="C239" s="12">
        <v>23411</v>
      </c>
      <c r="D239">
        <f t="shared" si="7"/>
        <v>234.11</v>
      </c>
    </row>
    <row r="240" spans="1:4">
      <c r="A240">
        <f t="shared" si="6"/>
        <v>238</v>
      </c>
      <c r="B240" s="12">
        <v>2380</v>
      </c>
      <c r="C240" s="12">
        <v>23510</v>
      </c>
      <c r="D240">
        <f t="shared" si="7"/>
        <v>235.1</v>
      </c>
    </row>
    <row r="241" spans="1:4">
      <c r="A241">
        <f t="shared" si="6"/>
        <v>239</v>
      </c>
      <c r="B241" s="12">
        <v>2390</v>
      </c>
      <c r="C241" s="12">
        <v>23608</v>
      </c>
      <c r="D241">
        <f t="shared" si="7"/>
        <v>236.08</v>
      </c>
    </row>
    <row r="242" spans="1:4">
      <c r="A242">
        <f t="shared" si="6"/>
        <v>240</v>
      </c>
      <c r="B242" s="12">
        <v>2400</v>
      </c>
      <c r="C242" s="12">
        <v>23706</v>
      </c>
      <c r="D242">
        <f t="shared" si="7"/>
        <v>237.06</v>
      </c>
    </row>
    <row r="243" spans="1:4">
      <c r="A243">
        <f t="shared" si="6"/>
        <v>241</v>
      </c>
      <c r="B243" s="12">
        <v>2410</v>
      </c>
      <c r="C243" s="12">
        <v>23804</v>
      </c>
      <c r="D243">
        <f t="shared" si="7"/>
        <v>238.04</v>
      </c>
    </row>
    <row r="244" spans="1:4">
      <c r="A244">
        <f t="shared" si="6"/>
        <v>242</v>
      </c>
      <c r="B244" s="12">
        <v>2420</v>
      </c>
      <c r="C244" s="12">
        <v>23903</v>
      </c>
      <c r="D244">
        <f t="shared" si="7"/>
        <v>239.03</v>
      </c>
    </row>
    <row r="245" spans="1:4">
      <c r="A245">
        <f t="shared" si="6"/>
        <v>243</v>
      </c>
      <c r="B245" s="12">
        <v>2430</v>
      </c>
      <c r="C245" s="12">
        <v>24001</v>
      </c>
      <c r="D245">
        <f t="shared" si="7"/>
        <v>240.01</v>
      </c>
    </row>
    <row r="246" spans="1:4">
      <c r="A246">
        <f t="shared" si="6"/>
        <v>244</v>
      </c>
      <c r="B246" s="12">
        <v>2440</v>
      </c>
      <c r="C246" s="12">
        <v>24099</v>
      </c>
      <c r="D246">
        <f t="shared" si="7"/>
        <v>240.99</v>
      </c>
    </row>
    <row r="247" spans="1:4">
      <c r="A247">
        <f t="shared" si="6"/>
        <v>245</v>
      </c>
      <c r="B247" s="12">
        <v>2450</v>
      </c>
      <c r="C247" s="12">
        <v>24198</v>
      </c>
      <c r="D247">
        <f t="shared" si="7"/>
        <v>241.98</v>
      </c>
    </row>
    <row r="248" spans="1:4">
      <c r="A248">
        <f t="shared" si="6"/>
        <v>246</v>
      </c>
      <c r="B248" s="12">
        <v>2460</v>
      </c>
      <c r="C248" s="12">
        <v>24296</v>
      </c>
      <c r="D248">
        <f t="shared" si="7"/>
        <v>242.96</v>
      </c>
    </row>
    <row r="249" spans="1:4">
      <c r="A249">
        <f t="shared" si="6"/>
        <v>247</v>
      </c>
      <c r="B249" s="12">
        <v>2470</v>
      </c>
      <c r="C249" s="12">
        <v>24394</v>
      </c>
      <c r="D249">
        <f t="shared" si="7"/>
        <v>243.94</v>
      </c>
    </row>
    <row r="250" spans="1:4">
      <c r="A250">
        <f t="shared" si="6"/>
        <v>248</v>
      </c>
      <c r="B250" s="12">
        <v>2480</v>
      </c>
      <c r="C250" s="12">
        <v>24492</v>
      </c>
      <c r="D250">
        <f t="shared" si="7"/>
        <v>244.92</v>
      </c>
    </row>
    <row r="251" spans="1:4">
      <c r="A251">
        <f t="shared" si="6"/>
        <v>249</v>
      </c>
      <c r="B251" s="12">
        <v>2490</v>
      </c>
      <c r="C251" s="12">
        <v>24591</v>
      </c>
      <c r="D251">
        <f t="shared" si="7"/>
        <v>245.91</v>
      </c>
    </row>
    <row r="252" spans="1:4">
      <c r="A252">
        <f t="shared" si="6"/>
        <v>250</v>
      </c>
      <c r="B252" s="12">
        <v>2500</v>
      </c>
      <c r="C252" s="12">
        <v>24689</v>
      </c>
      <c r="D252">
        <f t="shared" si="7"/>
        <v>246.89</v>
      </c>
    </row>
    <row r="253" spans="1:4">
      <c r="A253">
        <f t="shared" si="6"/>
        <v>251</v>
      </c>
      <c r="B253" s="12">
        <v>2510</v>
      </c>
      <c r="C253" s="12">
        <v>24787</v>
      </c>
      <c r="D253">
        <f t="shared" si="7"/>
        <v>247.87</v>
      </c>
    </row>
    <row r="254" spans="1:4">
      <c r="A254">
        <f t="shared" si="6"/>
        <v>252</v>
      </c>
      <c r="B254" s="12">
        <v>2520</v>
      </c>
      <c r="C254" s="12">
        <v>24885</v>
      </c>
      <c r="D254">
        <f t="shared" si="7"/>
        <v>248.85</v>
      </c>
    </row>
    <row r="255" spans="1:4">
      <c r="A255">
        <f t="shared" si="6"/>
        <v>253</v>
      </c>
      <c r="B255" s="12">
        <v>2530</v>
      </c>
      <c r="C255" s="12">
        <v>24984</v>
      </c>
      <c r="D255">
        <f t="shared" si="7"/>
        <v>249.84</v>
      </c>
    </row>
    <row r="256" spans="1:4">
      <c r="A256">
        <f t="shared" si="6"/>
        <v>254</v>
      </c>
      <c r="B256" s="12">
        <v>2540</v>
      </c>
      <c r="C256" s="12">
        <v>25082</v>
      </c>
      <c r="D256">
        <f t="shared" si="7"/>
        <v>250.82</v>
      </c>
    </row>
    <row r="257" spans="1:4">
      <c r="A257">
        <f t="shared" si="6"/>
        <v>255</v>
      </c>
      <c r="B257" s="12">
        <v>2550</v>
      </c>
      <c r="C257" s="12">
        <v>25180</v>
      </c>
      <c r="D257">
        <f t="shared" si="7"/>
        <v>251.8</v>
      </c>
    </row>
    <row r="258" spans="1:4">
      <c r="A258">
        <f t="shared" si="6"/>
        <v>256</v>
      </c>
      <c r="B258" s="12">
        <v>2560</v>
      </c>
      <c r="C258" s="12">
        <v>25279</v>
      </c>
      <c r="D258">
        <f t="shared" si="7"/>
        <v>252.79</v>
      </c>
    </row>
    <row r="259" spans="1:4">
      <c r="A259">
        <f t="shared" ref="A259:A322" si="8">$B259/10</f>
        <v>257</v>
      </c>
      <c r="B259" s="12">
        <v>2570</v>
      </c>
      <c r="C259" s="12">
        <v>25377</v>
      </c>
      <c r="D259">
        <f t="shared" ref="D259:D322" si="9">$C259/100</f>
        <v>253.77</v>
      </c>
    </row>
    <row r="260" spans="1:4">
      <c r="A260">
        <f t="shared" si="8"/>
        <v>258</v>
      </c>
      <c r="B260" s="12">
        <v>2580</v>
      </c>
      <c r="C260" s="12">
        <v>25475</v>
      </c>
      <c r="D260">
        <f t="shared" si="9"/>
        <v>254.75</v>
      </c>
    </row>
    <row r="261" spans="1:4">
      <c r="A261">
        <f t="shared" si="8"/>
        <v>259</v>
      </c>
      <c r="B261" s="12">
        <v>2590</v>
      </c>
      <c r="C261" s="12">
        <v>25573</v>
      </c>
      <c r="D261">
        <f t="shared" si="9"/>
        <v>255.73</v>
      </c>
    </row>
    <row r="262" spans="1:4">
      <c r="A262">
        <f t="shared" si="8"/>
        <v>260</v>
      </c>
      <c r="B262" s="12">
        <v>2600</v>
      </c>
      <c r="C262" s="12">
        <v>25672</v>
      </c>
      <c r="D262">
        <f t="shared" si="9"/>
        <v>256.72000000000003</v>
      </c>
    </row>
    <row r="263" spans="1:4">
      <c r="A263">
        <f t="shared" si="8"/>
        <v>261</v>
      </c>
      <c r="B263" s="12">
        <v>2610</v>
      </c>
      <c r="C263" s="12">
        <v>25770</v>
      </c>
      <c r="D263">
        <f t="shared" si="9"/>
        <v>257.7</v>
      </c>
    </row>
    <row r="264" spans="1:4">
      <c r="A264">
        <f t="shared" si="8"/>
        <v>262</v>
      </c>
      <c r="B264" s="12">
        <v>2620</v>
      </c>
      <c r="C264" s="12">
        <v>25868</v>
      </c>
      <c r="D264">
        <f t="shared" si="9"/>
        <v>258.68</v>
      </c>
    </row>
    <row r="265" spans="1:4">
      <c r="A265">
        <f t="shared" si="8"/>
        <v>263</v>
      </c>
      <c r="B265" s="12">
        <v>2630</v>
      </c>
      <c r="C265" s="12">
        <v>25967</v>
      </c>
      <c r="D265">
        <f t="shared" si="9"/>
        <v>259.67</v>
      </c>
    </row>
    <row r="266" spans="1:4">
      <c r="A266">
        <f t="shared" si="8"/>
        <v>264</v>
      </c>
      <c r="B266" s="12">
        <v>2640</v>
      </c>
      <c r="C266" s="12">
        <v>26065</v>
      </c>
      <c r="D266">
        <f t="shared" si="9"/>
        <v>260.64999999999998</v>
      </c>
    </row>
    <row r="267" spans="1:4">
      <c r="A267">
        <f t="shared" si="8"/>
        <v>265</v>
      </c>
      <c r="B267" s="12">
        <v>2650</v>
      </c>
      <c r="C267" s="12">
        <v>26163</v>
      </c>
      <c r="D267">
        <f t="shared" si="9"/>
        <v>261.63</v>
      </c>
    </row>
    <row r="268" spans="1:4">
      <c r="A268">
        <f t="shared" si="8"/>
        <v>266</v>
      </c>
      <c r="B268" s="12">
        <v>2660</v>
      </c>
      <c r="C268" s="12">
        <v>26261</v>
      </c>
      <c r="D268">
        <f t="shared" si="9"/>
        <v>262.61</v>
      </c>
    </row>
    <row r="269" spans="1:4">
      <c r="A269">
        <f t="shared" si="8"/>
        <v>267</v>
      </c>
      <c r="B269" s="12">
        <v>2670</v>
      </c>
      <c r="C269" s="12">
        <v>26360</v>
      </c>
      <c r="D269">
        <f t="shared" si="9"/>
        <v>263.60000000000002</v>
      </c>
    </row>
    <row r="270" spans="1:4">
      <c r="A270">
        <f t="shared" si="8"/>
        <v>268</v>
      </c>
      <c r="B270" s="12">
        <v>2680</v>
      </c>
      <c r="C270" s="12">
        <v>26458</v>
      </c>
      <c r="D270">
        <f t="shared" si="9"/>
        <v>264.58</v>
      </c>
    </row>
    <row r="271" spans="1:4">
      <c r="A271">
        <f t="shared" si="8"/>
        <v>269</v>
      </c>
      <c r="B271" s="12">
        <v>2690</v>
      </c>
      <c r="C271" s="12">
        <v>26556</v>
      </c>
      <c r="D271">
        <f t="shared" si="9"/>
        <v>265.56</v>
      </c>
    </row>
    <row r="272" spans="1:4">
      <c r="A272">
        <f t="shared" si="8"/>
        <v>270</v>
      </c>
      <c r="B272" s="12">
        <v>2700</v>
      </c>
      <c r="C272" s="12">
        <v>26655</v>
      </c>
      <c r="D272">
        <f t="shared" si="9"/>
        <v>266.55</v>
      </c>
    </row>
    <row r="273" spans="1:4">
      <c r="A273">
        <f t="shared" si="8"/>
        <v>271</v>
      </c>
      <c r="B273" s="12">
        <v>2710</v>
      </c>
      <c r="C273" s="12">
        <v>26753</v>
      </c>
      <c r="D273">
        <f t="shared" si="9"/>
        <v>267.52999999999997</v>
      </c>
    </row>
    <row r="274" spans="1:4">
      <c r="A274">
        <f t="shared" si="8"/>
        <v>272</v>
      </c>
      <c r="B274" s="12">
        <v>2720</v>
      </c>
      <c r="C274" s="12">
        <v>26851</v>
      </c>
      <c r="D274">
        <f t="shared" si="9"/>
        <v>268.51</v>
      </c>
    </row>
    <row r="275" spans="1:4">
      <c r="A275">
        <f t="shared" si="8"/>
        <v>273</v>
      </c>
      <c r="B275" s="12">
        <v>2730</v>
      </c>
      <c r="C275" s="12">
        <v>26949</v>
      </c>
      <c r="D275">
        <f t="shared" si="9"/>
        <v>269.49</v>
      </c>
    </row>
    <row r="276" spans="1:4">
      <c r="A276">
        <f t="shared" si="8"/>
        <v>274</v>
      </c>
      <c r="B276" s="12">
        <v>2740</v>
      </c>
      <c r="C276" s="12">
        <v>27048</v>
      </c>
      <c r="D276">
        <f t="shared" si="9"/>
        <v>270.48</v>
      </c>
    </row>
    <row r="277" spans="1:4">
      <c r="A277">
        <f t="shared" si="8"/>
        <v>275</v>
      </c>
      <c r="B277" s="12">
        <v>2750</v>
      </c>
      <c r="C277" s="12">
        <v>27146</v>
      </c>
      <c r="D277">
        <f t="shared" si="9"/>
        <v>271.45999999999998</v>
      </c>
    </row>
    <row r="278" spans="1:4">
      <c r="A278">
        <f t="shared" si="8"/>
        <v>276</v>
      </c>
      <c r="B278" s="12">
        <v>2760</v>
      </c>
      <c r="C278" s="12">
        <v>27244</v>
      </c>
      <c r="D278">
        <f t="shared" si="9"/>
        <v>272.44</v>
      </c>
    </row>
    <row r="279" spans="1:4">
      <c r="A279">
        <f t="shared" si="8"/>
        <v>277</v>
      </c>
      <c r="B279" s="12">
        <v>2770</v>
      </c>
      <c r="C279" s="12">
        <v>27342</v>
      </c>
      <c r="D279">
        <f t="shared" si="9"/>
        <v>273.42</v>
      </c>
    </row>
    <row r="280" spans="1:4">
      <c r="A280">
        <f t="shared" si="8"/>
        <v>278</v>
      </c>
      <c r="B280" s="12">
        <v>2780</v>
      </c>
      <c r="C280" s="12">
        <v>27441</v>
      </c>
      <c r="D280">
        <f t="shared" si="9"/>
        <v>274.41000000000003</v>
      </c>
    </row>
    <row r="281" spans="1:4">
      <c r="A281">
        <f t="shared" si="8"/>
        <v>279</v>
      </c>
      <c r="B281" s="12">
        <v>2790</v>
      </c>
      <c r="C281" s="12">
        <v>27539</v>
      </c>
      <c r="D281">
        <f t="shared" si="9"/>
        <v>275.39</v>
      </c>
    </row>
    <row r="282" spans="1:4">
      <c r="A282">
        <f t="shared" si="8"/>
        <v>280</v>
      </c>
      <c r="B282" s="12">
        <v>2800</v>
      </c>
      <c r="C282" s="12">
        <v>27637</v>
      </c>
      <c r="D282">
        <f t="shared" si="9"/>
        <v>276.37</v>
      </c>
    </row>
    <row r="283" spans="1:4">
      <c r="A283">
        <f t="shared" si="8"/>
        <v>281</v>
      </c>
      <c r="B283" s="12">
        <v>2810</v>
      </c>
      <c r="C283" s="12">
        <v>27736</v>
      </c>
      <c r="D283">
        <f t="shared" si="9"/>
        <v>277.36</v>
      </c>
    </row>
    <row r="284" spans="1:4">
      <c r="A284">
        <f t="shared" si="8"/>
        <v>282</v>
      </c>
      <c r="B284" s="12">
        <v>2820</v>
      </c>
      <c r="C284" s="12">
        <v>27834</v>
      </c>
      <c r="D284">
        <f t="shared" si="9"/>
        <v>278.33999999999997</v>
      </c>
    </row>
    <row r="285" spans="1:4">
      <c r="A285">
        <f t="shared" si="8"/>
        <v>283</v>
      </c>
      <c r="B285" s="12">
        <v>2830</v>
      </c>
      <c r="C285" s="12">
        <v>27932</v>
      </c>
      <c r="D285">
        <f t="shared" si="9"/>
        <v>279.32</v>
      </c>
    </row>
    <row r="286" spans="1:4">
      <c r="A286">
        <f t="shared" si="8"/>
        <v>284</v>
      </c>
      <c r="B286" s="12">
        <v>2840</v>
      </c>
      <c r="C286" s="12">
        <v>28030</v>
      </c>
      <c r="D286">
        <f t="shared" si="9"/>
        <v>280.3</v>
      </c>
    </row>
    <row r="287" spans="1:4">
      <c r="A287">
        <f t="shared" si="8"/>
        <v>285</v>
      </c>
      <c r="B287" s="12">
        <v>2850</v>
      </c>
      <c r="C287" s="12">
        <v>28129</v>
      </c>
      <c r="D287">
        <f t="shared" si="9"/>
        <v>281.29000000000002</v>
      </c>
    </row>
    <row r="288" spans="1:4">
      <c r="A288">
        <f t="shared" si="8"/>
        <v>286</v>
      </c>
      <c r="B288" s="12">
        <v>2860</v>
      </c>
      <c r="C288" s="12">
        <v>28227</v>
      </c>
      <c r="D288">
        <f t="shared" si="9"/>
        <v>282.27</v>
      </c>
    </row>
    <row r="289" spans="1:4">
      <c r="A289">
        <f t="shared" si="8"/>
        <v>287</v>
      </c>
      <c r="B289" s="12">
        <v>2870</v>
      </c>
      <c r="C289" s="12">
        <v>28325</v>
      </c>
      <c r="D289">
        <f t="shared" si="9"/>
        <v>283.25</v>
      </c>
    </row>
    <row r="290" spans="1:4">
      <c r="A290">
        <f t="shared" si="8"/>
        <v>288</v>
      </c>
      <c r="B290" s="12">
        <v>2880</v>
      </c>
      <c r="C290" s="12">
        <v>28424</v>
      </c>
      <c r="D290">
        <f t="shared" si="9"/>
        <v>284.24</v>
      </c>
    </row>
    <row r="291" spans="1:4">
      <c r="A291">
        <f t="shared" si="8"/>
        <v>289</v>
      </c>
      <c r="B291" s="12">
        <v>2890</v>
      </c>
      <c r="C291" s="12">
        <v>28522</v>
      </c>
      <c r="D291">
        <f t="shared" si="9"/>
        <v>285.22000000000003</v>
      </c>
    </row>
    <row r="292" spans="1:4">
      <c r="A292">
        <f t="shared" si="8"/>
        <v>290</v>
      </c>
      <c r="B292" s="12">
        <v>2900</v>
      </c>
      <c r="C292" s="12">
        <v>28620</v>
      </c>
      <c r="D292">
        <f t="shared" si="9"/>
        <v>286.2</v>
      </c>
    </row>
    <row r="293" spans="1:4">
      <c r="A293">
        <f t="shared" si="8"/>
        <v>291</v>
      </c>
      <c r="B293" s="12">
        <v>2910</v>
      </c>
      <c r="C293" s="12">
        <v>28718</v>
      </c>
      <c r="D293">
        <f t="shared" si="9"/>
        <v>287.18</v>
      </c>
    </row>
    <row r="294" spans="1:4">
      <c r="A294">
        <f t="shared" si="8"/>
        <v>292</v>
      </c>
      <c r="B294" s="12">
        <v>2920</v>
      </c>
      <c r="C294" s="12">
        <v>28817</v>
      </c>
      <c r="D294">
        <f t="shared" si="9"/>
        <v>288.17</v>
      </c>
    </row>
    <row r="295" spans="1:4">
      <c r="A295">
        <f t="shared" si="8"/>
        <v>293</v>
      </c>
      <c r="B295" s="12">
        <v>2930</v>
      </c>
      <c r="C295" s="12">
        <v>28915</v>
      </c>
      <c r="D295">
        <f t="shared" si="9"/>
        <v>289.14999999999998</v>
      </c>
    </row>
    <row r="296" spans="1:4">
      <c r="A296">
        <f t="shared" si="8"/>
        <v>294</v>
      </c>
      <c r="B296" s="12">
        <v>2940</v>
      </c>
      <c r="C296" s="12">
        <v>29013</v>
      </c>
      <c r="D296">
        <f t="shared" si="9"/>
        <v>290.13</v>
      </c>
    </row>
    <row r="297" spans="1:4">
      <c r="A297">
        <f t="shared" si="8"/>
        <v>295</v>
      </c>
      <c r="B297" s="12">
        <v>2950</v>
      </c>
      <c r="C297" s="12">
        <v>29112</v>
      </c>
      <c r="D297">
        <f t="shared" si="9"/>
        <v>291.12</v>
      </c>
    </row>
    <row r="298" spans="1:4">
      <c r="A298">
        <f t="shared" si="8"/>
        <v>296</v>
      </c>
      <c r="B298" s="12">
        <v>2960</v>
      </c>
      <c r="C298" s="12">
        <v>29210</v>
      </c>
      <c r="D298">
        <f t="shared" si="9"/>
        <v>292.10000000000002</v>
      </c>
    </row>
    <row r="299" spans="1:4">
      <c r="A299">
        <f t="shared" si="8"/>
        <v>297</v>
      </c>
      <c r="B299" s="12">
        <v>2970</v>
      </c>
      <c r="C299" s="12">
        <v>29308</v>
      </c>
      <c r="D299">
        <f t="shared" si="9"/>
        <v>293.08</v>
      </c>
    </row>
    <row r="300" spans="1:4">
      <c r="A300">
        <f t="shared" si="8"/>
        <v>298</v>
      </c>
      <c r="B300" s="12">
        <v>2980</v>
      </c>
      <c r="C300" s="12">
        <v>29406</v>
      </c>
      <c r="D300">
        <f t="shared" si="9"/>
        <v>294.06</v>
      </c>
    </row>
    <row r="301" spans="1:4">
      <c r="A301">
        <f t="shared" si="8"/>
        <v>299</v>
      </c>
      <c r="B301" s="12">
        <v>2990</v>
      </c>
      <c r="C301" s="12">
        <v>29505</v>
      </c>
      <c r="D301">
        <f t="shared" si="9"/>
        <v>295.05</v>
      </c>
    </row>
    <row r="302" spans="1:4">
      <c r="A302">
        <f t="shared" si="8"/>
        <v>300</v>
      </c>
      <c r="B302" s="12">
        <v>3000</v>
      </c>
      <c r="C302" s="12">
        <v>29603</v>
      </c>
      <c r="D302">
        <f t="shared" si="9"/>
        <v>296.02999999999997</v>
      </c>
    </row>
    <row r="303" spans="1:4">
      <c r="A303">
        <f t="shared" si="8"/>
        <v>301</v>
      </c>
      <c r="B303" s="12">
        <v>3010</v>
      </c>
      <c r="C303" s="12">
        <v>29701</v>
      </c>
      <c r="D303">
        <f t="shared" si="9"/>
        <v>297.01</v>
      </c>
    </row>
    <row r="304" spans="1:4">
      <c r="A304">
        <f t="shared" si="8"/>
        <v>302</v>
      </c>
      <c r="B304" s="12">
        <v>3020</v>
      </c>
      <c r="C304" s="12">
        <v>29799</v>
      </c>
      <c r="D304">
        <f t="shared" si="9"/>
        <v>297.99</v>
      </c>
    </row>
    <row r="305" spans="1:4">
      <c r="A305">
        <f t="shared" si="8"/>
        <v>303</v>
      </c>
      <c r="B305" s="12">
        <v>3030</v>
      </c>
      <c r="C305" s="12">
        <v>29898</v>
      </c>
      <c r="D305">
        <f t="shared" si="9"/>
        <v>298.98</v>
      </c>
    </row>
    <row r="306" spans="1:4">
      <c r="A306">
        <f t="shared" si="8"/>
        <v>304</v>
      </c>
      <c r="B306" s="12">
        <v>3040</v>
      </c>
      <c r="C306" s="12">
        <v>29996</v>
      </c>
      <c r="D306">
        <f t="shared" si="9"/>
        <v>299.95999999999998</v>
      </c>
    </row>
    <row r="307" spans="1:4">
      <c r="A307">
        <f t="shared" si="8"/>
        <v>305</v>
      </c>
      <c r="B307" s="12">
        <v>3050</v>
      </c>
      <c r="C307" s="12">
        <v>30094</v>
      </c>
      <c r="D307">
        <f t="shared" si="9"/>
        <v>300.94</v>
      </c>
    </row>
    <row r="308" spans="1:4">
      <c r="A308">
        <f t="shared" si="8"/>
        <v>306</v>
      </c>
      <c r="B308" s="12">
        <v>3060</v>
      </c>
      <c r="C308" s="12">
        <v>30193</v>
      </c>
      <c r="D308">
        <f t="shared" si="9"/>
        <v>301.93</v>
      </c>
    </row>
    <row r="309" spans="1:4">
      <c r="A309">
        <f t="shared" si="8"/>
        <v>307</v>
      </c>
      <c r="B309" s="12">
        <v>3070</v>
      </c>
      <c r="C309" s="12">
        <v>30291</v>
      </c>
      <c r="D309">
        <f t="shared" si="9"/>
        <v>302.91000000000003</v>
      </c>
    </row>
    <row r="310" spans="1:4">
      <c r="A310">
        <f t="shared" si="8"/>
        <v>308</v>
      </c>
      <c r="B310" s="12">
        <v>3080</v>
      </c>
      <c r="C310" s="12">
        <v>30389</v>
      </c>
      <c r="D310">
        <f t="shared" si="9"/>
        <v>303.89</v>
      </c>
    </row>
    <row r="311" spans="1:4">
      <c r="A311">
        <f t="shared" si="8"/>
        <v>309</v>
      </c>
      <c r="B311" s="12">
        <v>3090</v>
      </c>
      <c r="C311" s="12">
        <v>30487</v>
      </c>
      <c r="D311">
        <f t="shared" si="9"/>
        <v>304.87</v>
      </c>
    </row>
    <row r="312" spans="1:4">
      <c r="A312">
        <f t="shared" si="8"/>
        <v>310</v>
      </c>
      <c r="B312" s="12">
        <v>3100</v>
      </c>
      <c r="C312" s="12">
        <v>30586</v>
      </c>
      <c r="D312">
        <f t="shared" si="9"/>
        <v>305.86</v>
      </c>
    </row>
    <row r="313" spans="1:4">
      <c r="A313">
        <f t="shared" si="8"/>
        <v>311</v>
      </c>
      <c r="B313" s="12">
        <v>3110</v>
      </c>
      <c r="C313" s="12">
        <v>30684</v>
      </c>
      <c r="D313">
        <f t="shared" si="9"/>
        <v>306.83999999999997</v>
      </c>
    </row>
    <row r="314" spans="1:4">
      <c r="A314">
        <f t="shared" si="8"/>
        <v>312</v>
      </c>
      <c r="B314" s="12">
        <v>3120</v>
      </c>
      <c r="C314" s="12">
        <v>30782</v>
      </c>
      <c r="D314">
        <f t="shared" si="9"/>
        <v>307.82</v>
      </c>
    </row>
    <row r="315" spans="1:4">
      <c r="A315">
        <f t="shared" si="8"/>
        <v>313</v>
      </c>
      <c r="B315" s="12">
        <v>3130</v>
      </c>
      <c r="C315" s="12">
        <v>30881</v>
      </c>
      <c r="D315">
        <f t="shared" si="9"/>
        <v>308.81</v>
      </c>
    </row>
    <row r="316" spans="1:4">
      <c r="A316">
        <f t="shared" si="8"/>
        <v>314</v>
      </c>
      <c r="B316" s="12">
        <v>3140</v>
      </c>
      <c r="C316" s="12">
        <v>30979</v>
      </c>
      <c r="D316">
        <f t="shared" si="9"/>
        <v>309.79000000000002</v>
      </c>
    </row>
    <row r="317" spans="1:4">
      <c r="A317">
        <f t="shared" si="8"/>
        <v>315</v>
      </c>
      <c r="B317" s="12">
        <v>3150</v>
      </c>
      <c r="C317" s="12">
        <v>31077</v>
      </c>
      <c r="D317">
        <f t="shared" si="9"/>
        <v>310.77</v>
      </c>
    </row>
    <row r="318" spans="1:4">
      <c r="A318">
        <f t="shared" si="8"/>
        <v>316</v>
      </c>
      <c r="B318" s="12">
        <v>3160</v>
      </c>
      <c r="C318" s="12">
        <v>31175</v>
      </c>
      <c r="D318">
        <f t="shared" si="9"/>
        <v>311.75</v>
      </c>
    </row>
    <row r="319" spans="1:4">
      <c r="A319">
        <f t="shared" si="8"/>
        <v>317</v>
      </c>
      <c r="B319" s="12">
        <v>3170</v>
      </c>
      <c r="C319" s="12">
        <v>31274</v>
      </c>
      <c r="D319">
        <f t="shared" si="9"/>
        <v>312.74</v>
      </c>
    </row>
    <row r="320" spans="1:4">
      <c r="A320">
        <f t="shared" si="8"/>
        <v>318</v>
      </c>
      <c r="B320" s="12">
        <v>3180</v>
      </c>
      <c r="C320" s="12">
        <v>31372</v>
      </c>
      <c r="D320">
        <f t="shared" si="9"/>
        <v>313.72000000000003</v>
      </c>
    </row>
    <row r="321" spans="1:4">
      <c r="A321">
        <f t="shared" si="8"/>
        <v>319</v>
      </c>
      <c r="B321" s="12">
        <v>3190</v>
      </c>
      <c r="C321" s="12">
        <v>31470</v>
      </c>
      <c r="D321">
        <f t="shared" si="9"/>
        <v>314.7</v>
      </c>
    </row>
    <row r="322" spans="1:4">
      <c r="A322">
        <f t="shared" si="8"/>
        <v>320</v>
      </c>
      <c r="B322" s="12">
        <v>3200</v>
      </c>
      <c r="C322" s="12">
        <v>31569</v>
      </c>
      <c r="D322">
        <f t="shared" si="9"/>
        <v>315.69</v>
      </c>
    </row>
    <row r="323" spans="1:4">
      <c r="A323">
        <f t="shared" ref="A323:A386" si="10">$B323/10</f>
        <v>321</v>
      </c>
      <c r="B323" s="12">
        <v>3210</v>
      </c>
      <c r="C323" s="12">
        <v>31667</v>
      </c>
      <c r="D323">
        <f t="shared" ref="D323:D386" si="11">$C323/100</f>
        <v>316.67</v>
      </c>
    </row>
    <row r="324" spans="1:4">
      <c r="A324">
        <f t="shared" si="10"/>
        <v>322</v>
      </c>
      <c r="B324" s="12">
        <v>3220</v>
      </c>
      <c r="C324" s="12">
        <v>31765</v>
      </c>
      <c r="D324">
        <f t="shared" si="11"/>
        <v>317.64999999999998</v>
      </c>
    </row>
    <row r="325" spans="1:4">
      <c r="A325">
        <f t="shared" si="10"/>
        <v>323</v>
      </c>
      <c r="B325" s="12">
        <v>3230</v>
      </c>
      <c r="C325" s="12">
        <v>31863</v>
      </c>
      <c r="D325">
        <f t="shared" si="11"/>
        <v>318.63</v>
      </c>
    </row>
    <row r="326" spans="1:4">
      <c r="A326">
        <f t="shared" si="10"/>
        <v>324</v>
      </c>
      <c r="B326" s="12">
        <v>3240</v>
      </c>
      <c r="C326" s="12">
        <v>31962</v>
      </c>
      <c r="D326">
        <f t="shared" si="11"/>
        <v>319.62</v>
      </c>
    </row>
    <row r="327" spans="1:4">
      <c r="A327">
        <f t="shared" si="10"/>
        <v>325</v>
      </c>
      <c r="B327" s="12">
        <v>3250</v>
      </c>
      <c r="C327" s="12">
        <v>32060</v>
      </c>
      <c r="D327">
        <f t="shared" si="11"/>
        <v>320.60000000000002</v>
      </c>
    </row>
    <row r="328" spans="1:4">
      <c r="A328">
        <f t="shared" si="10"/>
        <v>326</v>
      </c>
      <c r="B328" s="12">
        <v>3260</v>
      </c>
      <c r="C328" s="12">
        <v>32158</v>
      </c>
      <c r="D328">
        <f t="shared" si="11"/>
        <v>321.58</v>
      </c>
    </row>
    <row r="329" spans="1:4">
      <c r="A329">
        <f t="shared" si="10"/>
        <v>327</v>
      </c>
      <c r="B329" s="12">
        <v>3270</v>
      </c>
      <c r="C329" s="12">
        <v>32256</v>
      </c>
      <c r="D329">
        <f t="shared" si="11"/>
        <v>322.56</v>
      </c>
    </row>
    <row r="330" spans="1:4">
      <c r="A330">
        <f t="shared" si="10"/>
        <v>328</v>
      </c>
      <c r="B330" s="12">
        <v>3280</v>
      </c>
      <c r="C330" s="12">
        <v>32355</v>
      </c>
      <c r="D330">
        <f t="shared" si="11"/>
        <v>323.55</v>
      </c>
    </row>
    <row r="331" spans="1:4">
      <c r="A331">
        <f t="shared" si="10"/>
        <v>329</v>
      </c>
      <c r="B331" s="12">
        <v>3290</v>
      </c>
      <c r="C331" s="12">
        <v>32453</v>
      </c>
      <c r="D331">
        <f t="shared" si="11"/>
        <v>324.52999999999997</v>
      </c>
    </row>
    <row r="332" spans="1:4">
      <c r="A332">
        <f t="shared" si="10"/>
        <v>330</v>
      </c>
      <c r="B332" s="12">
        <v>3300</v>
      </c>
      <c r="C332" s="12">
        <v>32551</v>
      </c>
      <c r="D332">
        <f t="shared" si="11"/>
        <v>325.51</v>
      </c>
    </row>
    <row r="333" spans="1:4">
      <c r="A333">
        <f t="shared" si="10"/>
        <v>331</v>
      </c>
      <c r="B333" s="12">
        <v>3310</v>
      </c>
      <c r="C333" s="12">
        <v>32650</v>
      </c>
      <c r="D333">
        <f t="shared" si="11"/>
        <v>326.5</v>
      </c>
    </row>
    <row r="334" spans="1:4">
      <c r="A334">
        <f t="shared" si="10"/>
        <v>332</v>
      </c>
      <c r="B334" s="12">
        <v>3320</v>
      </c>
      <c r="C334" s="12">
        <v>32748</v>
      </c>
      <c r="D334">
        <f t="shared" si="11"/>
        <v>327.48</v>
      </c>
    </row>
    <row r="335" spans="1:4">
      <c r="A335">
        <f t="shared" si="10"/>
        <v>333</v>
      </c>
      <c r="B335" s="12">
        <v>3330</v>
      </c>
      <c r="C335" s="12">
        <v>32846</v>
      </c>
      <c r="D335">
        <f t="shared" si="11"/>
        <v>328.46</v>
      </c>
    </row>
    <row r="336" spans="1:4">
      <c r="A336">
        <f t="shared" si="10"/>
        <v>334</v>
      </c>
      <c r="B336" s="12">
        <v>3340</v>
      </c>
      <c r="C336" s="12">
        <v>32944</v>
      </c>
      <c r="D336">
        <f t="shared" si="11"/>
        <v>329.44</v>
      </c>
    </row>
    <row r="337" spans="1:4">
      <c r="A337">
        <f t="shared" si="10"/>
        <v>335</v>
      </c>
      <c r="B337" s="12">
        <v>3350</v>
      </c>
      <c r="C337" s="12">
        <v>33043</v>
      </c>
      <c r="D337">
        <f t="shared" si="11"/>
        <v>330.43</v>
      </c>
    </row>
    <row r="338" spans="1:4">
      <c r="A338">
        <f t="shared" si="10"/>
        <v>336</v>
      </c>
      <c r="B338" s="12">
        <v>3360</v>
      </c>
      <c r="C338" s="12">
        <v>33141</v>
      </c>
      <c r="D338">
        <f t="shared" si="11"/>
        <v>331.41</v>
      </c>
    </row>
    <row r="339" spans="1:4">
      <c r="A339">
        <f t="shared" si="10"/>
        <v>337</v>
      </c>
      <c r="B339" s="12">
        <v>3370</v>
      </c>
      <c r="C339" s="12">
        <v>33239</v>
      </c>
      <c r="D339">
        <f t="shared" si="11"/>
        <v>332.39</v>
      </c>
    </row>
    <row r="340" spans="1:4">
      <c r="A340">
        <f t="shared" si="10"/>
        <v>338</v>
      </c>
      <c r="B340" s="12">
        <v>3380</v>
      </c>
      <c r="C340" s="12">
        <v>33338</v>
      </c>
      <c r="D340">
        <f t="shared" si="11"/>
        <v>333.38</v>
      </c>
    </row>
    <row r="341" spans="1:4">
      <c r="A341">
        <f t="shared" si="10"/>
        <v>339</v>
      </c>
      <c r="B341" s="12">
        <v>3390</v>
      </c>
      <c r="C341" s="12">
        <v>33436</v>
      </c>
      <c r="D341">
        <f t="shared" si="11"/>
        <v>334.36</v>
      </c>
    </row>
    <row r="342" spans="1:4">
      <c r="A342">
        <f t="shared" si="10"/>
        <v>340</v>
      </c>
      <c r="B342" s="12">
        <v>3400</v>
      </c>
      <c r="C342" s="12">
        <v>33534</v>
      </c>
      <c r="D342">
        <f t="shared" si="11"/>
        <v>335.34</v>
      </c>
    </row>
    <row r="343" spans="1:4">
      <c r="A343">
        <f t="shared" si="10"/>
        <v>341</v>
      </c>
      <c r="B343" s="12">
        <v>3410</v>
      </c>
      <c r="C343" s="12">
        <v>33632</v>
      </c>
      <c r="D343">
        <f t="shared" si="11"/>
        <v>336.32</v>
      </c>
    </row>
    <row r="344" spans="1:4">
      <c r="A344">
        <f t="shared" si="10"/>
        <v>342</v>
      </c>
      <c r="B344" s="12">
        <v>3420</v>
      </c>
      <c r="C344" s="12">
        <v>33731</v>
      </c>
      <c r="D344">
        <f t="shared" si="11"/>
        <v>337.31</v>
      </c>
    </row>
    <row r="345" spans="1:4">
      <c r="A345">
        <f t="shared" si="10"/>
        <v>343</v>
      </c>
      <c r="B345" s="12">
        <v>3430</v>
      </c>
      <c r="C345" s="12">
        <v>33829</v>
      </c>
      <c r="D345">
        <f t="shared" si="11"/>
        <v>338.29</v>
      </c>
    </row>
    <row r="346" spans="1:4">
      <c r="A346">
        <f t="shared" si="10"/>
        <v>344</v>
      </c>
      <c r="B346" s="12">
        <v>3440</v>
      </c>
      <c r="C346" s="12">
        <v>33927</v>
      </c>
      <c r="D346">
        <f t="shared" si="11"/>
        <v>339.27</v>
      </c>
    </row>
    <row r="347" spans="1:4">
      <c r="A347">
        <f t="shared" si="10"/>
        <v>345</v>
      </c>
      <c r="B347" s="12">
        <v>3450</v>
      </c>
      <c r="C347" s="12">
        <v>34026</v>
      </c>
      <c r="D347">
        <f t="shared" si="11"/>
        <v>340.26</v>
      </c>
    </row>
    <row r="348" spans="1:4">
      <c r="A348">
        <f t="shared" si="10"/>
        <v>346</v>
      </c>
      <c r="B348" s="12">
        <v>3460</v>
      </c>
      <c r="C348" s="12">
        <v>34124</v>
      </c>
      <c r="D348">
        <f t="shared" si="11"/>
        <v>341.24</v>
      </c>
    </row>
    <row r="349" spans="1:4">
      <c r="A349">
        <f t="shared" si="10"/>
        <v>347</v>
      </c>
      <c r="B349" s="12">
        <v>3470</v>
      </c>
      <c r="C349" s="12">
        <v>34222</v>
      </c>
      <c r="D349">
        <f t="shared" si="11"/>
        <v>342.22</v>
      </c>
    </row>
    <row r="350" spans="1:4">
      <c r="A350">
        <f t="shared" si="10"/>
        <v>348</v>
      </c>
      <c r="B350" s="12">
        <v>3480</v>
      </c>
      <c r="C350" s="12">
        <v>34320</v>
      </c>
      <c r="D350">
        <f t="shared" si="11"/>
        <v>343.2</v>
      </c>
    </row>
    <row r="351" spans="1:4">
      <c r="A351">
        <f t="shared" si="10"/>
        <v>349</v>
      </c>
      <c r="B351" s="12">
        <v>3490</v>
      </c>
      <c r="C351" s="12">
        <v>34419</v>
      </c>
      <c r="D351">
        <f t="shared" si="11"/>
        <v>344.19</v>
      </c>
    </row>
    <row r="352" spans="1:4">
      <c r="A352">
        <f t="shared" si="10"/>
        <v>350</v>
      </c>
      <c r="B352" s="12">
        <v>3500</v>
      </c>
      <c r="C352" s="12">
        <v>34517</v>
      </c>
      <c r="D352">
        <f t="shared" si="11"/>
        <v>345.17</v>
      </c>
    </row>
    <row r="353" spans="1:4">
      <c r="A353">
        <f t="shared" si="10"/>
        <v>351</v>
      </c>
      <c r="B353" s="12">
        <v>3510</v>
      </c>
      <c r="C353" s="12">
        <v>34615</v>
      </c>
      <c r="D353">
        <f t="shared" si="11"/>
        <v>346.15</v>
      </c>
    </row>
    <row r="354" spans="1:4">
      <c r="A354">
        <f t="shared" si="10"/>
        <v>352</v>
      </c>
      <c r="B354" s="12">
        <v>3520</v>
      </c>
      <c r="C354" s="12">
        <v>34713</v>
      </c>
      <c r="D354">
        <f t="shared" si="11"/>
        <v>347.13</v>
      </c>
    </row>
    <row r="355" spans="1:4">
      <c r="A355">
        <f t="shared" si="10"/>
        <v>353</v>
      </c>
      <c r="B355" s="12">
        <v>3530</v>
      </c>
      <c r="C355" s="12">
        <v>34812</v>
      </c>
      <c r="D355">
        <f t="shared" si="11"/>
        <v>348.12</v>
      </c>
    </row>
    <row r="356" spans="1:4">
      <c r="A356">
        <f t="shared" si="10"/>
        <v>354</v>
      </c>
      <c r="B356" s="12">
        <v>3540</v>
      </c>
      <c r="C356" s="12">
        <v>34910</v>
      </c>
      <c r="D356">
        <f t="shared" si="11"/>
        <v>349.1</v>
      </c>
    </row>
    <row r="357" spans="1:4">
      <c r="A357">
        <f t="shared" si="10"/>
        <v>355</v>
      </c>
      <c r="B357" s="12">
        <v>3550</v>
      </c>
      <c r="C357" s="12">
        <v>35008</v>
      </c>
      <c r="D357">
        <f t="shared" si="11"/>
        <v>350.08</v>
      </c>
    </row>
    <row r="358" spans="1:4">
      <c r="A358">
        <f t="shared" si="10"/>
        <v>356</v>
      </c>
      <c r="B358" s="12">
        <v>3560</v>
      </c>
      <c r="C358" s="12">
        <v>35107</v>
      </c>
      <c r="D358">
        <f t="shared" si="11"/>
        <v>351.07</v>
      </c>
    </row>
    <row r="359" spans="1:4">
      <c r="A359">
        <f t="shared" si="10"/>
        <v>357</v>
      </c>
      <c r="B359" s="12">
        <v>3570</v>
      </c>
      <c r="C359" s="12">
        <v>35205</v>
      </c>
      <c r="D359">
        <f t="shared" si="11"/>
        <v>352.05</v>
      </c>
    </row>
    <row r="360" spans="1:4">
      <c r="A360">
        <f t="shared" si="10"/>
        <v>358</v>
      </c>
      <c r="B360" s="12">
        <v>3580</v>
      </c>
      <c r="C360" s="12">
        <v>35303</v>
      </c>
      <c r="D360">
        <f t="shared" si="11"/>
        <v>353.03</v>
      </c>
    </row>
    <row r="361" spans="1:4">
      <c r="A361">
        <f t="shared" si="10"/>
        <v>359</v>
      </c>
      <c r="B361" s="12">
        <v>3590</v>
      </c>
      <c r="C361" s="12">
        <v>35401</v>
      </c>
      <c r="D361">
        <f t="shared" si="11"/>
        <v>354.01</v>
      </c>
    </row>
    <row r="362" spans="1:4">
      <c r="A362">
        <f t="shared" si="10"/>
        <v>360</v>
      </c>
      <c r="B362" s="12">
        <v>3600</v>
      </c>
      <c r="C362" s="12">
        <v>35500</v>
      </c>
      <c r="D362">
        <f t="shared" si="11"/>
        <v>355</v>
      </c>
    </row>
    <row r="363" spans="1:4">
      <c r="A363">
        <f t="shared" si="10"/>
        <v>361</v>
      </c>
      <c r="B363" s="12">
        <v>3610</v>
      </c>
      <c r="C363" s="12">
        <v>35598</v>
      </c>
      <c r="D363">
        <f t="shared" si="11"/>
        <v>355.98</v>
      </c>
    </row>
    <row r="364" spans="1:4">
      <c r="A364">
        <f t="shared" si="10"/>
        <v>362</v>
      </c>
      <c r="B364" s="12">
        <v>3620</v>
      </c>
      <c r="C364" s="12">
        <v>35696</v>
      </c>
      <c r="D364">
        <f t="shared" si="11"/>
        <v>356.96</v>
      </c>
    </row>
    <row r="365" spans="1:4">
      <c r="A365">
        <f t="shared" si="10"/>
        <v>363</v>
      </c>
      <c r="B365" s="12">
        <v>3630</v>
      </c>
      <c r="C365" s="12">
        <v>35795</v>
      </c>
      <c r="D365">
        <f t="shared" si="11"/>
        <v>357.95</v>
      </c>
    </row>
    <row r="366" spans="1:4">
      <c r="A366">
        <f t="shared" si="10"/>
        <v>364</v>
      </c>
      <c r="B366" s="12">
        <v>3640</v>
      </c>
      <c r="C366" s="12">
        <v>35893</v>
      </c>
      <c r="D366">
        <f t="shared" si="11"/>
        <v>358.93</v>
      </c>
    </row>
    <row r="367" spans="1:4">
      <c r="A367">
        <f t="shared" si="10"/>
        <v>365</v>
      </c>
      <c r="B367" s="12">
        <v>3650</v>
      </c>
      <c r="C367" s="12">
        <v>35991</v>
      </c>
      <c r="D367">
        <f t="shared" si="11"/>
        <v>359.91</v>
      </c>
    </row>
    <row r="368" spans="1:4">
      <c r="A368">
        <f t="shared" si="10"/>
        <v>366</v>
      </c>
      <c r="B368" s="12">
        <v>3660</v>
      </c>
      <c r="C368" s="12">
        <v>36089</v>
      </c>
      <c r="D368">
        <f t="shared" si="11"/>
        <v>360.89</v>
      </c>
    </row>
    <row r="369" spans="1:4">
      <c r="A369">
        <f t="shared" si="10"/>
        <v>367</v>
      </c>
      <c r="B369" s="12">
        <v>3670</v>
      </c>
      <c r="C369" s="12">
        <v>36188</v>
      </c>
      <c r="D369">
        <f t="shared" si="11"/>
        <v>361.88</v>
      </c>
    </row>
    <row r="370" spans="1:4">
      <c r="A370">
        <f t="shared" si="10"/>
        <v>368</v>
      </c>
      <c r="B370" s="12">
        <v>3680</v>
      </c>
      <c r="C370" s="12">
        <v>36286</v>
      </c>
      <c r="D370">
        <f t="shared" si="11"/>
        <v>362.86</v>
      </c>
    </row>
    <row r="371" spans="1:4">
      <c r="A371">
        <f t="shared" si="10"/>
        <v>369</v>
      </c>
      <c r="B371" s="12">
        <v>3690</v>
      </c>
      <c r="C371" s="12">
        <v>36384</v>
      </c>
      <c r="D371">
        <f t="shared" si="11"/>
        <v>363.84</v>
      </c>
    </row>
    <row r="372" spans="1:4">
      <c r="A372">
        <f t="shared" si="10"/>
        <v>370</v>
      </c>
      <c r="B372" s="12">
        <v>3700</v>
      </c>
      <c r="C372" s="12">
        <v>36483</v>
      </c>
      <c r="D372">
        <f t="shared" si="11"/>
        <v>364.83</v>
      </c>
    </row>
    <row r="373" spans="1:4">
      <c r="A373">
        <f t="shared" si="10"/>
        <v>371</v>
      </c>
      <c r="B373" s="12">
        <v>3710</v>
      </c>
      <c r="C373" s="12">
        <v>36581</v>
      </c>
      <c r="D373">
        <f t="shared" si="11"/>
        <v>365.81</v>
      </c>
    </row>
    <row r="374" spans="1:4">
      <c r="A374">
        <f t="shared" si="10"/>
        <v>372</v>
      </c>
      <c r="B374" s="12">
        <v>3720</v>
      </c>
      <c r="C374" s="12">
        <v>36679</v>
      </c>
      <c r="D374">
        <f t="shared" si="11"/>
        <v>366.79</v>
      </c>
    </row>
    <row r="375" spans="1:4">
      <c r="A375">
        <f t="shared" si="10"/>
        <v>373</v>
      </c>
      <c r="B375" s="12">
        <v>3730</v>
      </c>
      <c r="C375" s="12">
        <v>36777</v>
      </c>
      <c r="D375">
        <f t="shared" si="11"/>
        <v>367.77</v>
      </c>
    </row>
    <row r="376" spans="1:4">
      <c r="A376">
        <f t="shared" si="10"/>
        <v>374</v>
      </c>
      <c r="B376" s="12">
        <v>3740</v>
      </c>
      <c r="C376" s="12">
        <v>36876</v>
      </c>
      <c r="D376">
        <f t="shared" si="11"/>
        <v>368.76</v>
      </c>
    </row>
    <row r="377" spans="1:4">
      <c r="A377">
        <f t="shared" si="10"/>
        <v>375</v>
      </c>
      <c r="B377" s="12">
        <v>3750</v>
      </c>
      <c r="C377" s="12">
        <v>36974</v>
      </c>
      <c r="D377">
        <f t="shared" si="11"/>
        <v>369.74</v>
      </c>
    </row>
    <row r="378" spans="1:4">
      <c r="A378">
        <f t="shared" si="10"/>
        <v>376</v>
      </c>
      <c r="B378" s="12">
        <v>3760</v>
      </c>
      <c r="C378" s="12">
        <v>37072</v>
      </c>
      <c r="D378">
        <f t="shared" si="11"/>
        <v>370.72</v>
      </c>
    </row>
    <row r="379" spans="1:4">
      <c r="A379">
        <f t="shared" si="10"/>
        <v>377</v>
      </c>
      <c r="B379" s="12">
        <v>3770</v>
      </c>
      <c r="C379" s="12">
        <v>37170</v>
      </c>
      <c r="D379">
        <f t="shared" si="11"/>
        <v>371.7</v>
      </c>
    </row>
    <row r="380" spans="1:4">
      <c r="A380">
        <f t="shared" si="10"/>
        <v>378</v>
      </c>
      <c r="B380" s="12">
        <v>3780</v>
      </c>
      <c r="C380" s="12">
        <v>37269</v>
      </c>
      <c r="D380">
        <f t="shared" si="11"/>
        <v>372.69</v>
      </c>
    </row>
    <row r="381" spans="1:4">
      <c r="A381">
        <f t="shared" si="10"/>
        <v>379</v>
      </c>
      <c r="B381" s="12">
        <v>3790</v>
      </c>
      <c r="C381" s="12">
        <v>37367</v>
      </c>
      <c r="D381">
        <f t="shared" si="11"/>
        <v>373.67</v>
      </c>
    </row>
    <row r="382" spans="1:4">
      <c r="A382">
        <f t="shared" si="10"/>
        <v>380</v>
      </c>
      <c r="B382" s="12">
        <v>3800</v>
      </c>
      <c r="C382" s="12">
        <v>37465</v>
      </c>
      <c r="D382">
        <f t="shared" si="11"/>
        <v>374.65</v>
      </c>
    </row>
    <row r="383" spans="1:4">
      <c r="A383">
        <f t="shared" si="10"/>
        <v>381</v>
      </c>
      <c r="B383" s="12">
        <v>3810</v>
      </c>
      <c r="C383" s="12">
        <v>37564</v>
      </c>
      <c r="D383">
        <f t="shared" si="11"/>
        <v>375.64</v>
      </c>
    </row>
    <row r="384" spans="1:4">
      <c r="A384">
        <f t="shared" si="10"/>
        <v>382</v>
      </c>
      <c r="B384" s="12">
        <v>3820</v>
      </c>
      <c r="C384" s="12">
        <v>37662</v>
      </c>
      <c r="D384">
        <f t="shared" si="11"/>
        <v>376.62</v>
      </c>
    </row>
    <row r="385" spans="1:4">
      <c r="A385">
        <f t="shared" si="10"/>
        <v>383</v>
      </c>
      <c r="B385" s="12">
        <v>3830</v>
      </c>
      <c r="C385" s="12">
        <v>37760</v>
      </c>
      <c r="D385">
        <f t="shared" si="11"/>
        <v>377.6</v>
      </c>
    </row>
    <row r="386" spans="1:4">
      <c r="A386">
        <f t="shared" si="10"/>
        <v>384</v>
      </c>
      <c r="B386" s="12">
        <v>3840</v>
      </c>
      <c r="C386" s="12">
        <v>37858</v>
      </c>
      <c r="D386">
        <f t="shared" si="11"/>
        <v>378.58</v>
      </c>
    </row>
    <row r="387" spans="1:4">
      <c r="A387">
        <f t="shared" ref="A387:A450" si="12">$B387/10</f>
        <v>385</v>
      </c>
      <c r="B387" s="12">
        <v>3850</v>
      </c>
      <c r="C387" s="12">
        <v>37957</v>
      </c>
      <c r="D387">
        <f t="shared" ref="D387:D450" si="13">$C387/100</f>
        <v>379.57</v>
      </c>
    </row>
    <row r="388" spans="1:4">
      <c r="A388">
        <f t="shared" si="12"/>
        <v>386</v>
      </c>
      <c r="B388" s="12">
        <v>3860</v>
      </c>
      <c r="C388" s="12">
        <v>38055</v>
      </c>
      <c r="D388">
        <f t="shared" si="13"/>
        <v>380.55</v>
      </c>
    </row>
    <row r="389" spans="1:4">
      <c r="A389">
        <f t="shared" si="12"/>
        <v>387</v>
      </c>
      <c r="B389" s="12">
        <v>3870</v>
      </c>
      <c r="C389" s="12">
        <v>38153</v>
      </c>
      <c r="D389">
        <f t="shared" si="13"/>
        <v>381.53</v>
      </c>
    </row>
    <row r="390" spans="1:4">
      <c r="A390">
        <f t="shared" si="12"/>
        <v>388</v>
      </c>
      <c r="B390" s="12">
        <v>3880</v>
      </c>
      <c r="C390" s="12">
        <v>38252</v>
      </c>
      <c r="D390">
        <f t="shared" si="13"/>
        <v>382.52</v>
      </c>
    </row>
    <row r="391" spans="1:4">
      <c r="A391">
        <f t="shared" si="12"/>
        <v>389</v>
      </c>
      <c r="B391" s="12">
        <v>3890</v>
      </c>
      <c r="C391" s="12">
        <v>38350</v>
      </c>
      <c r="D391">
        <f t="shared" si="13"/>
        <v>383.5</v>
      </c>
    </row>
    <row r="392" spans="1:4">
      <c r="A392">
        <f t="shared" si="12"/>
        <v>390</v>
      </c>
      <c r="B392" s="12">
        <v>3900</v>
      </c>
      <c r="C392" s="12">
        <v>38448</v>
      </c>
      <c r="D392">
        <f t="shared" si="13"/>
        <v>384.48</v>
      </c>
    </row>
    <row r="393" spans="1:4">
      <c r="A393">
        <f t="shared" si="12"/>
        <v>391</v>
      </c>
      <c r="B393" s="12">
        <v>3910</v>
      </c>
      <c r="C393" s="12">
        <v>38546</v>
      </c>
      <c r="D393">
        <f t="shared" si="13"/>
        <v>385.46</v>
      </c>
    </row>
    <row r="394" spans="1:4">
      <c r="A394">
        <f t="shared" si="12"/>
        <v>392</v>
      </c>
      <c r="B394" s="12">
        <v>3920</v>
      </c>
      <c r="C394" s="12">
        <v>38645</v>
      </c>
      <c r="D394">
        <f t="shared" si="13"/>
        <v>386.45</v>
      </c>
    </row>
    <row r="395" spans="1:4">
      <c r="A395">
        <f t="shared" si="12"/>
        <v>393</v>
      </c>
      <c r="B395" s="12">
        <v>3930</v>
      </c>
      <c r="C395" s="12">
        <v>38743</v>
      </c>
      <c r="D395">
        <f t="shared" si="13"/>
        <v>387.43</v>
      </c>
    </row>
    <row r="396" spans="1:4">
      <c r="A396">
        <f t="shared" si="12"/>
        <v>394</v>
      </c>
      <c r="B396" s="12">
        <v>3940</v>
      </c>
      <c r="C396" s="12">
        <v>38841</v>
      </c>
      <c r="D396">
        <f t="shared" si="13"/>
        <v>388.41</v>
      </c>
    </row>
    <row r="397" spans="1:4">
      <c r="A397">
        <f t="shared" si="12"/>
        <v>395</v>
      </c>
      <c r="B397" s="12">
        <v>3950</v>
      </c>
      <c r="C397" s="12">
        <v>38940</v>
      </c>
      <c r="D397">
        <f t="shared" si="13"/>
        <v>389.4</v>
      </c>
    </row>
    <row r="398" spans="1:4">
      <c r="A398">
        <f t="shared" si="12"/>
        <v>396</v>
      </c>
      <c r="B398" s="12">
        <v>3960</v>
      </c>
      <c r="C398" s="12">
        <v>39038</v>
      </c>
      <c r="D398">
        <f t="shared" si="13"/>
        <v>390.38</v>
      </c>
    </row>
    <row r="399" spans="1:4">
      <c r="A399">
        <f t="shared" si="12"/>
        <v>397</v>
      </c>
      <c r="B399" s="12">
        <v>3970</v>
      </c>
      <c r="C399" s="12">
        <v>39136</v>
      </c>
      <c r="D399">
        <f t="shared" si="13"/>
        <v>391.36</v>
      </c>
    </row>
    <row r="400" spans="1:4">
      <c r="A400">
        <f t="shared" si="12"/>
        <v>398</v>
      </c>
      <c r="B400" s="12">
        <v>3980</v>
      </c>
      <c r="C400" s="12">
        <v>39234</v>
      </c>
      <c r="D400">
        <f t="shared" si="13"/>
        <v>392.34</v>
      </c>
    </row>
    <row r="401" spans="1:4">
      <c r="A401">
        <f t="shared" si="12"/>
        <v>399</v>
      </c>
      <c r="B401" s="12">
        <v>3990</v>
      </c>
      <c r="C401" s="12">
        <v>39333</v>
      </c>
      <c r="D401">
        <f t="shared" si="13"/>
        <v>393.33</v>
      </c>
    </row>
    <row r="402" spans="1:4">
      <c r="A402">
        <f t="shared" si="12"/>
        <v>400</v>
      </c>
      <c r="B402" s="12">
        <v>4000</v>
      </c>
      <c r="C402" s="12">
        <v>39431</v>
      </c>
      <c r="D402">
        <f t="shared" si="13"/>
        <v>394.31</v>
      </c>
    </row>
    <row r="403" spans="1:4">
      <c r="A403">
        <f t="shared" si="12"/>
        <v>401</v>
      </c>
      <c r="B403" s="12">
        <v>4010</v>
      </c>
      <c r="C403" s="12">
        <v>39529</v>
      </c>
      <c r="D403">
        <f t="shared" si="13"/>
        <v>395.29</v>
      </c>
    </row>
    <row r="404" spans="1:4">
      <c r="A404">
        <f t="shared" si="12"/>
        <v>402</v>
      </c>
      <c r="B404" s="12">
        <v>4020</v>
      </c>
      <c r="C404" s="12">
        <v>39627</v>
      </c>
      <c r="D404">
        <f t="shared" si="13"/>
        <v>396.27</v>
      </c>
    </row>
    <row r="405" spans="1:4">
      <c r="A405">
        <f t="shared" si="12"/>
        <v>403</v>
      </c>
      <c r="B405" s="12">
        <v>4030</v>
      </c>
      <c r="C405" s="12">
        <v>39726</v>
      </c>
      <c r="D405">
        <f t="shared" si="13"/>
        <v>397.26</v>
      </c>
    </row>
    <row r="406" spans="1:4">
      <c r="A406">
        <f t="shared" si="12"/>
        <v>404</v>
      </c>
      <c r="B406" s="12">
        <v>4040</v>
      </c>
      <c r="C406" s="12">
        <v>39824</v>
      </c>
      <c r="D406">
        <f t="shared" si="13"/>
        <v>398.24</v>
      </c>
    </row>
    <row r="407" spans="1:4">
      <c r="A407">
        <f t="shared" si="12"/>
        <v>405</v>
      </c>
      <c r="B407" s="12">
        <v>4050</v>
      </c>
      <c r="C407" s="12">
        <v>39922</v>
      </c>
      <c r="D407">
        <f t="shared" si="13"/>
        <v>399.22</v>
      </c>
    </row>
    <row r="408" spans="1:4">
      <c r="A408">
        <f t="shared" si="12"/>
        <v>406</v>
      </c>
      <c r="B408" s="12">
        <v>4060</v>
      </c>
      <c r="C408" s="12">
        <v>40021</v>
      </c>
      <c r="D408">
        <f t="shared" si="13"/>
        <v>400.21</v>
      </c>
    </row>
    <row r="409" spans="1:4">
      <c r="A409">
        <f t="shared" si="12"/>
        <v>407</v>
      </c>
      <c r="B409" s="12">
        <v>4070</v>
      </c>
      <c r="C409" s="12">
        <v>40119</v>
      </c>
      <c r="D409">
        <f t="shared" si="13"/>
        <v>401.19</v>
      </c>
    </row>
    <row r="410" spans="1:4">
      <c r="A410">
        <f t="shared" si="12"/>
        <v>408</v>
      </c>
      <c r="B410" s="12">
        <v>4080</v>
      </c>
      <c r="C410" s="12">
        <v>40217</v>
      </c>
      <c r="D410">
        <f t="shared" si="13"/>
        <v>402.17</v>
      </c>
    </row>
    <row r="411" spans="1:4">
      <c r="A411">
        <f t="shared" si="12"/>
        <v>409</v>
      </c>
      <c r="B411" s="12">
        <v>4090</v>
      </c>
      <c r="C411" s="12">
        <v>40315</v>
      </c>
      <c r="D411">
        <f t="shared" si="13"/>
        <v>403.15</v>
      </c>
    </row>
    <row r="412" spans="1:4">
      <c r="A412">
        <f t="shared" si="12"/>
        <v>410</v>
      </c>
      <c r="B412" s="12">
        <v>4100</v>
      </c>
      <c r="C412" s="12">
        <v>40414</v>
      </c>
      <c r="D412">
        <f t="shared" si="13"/>
        <v>404.14</v>
      </c>
    </row>
    <row r="413" spans="1:4">
      <c r="A413">
        <f t="shared" si="12"/>
        <v>411</v>
      </c>
      <c r="B413" s="12">
        <v>4110</v>
      </c>
      <c r="C413" s="12">
        <v>40512</v>
      </c>
      <c r="D413">
        <f t="shared" si="13"/>
        <v>405.12</v>
      </c>
    </row>
    <row r="414" spans="1:4">
      <c r="A414">
        <f t="shared" si="12"/>
        <v>412</v>
      </c>
      <c r="B414" s="12">
        <v>4120</v>
      </c>
      <c r="C414" s="12">
        <v>40610</v>
      </c>
      <c r="D414">
        <f t="shared" si="13"/>
        <v>406.1</v>
      </c>
    </row>
    <row r="415" spans="1:4">
      <c r="A415">
        <f t="shared" si="12"/>
        <v>413</v>
      </c>
      <c r="B415" s="12">
        <v>4130</v>
      </c>
      <c r="C415" s="12">
        <v>40709</v>
      </c>
      <c r="D415">
        <f t="shared" si="13"/>
        <v>407.09</v>
      </c>
    </row>
    <row r="416" spans="1:4">
      <c r="A416">
        <f t="shared" si="12"/>
        <v>414</v>
      </c>
      <c r="B416" s="12">
        <v>4140</v>
      </c>
      <c r="C416" s="12">
        <v>40807</v>
      </c>
      <c r="D416">
        <f t="shared" si="13"/>
        <v>408.07</v>
      </c>
    </row>
    <row r="417" spans="1:4">
      <c r="A417">
        <f t="shared" si="12"/>
        <v>415</v>
      </c>
      <c r="B417" s="12">
        <v>4150</v>
      </c>
      <c r="C417" s="12">
        <v>40905</v>
      </c>
      <c r="D417">
        <f t="shared" si="13"/>
        <v>409.05</v>
      </c>
    </row>
    <row r="418" spans="1:4">
      <c r="A418">
        <f t="shared" si="12"/>
        <v>416</v>
      </c>
      <c r="B418" s="12">
        <v>4160</v>
      </c>
      <c r="C418" s="12">
        <v>41003</v>
      </c>
      <c r="D418">
        <f t="shared" si="13"/>
        <v>410.03</v>
      </c>
    </row>
    <row r="419" spans="1:4">
      <c r="A419">
        <f t="shared" si="12"/>
        <v>417</v>
      </c>
      <c r="B419" s="12">
        <v>4170</v>
      </c>
      <c r="C419" s="12">
        <v>41102</v>
      </c>
      <c r="D419">
        <f t="shared" si="13"/>
        <v>411.02</v>
      </c>
    </row>
    <row r="420" spans="1:4">
      <c r="A420">
        <f t="shared" si="12"/>
        <v>418</v>
      </c>
      <c r="B420" s="12">
        <v>4180</v>
      </c>
      <c r="C420" s="12">
        <v>41200</v>
      </c>
      <c r="D420">
        <f t="shared" si="13"/>
        <v>412</v>
      </c>
    </row>
    <row r="421" spans="1:4">
      <c r="A421">
        <f t="shared" si="12"/>
        <v>419</v>
      </c>
      <c r="B421" s="12">
        <v>4190</v>
      </c>
      <c r="C421" s="12">
        <v>41298</v>
      </c>
      <c r="D421">
        <f t="shared" si="13"/>
        <v>412.98</v>
      </c>
    </row>
    <row r="422" spans="1:4">
      <c r="A422">
        <f t="shared" si="12"/>
        <v>420</v>
      </c>
      <c r="B422" s="12">
        <v>4200</v>
      </c>
      <c r="C422" s="12">
        <v>41397</v>
      </c>
      <c r="D422">
        <f t="shared" si="13"/>
        <v>413.97</v>
      </c>
    </row>
    <row r="423" spans="1:4">
      <c r="A423">
        <f t="shared" si="12"/>
        <v>421</v>
      </c>
      <c r="B423" s="12">
        <v>4210</v>
      </c>
      <c r="C423" s="12">
        <v>41495</v>
      </c>
      <c r="D423">
        <f t="shared" si="13"/>
        <v>414.95</v>
      </c>
    </row>
    <row r="424" spans="1:4">
      <c r="A424">
        <f t="shared" si="12"/>
        <v>422</v>
      </c>
      <c r="B424" s="12">
        <v>4220</v>
      </c>
      <c r="C424" s="12">
        <v>41593</v>
      </c>
      <c r="D424">
        <f t="shared" si="13"/>
        <v>415.93</v>
      </c>
    </row>
    <row r="425" spans="1:4">
      <c r="A425">
        <f t="shared" si="12"/>
        <v>423</v>
      </c>
      <c r="B425" s="12">
        <v>4230</v>
      </c>
      <c r="C425" s="12">
        <v>41691</v>
      </c>
      <c r="D425">
        <f t="shared" si="13"/>
        <v>416.91</v>
      </c>
    </row>
    <row r="426" spans="1:4">
      <c r="A426">
        <f t="shared" si="12"/>
        <v>424</v>
      </c>
      <c r="B426" s="12">
        <v>4240</v>
      </c>
      <c r="C426" s="12">
        <v>41790</v>
      </c>
      <c r="D426">
        <f t="shared" si="13"/>
        <v>417.9</v>
      </c>
    </row>
    <row r="427" spans="1:4">
      <c r="A427">
        <f t="shared" si="12"/>
        <v>425</v>
      </c>
      <c r="B427" s="12">
        <v>4250</v>
      </c>
      <c r="C427" s="12">
        <v>41888</v>
      </c>
      <c r="D427">
        <f t="shared" si="13"/>
        <v>418.88</v>
      </c>
    </row>
    <row r="428" spans="1:4">
      <c r="A428">
        <f t="shared" si="12"/>
        <v>426</v>
      </c>
      <c r="B428" s="12">
        <v>4260</v>
      </c>
      <c r="C428" s="12">
        <v>41986</v>
      </c>
      <c r="D428">
        <f t="shared" si="13"/>
        <v>419.86</v>
      </c>
    </row>
    <row r="429" spans="1:4">
      <c r="A429">
        <f t="shared" si="12"/>
        <v>427</v>
      </c>
      <c r="B429" s="12">
        <v>4270</v>
      </c>
      <c r="C429" s="12">
        <v>42084</v>
      </c>
      <c r="D429">
        <f t="shared" si="13"/>
        <v>420.84</v>
      </c>
    </row>
    <row r="430" spans="1:4">
      <c r="A430">
        <f t="shared" si="12"/>
        <v>428</v>
      </c>
      <c r="B430" s="12">
        <v>4280</v>
      </c>
      <c r="C430" s="12">
        <v>42183</v>
      </c>
      <c r="D430">
        <f t="shared" si="13"/>
        <v>421.83</v>
      </c>
    </row>
    <row r="431" spans="1:4">
      <c r="A431">
        <f t="shared" si="12"/>
        <v>429</v>
      </c>
      <c r="B431" s="12">
        <v>4290</v>
      </c>
      <c r="C431" s="12">
        <v>42281</v>
      </c>
      <c r="D431">
        <f t="shared" si="13"/>
        <v>422.81</v>
      </c>
    </row>
    <row r="432" spans="1:4">
      <c r="A432">
        <f t="shared" si="12"/>
        <v>430</v>
      </c>
      <c r="B432" s="12">
        <v>4300</v>
      </c>
      <c r="C432" s="12">
        <v>42379</v>
      </c>
      <c r="D432">
        <f t="shared" si="13"/>
        <v>423.79</v>
      </c>
    </row>
    <row r="433" spans="1:4">
      <c r="A433">
        <f t="shared" si="12"/>
        <v>431</v>
      </c>
      <c r="B433" s="12">
        <v>4310</v>
      </c>
      <c r="C433" s="12">
        <v>42478</v>
      </c>
      <c r="D433">
        <f t="shared" si="13"/>
        <v>424.78</v>
      </c>
    </row>
    <row r="434" spans="1:4">
      <c r="A434">
        <f t="shared" si="12"/>
        <v>432</v>
      </c>
      <c r="B434" s="12">
        <v>4320</v>
      </c>
      <c r="C434" s="12">
        <v>42576</v>
      </c>
      <c r="D434">
        <f t="shared" si="13"/>
        <v>425.76</v>
      </c>
    </row>
    <row r="435" spans="1:4">
      <c r="A435">
        <f t="shared" si="12"/>
        <v>433</v>
      </c>
      <c r="B435" s="12">
        <v>4330</v>
      </c>
      <c r="C435" s="12">
        <v>42674</v>
      </c>
      <c r="D435">
        <f t="shared" si="13"/>
        <v>426.74</v>
      </c>
    </row>
    <row r="436" spans="1:4">
      <c r="A436">
        <f t="shared" si="12"/>
        <v>434</v>
      </c>
      <c r="B436" s="12">
        <v>4340</v>
      </c>
      <c r="C436" s="12">
        <v>42772</v>
      </c>
      <c r="D436">
        <f t="shared" si="13"/>
        <v>427.72</v>
      </c>
    </row>
    <row r="437" spans="1:4">
      <c r="A437">
        <f t="shared" si="12"/>
        <v>435</v>
      </c>
      <c r="B437" s="12">
        <v>4350</v>
      </c>
      <c r="C437" s="12">
        <v>42871</v>
      </c>
      <c r="D437">
        <f t="shared" si="13"/>
        <v>428.71</v>
      </c>
    </row>
    <row r="438" spans="1:4">
      <c r="A438">
        <f t="shared" si="12"/>
        <v>436</v>
      </c>
      <c r="B438" s="12">
        <v>4360</v>
      </c>
      <c r="C438" s="12">
        <v>42969</v>
      </c>
      <c r="D438">
        <f t="shared" si="13"/>
        <v>429.69</v>
      </c>
    </row>
    <row r="439" spans="1:4">
      <c r="A439">
        <f t="shared" si="12"/>
        <v>437</v>
      </c>
      <c r="B439" s="12">
        <v>4370</v>
      </c>
      <c r="C439" s="12">
        <v>43067</v>
      </c>
      <c r="D439">
        <f t="shared" si="13"/>
        <v>430.67</v>
      </c>
    </row>
    <row r="440" spans="1:4">
      <c r="A440">
        <f t="shared" si="12"/>
        <v>438</v>
      </c>
      <c r="B440" s="12">
        <v>4380</v>
      </c>
      <c r="C440" s="12">
        <v>43166</v>
      </c>
      <c r="D440">
        <f t="shared" si="13"/>
        <v>431.66</v>
      </c>
    </row>
    <row r="441" spans="1:4">
      <c r="A441">
        <f t="shared" si="12"/>
        <v>439</v>
      </c>
      <c r="B441" s="12">
        <v>4390</v>
      </c>
      <c r="C441" s="12">
        <v>43264</v>
      </c>
      <c r="D441">
        <f t="shared" si="13"/>
        <v>432.64</v>
      </c>
    </row>
    <row r="442" spans="1:4">
      <c r="A442">
        <f t="shared" si="12"/>
        <v>440</v>
      </c>
      <c r="B442" s="12">
        <v>4400</v>
      </c>
      <c r="C442" s="12">
        <v>43362</v>
      </c>
      <c r="D442">
        <f t="shared" si="13"/>
        <v>433.62</v>
      </c>
    </row>
    <row r="443" spans="1:4">
      <c r="A443">
        <f t="shared" si="12"/>
        <v>441</v>
      </c>
      <c r="B443" s="12">
        <v>4410</v>
      </c>
      <c r="C443" s="12">
        <v>43460</v>
      </c>
      <c r="D443">
        <f t="shared" si="13"/>
        <v>434.6</v>
      </c>
    </row>
    <row r="444" spans="1:4">
      <c r="A444">
        <f t="shared" si="12"/>
        <v>442</v>
      </c>
      <c r="B444" s="12">
        <v>4420</v>
      </c>
      <c r="C444" s="12">
        <v>43559</v>
      </c>
      <c r="D444">
        <f t="shared" si="13"/>
        <v>435.59</v>
      </c>
    </row>
    <row r="445" spans="1:4">
      <c r="A445">
        <f t="shared" si="12"/>
        <v>443</v>
      </c>
      <c r="B445" s="12">
        <v>4430</v>
      </c>
      <c r="C445" s="12">
        <v>43657</v>
      </c>
      <c r="D445">
        <f t="shared" si="13"/>
        <v>436.57</v>
      </c>
    </row>
    <row r="446" spans="1:4">
      <c r="A446">
        <f t="shared" si="12"/>
        <v>444</v>
      </c>
      <c r="B446" s="12">
        <v>4440</v>
      </c>
      <c r="C446" s="12">
        <v>43755</v>
      </c>
      <c r="D446">
        <f t="shared" si="13"/>
        <v>437.55</v>
      </c>
    </row>
    <row r="447" spans="1:4">
      <c r="A447">
        <f t="shared" si="12"/>
        <v>445</v>
      </c>
      <c r="B447" s="12">
        <v>4450</v>
      </c>
      <c r="C447" s="12">
        <v>43854</v>
      </c>
      <c r="D447">
        <f t="shared" si="13"/>
        <v>438.54</v>
      </c>
    </row>
    <row r="448" spans="1:4">
      <c r="A448">
        <f t="shared" si="12"/>
        <v>446</v>
      </c>
      <c r="B448" s="12">
        <v>4460</v>
      </c>
      <c r="C448" s="12">
        <v>43952</v>
      </c>
      <c r="D448">
        <f t="shared" si="13"/>
        <v>439.52</v>
      </c>
    </row>
    <row r="449" spans="1:4">
      <c r="A449">
        <f t="shared" si="12"/>
        <v>447</v>
      </c>
      <c r="B449" s="12">
        <v>4470</v>
      </c>
      <c r="C449" s="12">
        <v>44050</v>
      </c>
      <c r="D449">
        <f t="shared" si="13"/>
        <v>440.5</v>
      </c>
    </row>
    <row r="450" spans="1:4">
      <c r="A450">
        <f t="shared" si="12"/>
        <v>448</v>
      </c>
      <c r="B450" s="12">
        <v>4480</v>
      </c>
      <c r="C450" s="12">
        <v>44148</v>
      </c>
      <c r="D450">
        <f t="shared" si="13"/>
        <v>441.48</v>
      </c>
    </row>
    <row r="451" spans="1:4">
      <c r="A451">
        <f t="shared" ref="A451:A514" si="14">$B451/10</f>
        <v>449</v>
      </c>
      <c r="B451" s="12">
        <v>4490</v>
      </c>
      <c r="C451" s="12">
        <v>44247</v>
      </c>
      <c r="D451">
        <f t="shared" ref="D451:D514" si="15">$C451/100</f>
        <v>442.47</v>
      </c>
    </row>
    <row r="452" spans="1:4">
      <c r="A452">
        <f t="shared" si="14"/>
        <v>450</v>
      </c>
      <c r="B452" s="12">
        <v>4500</v>
      </c>
      <c r="C452" s="12">
        <v>44345</v>
      </c>
      <c r="D452">
        <f t="shared" si="15"/>
        <v>443.45</v>
      </c>
    </row>
    <row r="453" spans="1:4">
      <c r="A453">
        <f t="shared" si="14"/>
        <v>451</v>
      </c>
      <c r="B453" s="12">
        <v>4510</v>
      </c>
      <c r="C453" s="12">
        <v>44443</v>
      </c>
      <c r="D453">
        <f t="shared" si="15"/>
        <v>444.43</v>
      </c>
    </row>
    <row r="454" spans="1:4">
      <c r="A454">
        <f t="shared" si="14"/>
        <v>452</v>
      </c>
      <c r="B454" s="12">
        <v>4520</v>
      </c>
      <c r="C454" s="12">
        <v>44541</v>
      </c>
      <c r="D454">
        <f t="shared" si="15"/>
        <v>445.41</v>
      </c>
    </row>
    <row r="455" spans="1:4">
      <c r="A455">
        <f t="shared" si="14"/>
        <v>453</v>
      </c>
      <c r="B455" s="12">
        <v>4530</v>
      </c>
      <c r="C455" s="12">
        <v>44640</v>
      </c>
      <c r="D455">
        <f t="shared" si="15"/>
        <v>446.4</v>
      </c>
    </row>
    <row r="456" spans="1:4">
      <c r="A456">
        <f t="shared" si="14"/>
        <v>454</v>
      </c>
      <c r="B456" s="12">
        <v>4540</v>
      </c>
      <c r="C456" s="12">
        <v>44738</v>
      </c>
      <c r="D456">
        <f t="shared" si="15"/>
        <v>447.38</v>
      </c>
    </row>
    <row r="457" spans="1:4">
      <c r="A457">
        <f t="shared" si="14"/>
        <v>455</v>
      </c>
      <c r="B457" s="12">
        <v>4550</v>
      </c>
      <c r="C457" s="12">
        <v>44836</v>
      </c>
      <c r="D457">
        <f t="shared" si="15"/>
        <v>448.36</v>
      </c>
    </row>
    <row r="458" spans="1:4">
      <c r="A458">
        <f t="shared" si="14"/>
        <v>456</v>
      </c>
      <c r="B458" s="12">
        <v>4560</v>
      </c>
      <c r="C458" s="12">
        <v>44935</v>
      </c>
      <c r="D458">
        <f t="shared" si="15"/>
        <v>449.35</v>
      </c>
    </row>
    <row r="459" spans="1:4">
      <c r="A459">
        <f t="shared" si="14"/>
        <v>457</v>
      </c>
      <c r="B459" s="12">
        <v>4570</v>
      </c>
      <c r="C459" s="12">
        <v>45033</v>
      </c>
      <c r="D459">
        <f t="shared" si="15"/>
        <v>450.33</v>
      </c>
    </row>
    <row r="460" spans="1:4">
      <c r="A460">
        <f t="shared" si="14"/>
        <v>458</v>
      </c>
      <c r="B460" s="12">
        <v>4580</v>
      </c>
      <c r="C460" s="12">
        <v>45131</v>
      </c>
      <c r="D460">
        <f t="shared" si="15"/>
        <v>451.31</v>
      </c>
    </row>
    <row r="461" spans="1:4">
      <c r="A461">
        <f t="shared" si="14"/>
        <v>459</v>
      </c>
      <c r="B461" s="12">
        <v>4590</v>
      </c>
      <c r="C461" s="12">
        <v>45229</v>
      </c>
      <c r="D461">
        <f t="shared" si="15"/>
        <v>452.29</v>
      </c>
    </row>
    <row r="462" spans="1:4">
      <c r="A462">
        <f t="shared" si="14"/>
        <v>460</v>
      </c>
      <c r="B462" s="12">
        <v>4600</v>
      </c>
      <c r="C462" s="12">
        <v>45328</v>
      </c>
      <c r="D462">
        <f t="shared" si="15"/>
        <v>453.28</v>
      </c>
    </row>
    <row r="463" spans="1:4">
      <c r="A463">
        <f t="shared" si="14"/>
        <v>461</v>
      </c>
      <c r="B463" s="12">
        <v>4610</v>
      </c>
      <c r="C463" s="12">
        <v>45426</v>
      </c>
      <c r="D463">
        <f t="shared" si="15"/>
        <v>454.26</v>
      </c>
    </row>
    <row r="464" spans="1:4">
      <c r="A464">
        <f t="shared" si="14"/>
        <v>462</v>
      </c>
      <c r="B464" s="12">
        <v>4620</v>
      </c>
      <c r="C464" s="12">
        <v>45524</v>
      </c>
      <c r="D464">
        <f t="shared" si="15"/>
        <v>455.24</v>
      </c>
    </row>
    <row r="465" spans="1:4">
      <c r="A465">
        <f t="shared" si="14"/>
        <v>463</v>
      </c>
      <c r="B465" s="12">
        <v>4630</v>
      </c>
      <c r="C465" s="12">
        <v>45623</v>
      </c>
      <c r="D465">
        <f t="shared" si="15"/>
        <v>456.23</v>
      </c>
    </row>
    <row r="466" spans="1:4">
      <c r="A466">
        <f t="shared" si="14"/>
        <v>464</v>
      </c>
      <c r="B466" s="12">
        <v>4640</v>
      </c>
      <c r="C466" s="12">
        <v>45721</v>
      </c>
      <c r="D466">
        <f t="shared" si="15"/>
        <v>457.21</v>
      </c>
    </row>
    <row r="467" spans="1:4">
      <c r="A467">
        <f t="shared" si="14"/>
        <v>465</v>
      </c>
      <c r="B467" s="12">
        <v>4650</v>
      </c>
      <c r="C467" s="12">
        <v>45819</v>
      </c>
      <c r="D467">
        <f t="shared" si="15"/>
        <v>458.19</v>
      </c>
    </row>
    <row r="468" spans="1:4">
      <c r="A468">
        <f t="shared" si="14"/>
        <v>466</v>
      </c>
      <c r="B468" s="12">
        <v>4660</v>
      </c>
      <c r="C468" s="12">
        <v>45917</v>
      </c>
      <c r="D468">
        <f t="shared" si="15"/>
        <v>459.17</v>
      </c>
    </row>
    <row r="469" spans="1:4">
      <c r="A469">
        <f t="shared" si="14"/>
        <v>467</v>
      </c>
      <c r="B469" s="12">
        <v>4670</v>
      </c>
      <c r="C469" s="12">
        <v>46016</v>
      </c>
      <c r="D469">
        <f t="shared" si="15"/>
        <v>460.16</v>
      </c>
    </row>
    <row r="470" spans="1:4">
      <c r="A470">
        <f t="shared" si="14"/>
        <v>468</v>
      </c>
      <c r="B470" s="12">
        <v>4680</v>
      </c>
      <c r="C470" s="12">
        <v>46114</v>
      </c>
      <c r="D470">
        <f t="shared" si="15"/>
        <v>461.14</v>
      </c>
    </row>
    <row r="471" spans="1:4">
      <c r="A471">
        <f t="shared" si="14"/>
        <v>469</v>
      </c>
      <c r="B471" s="12">
        <v>4690</v>
      </c>
      <c r="C471" s="12">
        <v>46212</v>
      </c>
      <c r="D471">
        <f t="shared" si="15"/>
        <v>462.12</v>
      </c>
    </row>
    <row r="472" spans="1:4">
      <c r="A472">
        <f t="shared" si="14"/>
        <v>470</v>
      </c>
      <c r="B472" s="12">
        <v>4700</v>
      </c>
      <c r="C472" s="12">
        <v>46311</v>
      </c>
      <c r="D472">
        <f t="shared" si="15"/>
        <v>463.11</v>
      </c>
    </row>
    <row r="473" spans="1:4">
      <c r="A473">
        <f t="shared" si="14"/>
        <v>471</v>
      </c>
      <c r="B473" s="12">
        <v>4710</v>
      </c>
      <c r="C473" s="12">
        <v>46409</v>
      </c>
      <c r="D473">
        <f t="shared" si="15"/>
        <v>464.09</v>
      </c>
    </row>
    <row r="474" spans="1:4">
      <c r="A474">
        <f t="shared" si="14"/>
        <v>472</v>
      </c>
      <c r="B474" s="12">
        <v>4720</v>
      </c>
      <c r="C474" s="12">
        <v>46507</v>
      </c>
      <c r="D474">
        <f t="shared" si="15"/>
        <v>465.07</v>
      </c>
    </row>
    <row r="475" spans="1:4">
      <c r="A475">
        <f t="shared" si="14"/>
        <v>473</v>
      </c>
      <c r="B475" s="12">
        <v>4730</v>
      </c>
      <c r="C475" s="12">
        <v>46605</v>
      </c>
      <c r="D475">
        <f t="shared" si="15"/>
        <v>466.05</v>
      </c>
    </row>
    <row r="476" spans="1:4">
      <c r="A476">
        <f t="shared" si="14"/>
        <v>474</v>
      </c>
      <c r="B476" s="12">
        <v>4740</v>
      </c>
      <c r="C476" s="12">
        <v>46704</v>
      </c>
      <c r="D476">
        <f t="shared" si="15"/>
        <v>467.04</v>
      </c>
    </row>
    <row r="477" spans="1:4">
      <c r="A477">
        <f t="shared" si="14"/>
        <v>475</v>
      </c>
      <c r="B477" s="12">
        <v>4750</v>
      </c>
      <c r="C477" s="12">
        <v>46802</v>
      </c>
      <c r="D477">
        <f t="shared" si="15"/>
        <v>468.02</v>
      </c>
    </row>
    <row r="478" spans="1:4">
      <c r="A478">
        <f t="shared" si="14"/>
        <v>476</v>
      </c>
      <c r="B478" s="12">
        <v>4760</v>
      </c>
      <c r="C478" s="12">
        <v>46900</v>
      </c>
      <c r="D478">
        <f t="shared" si="15"/>
        <v>469</v>
      </c>
    </row>
    <row r="479" spans="1:4">
      <c r="A479">
        <f t="shared" si="14"/>
        <v>477</v>
      </c>
      <c r="B479" s="12">
        <v>4770</v>
      </c>
      <c r="C479" s="12">
        <v>46998</v>
      </c>
      <c r="D479">
        <f t="shared" si="15"/>
        <v>469.98</v>
      </c>
    </row>
    <row r="480" spans="1:4">
      <c r="A480">
        <f t="shared" si="14"/>
        <v>478</v>
      </c>
      <c r="B480" s="12">
        <v>4780</v>
      </c>
      <c r="C480" s="12">
        <v>47097</v>
      </c>
      <c r="D480">
        <f t="shared" si="15"/>
        <v>470.97</v>
      </c>
    </row>
    <row r="481" spans="1:4">
      <c r="A481">
        <f t="shared" si="14"/>
        <v>479</v>
      </c>
      <c r="B481" s="12">
        <v>4790</v>
      </c>
      <c r="C481" s="12">
        <v>47195</v>
      </c>
      <c r="D481">
        <f t="shared" si="15"/>
        <v>471.95</v>
      </c>
    </row>
    <row r="482" spans="1:4">
      <c r="A482">
        <f t="shared" si="14"/>
        <v>480</v>
      </c>
      <c r="B482" s="12">
        <v>4800</v>
      </c>
      <c r="C482" s="12">
        <v>47293</v>
      </c>
      <c r="D482">
        <f t="shared" si="15"/>
        <v>472.93</v>
      </c>
    </row>
    <row r="483" spans="1:4">
      <c r="A483">
        <f t="shared" si="14"/>
        <v>481</v>
      </c>
      <c r="B483" s="12">
        <v>4810</v>
      </c>
      <c r="C483" s="12">
        <v>47392</v>
      </c>
      <c r="D483">
        <f t="shared" si="15"/>
        <v>473.92</v>
      </c>
    </row>
    <row r="484" spans="1:4">
      <c r="A484">
        <f t="shared" si="14"/>
        <v>482</v>
      </c>
      <c r="B484" s="12">
        <v>4820</v>
      </c>
      <c r="C484" s="12">
        <v>47490</v>
      </c>
      <c r="D484">
        <f t="shared" si="15"/>
        <v>474.9</v>
      </c>
    </row>
    <row r="485" spans="1:4">
      <c r="A485">
        <f t="shared" si="14"/>
        <v>483</v>
      </c>
      <c r="B485" s="12">
        <v>4830</v>
      </c>
      <c r="C485" s="12">
        <v>47588</v>
      </c>
      <c r="D485">
        <f t="shared" si="15"/>
        <v>475.88</v>
      </c>
    </row>
    <row r="486" spans="1:4">
      <c r="A486">
        <f t="shared" si="14"/>
        <v>484</v>
      </c>
      <c r="B486" s="12">
        <v>4840</v>
      </c>
      <c r="C486" s="12">
        <v>47686</v>
      </c>
      <c r="D486">
        <f t="shared" si="15"/>
        <v>476.86</v>
      </c>
    </row>
    <row r="487" spans="1:4">
      <c r="A487">
        <f t="shared" si="14"/>
        <v>485</v>
      </c>
      <c r="B487" s="12">
        <v>4850</v>
      </c>
      <c r="C487" s="12">
        <v>47785</v>
      </c>
      <c r="D487">
        <f t="shared" si="15"/>
        <v>477.85</v>
      </c>
    </row>
    <row r="488" spans="1:4">
      <c r="A488">
        <f t="shared" si="14"/>
        <v>486</v>
      </c>
      <c r="B488" s="12">
        <v>4860</v>
      </c>
      <c r="C488" s="12">
        <v>47883</v>
      </c>
      <c r="D488">
        <f t="shared" si="15"/>
        <v>478.83</v>
      </c>
    </row>
    <row r="489" spans="1:4">
      <c r="A489">
        <f t="shared" si="14"/>
        <v>487</v>
      </c>
      <c r="B489" s="12">
        <v>4870</v>
      </c>
      <c r="C489" s="12">
        <v>47981</v>
      </c>
      <c r="D489">
        <f t="shared" si="15"/>
        <v>479.81</v>
      </c>
    </row>
    <row r="490" spans="1:4">
      <c r="A490">
        <f t="shared" si="14"/>
        <v>488</v>
      </c>
      <c r="B490" s="12">
        <v>4880</v>
      </c>
      <c r="C490" s="12">
        <v>48080</v>
      </c>
      <c r="D490">
        <f t="shared" si="15"/>
        <v>480.8</v>
      </c>
    </row>
    <row r="491" spans="1:4">
      <c r="A491">
        <f t="shared" si="14"/>
        <v>489</v>
      </c>
      <c r="B491" s="12">
        <v>4890</v>
      </c>
      <c r="C491" s="12">
        <v>48178</v>
      </c>
      <c r="D491">
        <f t="shared" si="15"/>
        <v>481.78</v>
      </c>
    </row>
    <row r="492" spans="1:4">
      <c r="A492">
        <f t="shared" si="14"/>
        <v>490</v>
      </c>
      <c r="B492" s="12">
        <v>4900</v>
      </c>
      <c r="C492" s="12">
        <v>48276</v>
      </c>
      <c r="D492">
        <f t="shared" si="15"/>
        <v>482.76</v>
      </c>
    </row>
    <row r="493" spans="1:4">
      <c r="A493">
        <f t="shared" si="14"/>
        <v>491</v>
      </c>
      <c r="B493" s="12">
        <v>4910</v>
      </c>
      <c r="C493" s="12">
        <v>48374</v>
      </c>
      <c r="D493">
        <f t="shared" si="15"/>
        <v>483.74</v>
      </c>
    </row>
    <row r="494" spans="1:4">
      <c r="A494">
        <f t="shared" si="14"/>
        <v>492</v>
      </c>
      <c r="B494" s="12">
        <v>4920</v>
      </c>
      <c r="C494" s="12">
        <v>48473</v>
      </c>
      <c r="D494">
        <f t="shared" si="15"/>
        <v>484.73</v>
      </c>
    </row>
    <row r="495" spans="1:4">
      <c r="A495">
        <f t="shared" si="14"/>
        <v>493</v>
      </c>
      <c r="B495" s="12">
        <v>4930</v>
      </c>
      <c r="C495" s="12">
        <v>48571</v>
      </c>
      <c r="D495">
        <f t="shared" si="15"/>
        <v>485.71</v>
      </c>
    </row>
    <row r="496" spans="1:4">
      <c r="A496">
        <f t="shared" si="14"/>
        <v>494</v>
      </c>
      <c r="B496" s="12">
        <v>4940</v>
      </c>
      <c r="C496" s="12">
        <v>48669</v>
      </c>
      <c r="D496">
        <f t="shared" si="15"/>
        <v>486.69</v>
      </c>
    </row>
    <row r="497" spans="1:4">
      <c r="A497">
        <f t="shared" si="14"/>
        <v>495</v>
      </c>
      <c r="B497" s="12">
        <v>4950</v>
      </c>
      <c r="C497" s="12">
        <v>48768</v>
      </c>
      <c r="D497">
        <f t="shared" si="15"/>
        <v>487.68</v>
      </c>
    </row>
    <row r="498" spans="1:4">
      <c r="A498">
        <f t="shared" si="14"/>
        <v>496</v>
      </c>
      <c r="B498" s="12">
        <v>4960</v>
      </c>
      <c r="C498" s="12">
        <v>48864</v>
      </c>
      <c r="D498">
        <f t="shared" si="15"/>
        <v>488.64</v>
      </c>
    </row>
    <row r="499" spans="1:4">
      <c r="A499">
        <f t="shared" si="14"/>
        <v>497</v>
      </c>
      <c r="B499" s="12">
        <v>4970</v>
      </c>
      <c r="C499" s="12">
        <v>48957</v>
      </c>
      <c r="D499">
        <f t="shared" si="15"/>
        <v>489.57</v>
      </c>
    </row>
    <row r="500" spans="1:4">
      <c r="A500">
        <f t="shared" si="14"/>
        <v>498</v>
      </c>
      <c r="B500" s="12">
        <v>4980</v>
      </c>
      <c r="C500" s="12">
        <v>49047</v>
      </c>
      <c r="D500">
        <f t="shared" si="15"/>
        <v>490.47</v>
      </c>
    </row>
    <row r="501" spans="1:4">
      <c r="A501">
        <f t="shared" si="14"/>
        <v>499</v>
      </c>
      <c r="B501" s="12">
        <v>4990</v>
      </c>
      <c r="C501" s="12">
        <v>49133</v>
      </c>
      <c r="D501">
        <f t="shared" si="15"/>
        <v>491.33</v>
      </c>
    </row>
    <row r="502" spans="1:4">
      <c r="A502">
        <f t="shared" si="14"/>
        <v>500</v>
      </c>
      <c r="B502" s="12">
        <v>5000</v>
      </c>
      <c r="C502" s="12">
        <v>49215</v>
      </c>
      <c r="D502">
        <f t="shared" si="15"/>
        <v>492.15</v>
      </c>
    </row>
    <row r="503" spans="1:4">
      <c r="A503">
        <f t="shared" si="14"/>
        <v>501</v>
      </c>
      <c r="B503" s="12">
        <v>5010</v>
      </c>
      <c r="C503" s="12">
        <v>49293</v>
      </c>
      <c r="D503">
        <f t="shared" si="15"/>
        <v>492.93</v>
      </c>
    </row>
    <row r="504" spans="1:4">
      <c r="A504">
        <f t="shared" si="14"/>
        <v>502</v>
      </c>
      <c r="B504" s="12">
        <v>5020</v>
      </c>
      <c r="C504" s="12">
        <v>49368</v>
      </c>
      <c r="D504">
        <f t="shared" si="15"/>
        <v>493.68</v>
      </c>
    </row>
    <row r="505" spans="1:4">
      <c r="A505">
        <f t="shared" si="14"/>
        <v>503</v>
      </c>
      <c r="B505" s="12">
        <v>5030</v>
      </c>
      <c r="C505" s="12">
        <v>49440</v>
      </c>
      <c r="D505">
        <f t="shared" si="15"/>
        <v>494.4</v>
      </c>
    </row>
    <row r="506" spans="1:4">
      <c r="A506">
        <f t="shared" si="14"/>
        <v>504</v>
      </c>
      <c r="B506" s="12">
        <v>5040</v>
      </c>
      <c r="C506" s="12">
        <v>49506</v>
      </c>
      <c r="D506">
        <f t="shared" si="15"/>
        <v>495.06</v>
      </c>
    </row>
    <row r="507" spans="1:4">
      <c r="A507">
        <f t="shared" si="14"/>
        <v>505</v>
      </c>
      <c r="B507" s="12">
        <v>5050</v>
      </c>
      <c r="C507" s="12">
        <v>49571</v>
      </c>
      <c r="D507">
        <f t="shared" si="15"/>
        <v>495.71</v>
      </c>
    </row>
    <row r="508" spans="1:4">
      <c r="A508">
        <f t="shared" si="14"/>
        <v>506</v>
      </c>
      <c r="B508" s="12">
        <v>5060</v>
      </c>
      <c r="C508" s="12">
        <v>49631</v>
      </c>
      <c r="D508">
        <f t="shared" si="15"/>
        <v>496.31</v>
      </c>
    </row>
    <row r="509" spans="1:4">
      <c r="A509">
        <f t="shared" si="14"/>
        <v>507</v>
      </c>
      <c r="B509" s="12">
        <v>5070</v>
      </c>
      <c r="C509" s="12">
        <v>49689</v>
      </c>
      <c r="D509">
        <f t="shared" si="15"/>
        <v>496.89</v>
      </c>
    </row>
    <row r="510" spans="1:4">
      <c r="A510">
        <f t="shared" si="14"/>
        <v>508</v>
      </c>
      <c r="B510" s="12">
        <v>5080</v>
      </c>
      <c r="C510" s="12">
        <v>49743</v>
      </c>
      <c r="D510">
        <f t="shared" si="15"/>
        <v>497.43</v>
      </c>
    </row>
    <row r="511" spans="1:4">
      <c r="A511">
        <f t="shared" si="14"/>
        <v>509</v>
      </c>
      <c r="B511" s="12">
        <v>5090</v>
      </c>
      <c r="C511" s="12">
        <v>49795</v>
      </c>
      <c r="D511">
        <f t="shared" si="15"/>
        <v>497.95</v>
      </c>
    </row>
    <row r="512" spans="1:4">
      <c r="A512">
        <f t="shared" si="14"/>
        <v>510</v>
      </c>
      <c r="B512" s="12">
        <v>5100</v>
      </c>
      <c r="C512" s="12">
        <v>49843</v>
      </c>
      <c r="D512">
        <f t="shared" si="15"/>
        <v>498.43</v>
      </c>
    </row>
    <row r="513" spans="1:4">
      <c r="A513">
        <f t="shared" si="14"/>
        <v>511</v>
      </c>
      <c r="B513" s="12">
        <v>5110</v>
      </c>
      <c r="C513" s="12">
        <v>49889</v>
      </c>
      <c r="D513">
        <f t="shared" si="15"/>
        <v>498.89</v>
      </c>
    </row>
    <row r="514" spans="1:4">
      <c r="A514">
        <f t="shared" si="14"/>
        <v>512</v>
      </c>
      <c r="B514" s="12">
        <v>5120</v>
      </c>
      <c r="C514" s="12">
        <v>49932</v>
      </c>
      <c r="D514">
        <f t="shared" si="15"/>
        <v>499.32</v>
      </c>
    </row>
    <row r="515" spans="1:4">
      <c r="A515">
        <f t="shared" ref="A515:A575" si="16">$B515/10</f>
        <v>513</v>
      </c>
      <c r="B515" s="12">
        <v>5130</v>
      </c>
      <c r="C515" s="12">
        <v>49972</v>
      </c>
      <c r="D515">
        <f t="shared" ref="D515:D576" si="17">$C515/100</f>
        <v>499.72</v>
      </c>
    </row>
    <row r="516" spans="1:4">
      <c r="A516">
        <f t="shared" si="16"/>
        <v>514</v>
      </c>
      <c r="B516" s="12">
        <v>5140</v>
      </c>
      <c r="C516" s="12">
        <v>50010</v>
      </c>
      <c r="D516">
        <f t="shared" si="17"/>
        <v>500.1</v>
      </c>
    </row>
    <row r="517" spans="1:4">
      <c r="A517">
        <f t="shared" si="16"/>
        <v>515</v>
      </c>
      <c r="B517" s="12">
        <v>5150</v>
      </c>
      <c r="C517" s="12">
        <v>50045</v>
      </c>
      <c r="D517">
        <f t="shared" si="17"/>
        <v>500.45</v>
      </c>
    </row>
    <row r="518" spans="1:4">
      <c r="A518">
        <f t="shared" si="16"/>
        <v>516</v>
      </c>
      <c r="B518" s="12">
        <v>5160</v>
      </c>
      <c r="C518" s="12">
        <v>50077</v>
      </c>
      <c r="D518">
        <f t="shared" si="17"/>
        <v>500.77</v>
      </c>
    </row>
    <row r="519" spans="1:4">
      <c r="A519">
        <f t="shared" si="16"/>
        <v>517</v>
      </c>
      <c r="B519" s="12">
        <v>5170</v>
      </c>
      <c r="C519" s="12">
        <v>50108</v>
      </c>
      <c r="D519">
        <f t="shared" si="17"/>
        <v>501.08</v>
      </c>
    </row>
    <row r="520" spans="1:4">
      <c r="A520">
        <f t="shared" si="16"/>
        <v>518</v>
      </c>
      <c r="B520" s="12">
        <v>5180</v>
      </c>
      <c r="C520" s="12">
        <v>50136</v>
      </c>
      <c r="D520">
        <f t="shared" si="17"/>
        <v>501.36</v>
      </c>
    </row>
    <row r="521" spans="1:4">
      <c r="A521">
        <f t="shared" si="16"/>
        <v>519</v>
      </c>
      <c r="B521" s="12">
        <v>5190</v>
      </c>
      <c r="C521" s="12">
        <v>50163</v>
      </c>
      <c r="D521">
        <f t="shared" si="17"/>
        <v>501.63</v>
      </c>
    </row>
    <row r="522" spans="1:4">
      <c r="A522">
        <f t="shared" si="16"/>
        <v>520</v>
      </c>
      <c r="B522" s="12">
        <v>5200</v>
      </c>
      <c r="C522" s="12">
        <v>50186</v>
      </c>
      <c r="D522">
        <f t="shared" si="17"/>
        <v>501.86</v>
      </c>
    </row>
    <row r="523" spans="1:4">
      <c r="A523">
        <f t="shared" si="16"/>
        <v>521</v>
      </c>
      <c r="B523" s="12">
        <v>5210</v>
      </c>
      <c r="C523" s="12">
        <v>50209</v>
      </c>
      <c r="D523">
        <f t="shared" si="17"/>
        <v>502.09</v>
      </c>
    </row>
    <row r="524" spans="1:4">
      <c r="A524">
        <f t="shared" si="16"/>
        <v>522</v>
      </c>
      <c r="B524" s="12">
        <v>5220</v>
      </c>
      <c r="C524" s="12">
        <v>50230</v>
      </c>
      <c r="D524">
        <f t="shared" si="17"/>
        <v>502.3</v>
      </c>
    </row>
    <row r="525" spans="1:4">
      <c r="A525">
        <f t="shared" si="16"/>
        <v>523</v>
      </c>
      <c r="B525" s="12">
        <v>5230</v>
      </c>
      <c r="C525" s="12">
        <v>50248</v>
      </c>
      <c r="D525">
        <f t="shared" si="17"/>
        <v>502.48</v>
      </c>
    </row>
    <row r="526" spans="1:4">
      <c r="A526">
        <f t="shared" si="16"/>
        <v>524</v>
      </c>
      <c r="B526" s="12">
        <v>5240</v>
      </c>
      <c r="C526" s="12">
        <v>50266</v>
      </c>
      <c r="D526">
        <f t="shared" si="17"/>
        <v>502.66</v>
      </c>
    </row>
    <row r="527" spans="1:4">
      <c r="A527">
        <f t="shared" si="16"/>
        <v>525</v>
      </c>
      <c r="B527" s="12">
        <v>5250</v>
      </c>
      <c r="C527" s="12">
        <v>50281</v>
      </c>
      <c r="D527">
        <f t="shared" si="17"/>
        <v>502.81</v>
      </c>
    </row>
    <row r="528" spans="1:4">
      <c r="A528">
        <f t="shared" si="16"/>
        <v>526</v>
      </c>
      <c r="B528" s="12">
        <v>5260</v>
      </c>
      <c r="C528" s="12">
        <v>50295</v>
      </c>
      <c r="D528">
        <f t="shared" si="17"/>
        <v>502.95</v>
      </c>
    </row>
    <row r="529" spans="1:4">
      <c r="A529">
        <f t="shared" si="16"/>
        <v>527</v>
      </c>
      <c r="B529" s="12">
        <v>5270</v>
      </c>
      <c r="C529" s="12">
        <v>50307</v>
      </c>
      <c r="D529">
        <f t="shared" si="17"/>
        <v>503.07</v>
      </c>
    </row>
    <row r="530" spans="1:4">
      <c r="A530">
        <f t="shared" si="16"/>
        <v>528</v>
      </c>
      <c r="B530" s="12">
        <v>5280</v>
      </c>
      <c r="C530" s="12">
        <v>50318</v>
      </c>
      <c r="D530">
        <f t="shared" si="17"/>
        <v>503.18</v>
      </c>
    </row>
    <row r="531" spans="1:4">
      <c r="A531">
        <f t="shared" si="16"/>
        <v>529</v>
      </c>
      <c r="B531" s="12">
        <v>5290</v>
      </c>
      <c r="C531" s="12">
        <v>50328</v>
      </c>
      <c r="D531">
        <f t="shared" si="17"/>
        <v>503.28</v>
      </c>
    </row>
    <row r="532" spans="1:4">
      <c r="A532">
        <f t="shared" si="16"/>
        <v>530</v>
      </c>
      <c r="B532" s="12">
        <v>5300</v>
      </c>
      <c r="C532" s="12">
        <v>50337</v>
      </c>
      <c r="D532">
        <f t="shared" si="17"/>
        <v>503.37</v>
      </c>
    </row>
    <row r="533" spans="1:4">
      <c r="A533">
        <f t="shared" si="16"/>
        <v>531</v>
      </c>
      <c r="B533" s="12">
        <v>5310</v>
      </c>
      <c r="C533" s="12">
        <v>50345</v>
      </c>
      <c r="D533">
        <f t="shared" si="17"/>
        <v>503.45</v>
      </c>
    </row>
    <row r="534" spans="1:4">
      <c r="A534">
        <f t="shared" si="16"/>
        <v>532</v>
      </c>
      <c r="B534" s="12">
        <v>5320</v>
      </c>
      <c r="C534" s="12">
        <v>50352</v>
      </c>
      <c r="D534">
        <f t="shared" si="17"/>
        <v>503.52</v>
      </c>
    </row>
    <row r="535" spans="1:4">
      <c r="A535">
        <f t="shared" si="16"/>
        <v>533</v>
      </c>
      <c r="B535" s="12">
        <v>5330</v>
      </c>
      <c r="C535" s="12">
        <v>50358</v>
      </c>
      <c r="D535">
        <f t="shared" si="17"/>
        <v>503.58</v>
      </c>
    </row>
    <row r="536" spans="1:4">
      <c r="A536">
        <f t="shared" si="16"/>
        <v>534</v>
      </c>
      <c r="B536" s="12">
        <v>5340</v>
      </c>
      <c r="C536" s="12">
        <v>50363</v>
      </c>
      <c r="D536">
        <f t="shared" si="17"/>
        <v>503.63</v>
      </c>
    </row>
    <row r="537" spans="1:4">
      <c r="A537">
        <f t="shared" si="16"/>
        <v>535</v>
      </c>
      <c r="B537" s="12">
        <v>5350</v>
      </c>
      <c r="C537" s="12">
        <v>50368</v>
      </c>
      <c r="D537">
        <f t="shared" si="17"/>
        <v>503.68</v>
      </c>
    </row>
    <row r="538" spans="1:4">
      <c r="A538">
        <f t="shared" si="16"/>
        <v>536</v>
      </c>
      <c r="B538" s="12">
        <v>5360</v>
      </c>
      <c r="C538" s="12">
        <v>50372</v>
      </c>
      <c r="D538">
        <f t="shared" si="17"/>
        <v>503.72</v>
      </c>
    </row>
    <row r="539" spans="1:4">
      <c r="A539">
        <f t="shared" si="16"/>
        <v>537</v>
      </c>
      <c r="B539" s="12">
        <v>5370</v>
      </c>
      <c r="C539" s="12">
        <v>50375</v>
      </c>
      <c r="D539">
        <f t="shared" si="17"/>
        <v>503.75</v>
      </c>
    </row>
    <row r="540" spans="1:4">
      <c r="A540">
        <f t="shared" si="16"/>
        <v>538</v>
      </c>
      <c r="B540" s="12">
        <v>5380</v>
      </c>
      <c r="C540" s="12">
        <v>50378</v>
      </c>
      <c r="D540">
        <f t="shared" si="17"/>
        <v>503.78</v>
      </c>
    </row>
    <row r="541" spans="1:4">
      <c r="A541">
        <f t="shared" si="16"/>
        <v>539</v>
      </c>
      <c r="B541" s="12">
        <v>5390</v>
      </c>
      <c r="C541" s="12">
        <v>50381</v>
      </c>
      <c r="D541">
        <f t="shared" si="17"/>
        <v>503.81</v>
      </c>
    </row>
    <row r="542" spans="1:4">
      <c r="A542">
        <f t="shared" si="16"/>
        <v>540</v>
      </c>
      <c r="B542" s="12">
        <v>5400</v>
      </c>
      <c r="C542" s="12">
        <v>50383</v>
      </c>
      <c r="D542">
        <f t="shared" si="17"/>
        <v>503.83</v>
      </c>
    </row>
    <row r="543" spans="1:4">
      <c r="A543">
        <f t="shared" si="16"/>
        <v>541</v>
      </c>
      <c r="B543" s="12">
        <v>5410</v>
      </c>
      <c r="C543" s="12">
        <v>50385</v>
      </c>
      <c r="D543">
        <f t="shared" si="17"/>
        <v>503.85</v>
      </c>
    </row>
    <row r="544" spans="1:4">
      <c r="A544">
        <f t="shared" si="16"/>
        <v>542</v>
      </c>
      <c r="B544" s="12">
        <v>5420</v>
      </c>
      <c r="C544" s="12">
        <v>50387</v>
      </c>
      <c r="D544">
        <f t="shared" si="17"/>
        <v>503.87</v>
      </c>
    </row>
    <row r="545" spans="1:4">
      <c r="A545">
        <f t="shared" si="16"/>
        <v>543</v>
      </c>
      <c r="B545" s="12">
        <v>5430</v>
      </c>
      <c r="C545" s="12">
        <v>50389</v>
      </c>
      <c r="D545">
        <f t="shared" si="17"/>
        <v>503.89</v>
      </c>
    </row>
    <row r="546" spans="1:4">
      <c r="A546">
        <f t="shared" si="16"/>
        <v>544</v>
      </c>
      <c r="B546" s="12">
        <v>5440</v>
      </c>
      <c r="C546" s="12">
        <v>50391</v>
      </c>
      <c r="D546">
        <f t="shared" si="17"/>
        <v>503.91</v>
      </c>
    </row>
    <row r="547" spans="1:4">
      <c r="A547">
        <f t="shared" si="16"/>
        <v>545</v>
      </c>
      <c r="B547" s="12">
        <v>5450</v>
      </c>
      <c r="C547" s="12">
        <v>50393</v>
      </c>
      <c r="D547">
        <f t="shared" si="17"/>
        <v>503.93</v>
      </c>
    </row>
    <row r="548" spans="1:4">
      <c r="A548">
        <f t="shared" si="16"/>
        <v>546</v>
      </c>
      <c r="B548" s="12">
        <v>5460</v>
      </c>
      <c r="C548" s="12">
        <v>50395</v>
      </c>
      <c r="D548">
        <f t="shared" si="17"/>
        <v>503.95</v>
      </c>
    </row>
    <row r="549" spans="1:4">
      <c r="A549">
        <f t="shared" si="16"/>
        <v>547</v>
      </c>
      <c r="B549" s="12">
        <v>5470</v>
      </c>
      <c r="C549" s="12">
        <v>50397</v>
      </c>
      <c r="D549">
        <f t="shared" si="17"/>
        <v>503.97</v>
      </c>
    </row>
    <row r="550" spans="1:4">
      <c r="A550">
        <f t="shared" si="16"/>
        <v>548</v>
      </c>
      <c r="B550" s="12">
        <v>5480</v>
      </c>
      <c r="C550" s="12">
        <v>50399</v>
      </c>
      <c r="D550">
        <f t="shared" si="17"/>
        <v>503.99</v>
      </c>
    </row>
    <row r="551" spans="1:4">
      <c r="A551">
        <f t="shared" si="16"/>
        <v>549</v>
      </c>
      <c r="B551" s="12">
        <v>5490</v>
      </c>
      <c r="C551" s="12">
        <v>50401</v>
      </c>
      <c r="D551">
        <f t="shared" si="17"/>
        <v>504.01</v>
      </c>
    </row>
    <row r="552" spans="1:4">
      <c r="A552">
        <f t="shared" si="16"/>
        <v>550</v>
      </c>
      <c r="B552" s="12">
        <v>5500</v>
      </c>
      <c r="C552" s="12">
        <v>50403</v>
      </c>
      <c r="D552">
        <f t="shared" si="17"/>
        <v>504.03</v>
      </c>
    </row>
    <row r="553" spans="1:4">
      <c r="A553">
        <f t="shared" si="16"/>
        <v>551</v>
      </c>
      <c r="B553" s="12">
        <v>5510</v>
      </c>
      <c r="C553" s="12">
        <v>50405</v>
      </c>
      <c r="D553">
        <f t="shared" si="17"/>
        <v>504.05</v>
      </c>
    </row>
    <row r="554" spans="1:4">
      <c r="A554">
        <f t="shared" si="16"/>
        <v>552</v>
      </c>
      <c r="B554" s="12">
        <v>5520</v>
      </c>
      <c r="C554" s="12">
        <v>50407</v>
      </c>
      <c r="D554">
        <f t="shared" si="17"/>
        <v>504.07</v>
      </c>
    </row>
    <row r="555" spans="1:4">
      <c r="A555">
        <f t="shared" si="16"/>
        <v>553</v>
      </c>
      <c r="B555" s="12">
        <v>5530</v>
      </c>
      <c r="C555" s="12">
        <v>50409</v>
      </c>
      <c r="D555">
        <f t="shared" si="17"/>
        <v>504.09</v>
      </c>
    </row>
    <row r="556" spans="1:4">
      <c r="A556">
        <f t="shared" si="16"/>
        <v>554</v>
      </c>
      <c r="B556" s="12">
        <v>5540</v>
      </c>
      <c r="C556" s="12">
        <v>50411</v>
      </c>
      <c r="D556">
        <f t="shared" si="17"/>
        <v>504.11</v>
      </c>
    </row>
    <row r="557" spans="1:4">
      <c r="A557">
        <f t="shared" si="16"/>
        <v>555</v>
      </c>
      <c r="B557" s="12">
        <v>5550</v>
      </c>
      <c r="C557" s="12">
        <v>50412</v>
      </c>
      <c r="D557">
        <f t="shared" si="17"/>
        <v>504.12</v>
      </c>
    </row>
    <row r="558" spans="1:4">
      <c r="A558">
        <f t="shared" si="16"/>
        <v>556</v>
      </c>
      <c r="B558" s="12">
        <v>5560</v>
      </c>
      <c r="C558" s="12">
        <v>50414</v>
      </c>
      <c r="D558">
        <f t="shared" si="17"/>
        <v>504.14</v>
      </c>
    </row>
    <row r="559" spans="1:4">
      <c r="A559">
        <f t="shared" si="16"/>
        <v>557</v>
      </c>
      <c r="B559" s="12">
        <v>5570</v>
      </c>
      <c r="C559" s="12">
        <v>50416</v>
      </c>
      <c r="D559">
        <f t="shared" si="17"/>
        <v>504.16</v>
      </c>
    </row>
    <row r="560" spans="1:4">
      <c r="A560">
        <f t="shared" si="16"/>
        <v>558</v>
      </c>
      <c r="B560" s="12">
        <v>5580</v>
      </c>
      <c r="C560" s="12">
        <v>50418</v>
      </c>
      <c r="D560">
        <f t="shared" si="17"/>
        <v>504.18</v>
      </c>
    </row>
    <row r="561" spans="1:4">
      <c r="A561">
        <f t="shared" si="16"/>
        <v>559</v>
      </c>
      <c r="B561" s="12">
        <v>5590</v>
      </c>
      <c r="C561" s="12">
        <v>50420</v>
      </c>
      <c r="D561">
        <f t="shared" si="17"/>
        <v>504.2</v>
      </c>
    </row>
    <row r="562" spans="1:4">
      <c r="A562">
        <f t="shared" si="16"/>
        <v>560</v>
      </c>
      <c r="B562" s="12">
        <v>5600</v>
      </c>
      <c r="C562" s="12">
        <v>50422</v>
      </c>
      <c r="D562">
        <f t="shared" si="17"/>
        <v>504.22</v>
      </c>
    </row>
    <row r="563" spans="1:4">
      <c r="A563">
        <f t="shared" si="16"/>
        <v>561</v>
      </c>
      <c r="B563" s="12">
        <v>5610</v>
      </c>
      <c r="C563" s="12">
        <v>50424</v>
      </c>
      <c r="D563">
        <f t="shared" si="17"/>
        <v>504.24</v>
      </c>
    </row>
    <row r="564" spans="1:4">
      <c r="A564">
        <f t="shared" si="16"/>
        <v>562</v>
      </c>
      <c r="B564" s="12">
        <v>5620</v>
      </c>
      <c r="C564" s="12">
        <v>50426</v>
      </c>
      <c r="D564">
        <f t="shared" si="17"/>
        <v>504.26</v>
      </c>
    </row>
    <row r="565" spans="1:4">
      <c r="A565">
        <f t="shared" si="16"/>
        <v>563</v>
      </c>
      <c r="B565" s="12">
        <v>5630</v>
      </c>
      <c r="C565" s="12">
        <v>50428</v>
      </c>
      <c r="D565">
        <f t="shared" si="17"/>
        <v>504.28</v>
      </c>
    </row>
    <row r="566" spans="1:4">
      <c r="A566">
        <f t="shared" si="16"/>
        <v>564</v>
      </c>
      <c r="B566" s="12">
        <v>5640</v>
      </c>
      <c r="C566" s="12">
        <v>50430</v>
      </c>
      <c r="D566">
        <f t="shared" si="17"/>
        <v>504.3</v>
      </c>
    </row>
    <row r="567" spans="1:4">
      <c r="A567">
        <f t="shared" si="16"/>
        <v>565</v>
      </c>
      <c r="B567" s="12">
        <v>5650</v>
      </c>
      <c r="C567" s="12">
        <v>50432</v>
      </c>
      <c r="D567">
        <f t="shared" si="17"/>
        <v>504.32</v>
      </c>
    </row>
    <row r="568" spans="1:4">
      <c r="A568">
        <f t="shared" si="16"/>
        <v>566</v>
      </c>
      <c r="B568" s="12">
        <v>5660</v>
      </c>
      <c r="C568" s="12">
        <v>50434</v>
      </c>
      <c r="D568">
        <f t="shared" si="17"/>
        <v>504.34</v>
      </c>
    </row>
    <row r="569" spans="1:4">
      <c r="A569">
        <f t="shared" si="16"/>
        <v>567</v>
      </c>
      <c r="B569" s="12">
        <v>5670</v>
      </c>
      <c r="C569" s="12">
        <v>50436</v>
      </c>
      <c r="D569">
        <f t="shared" si="17"/>
        <v>504.36</v>
      </c>
    </row>
    <row r="570" spans="1:4">
      <c r="A570">
        <f t="shared" si="16"/>
        <v>568</v>
      </c>
      <c r="B570" s="12">
        <v>5680</v>
      </c>
      <c r="C570" s="12">
        <v>50438</v>
      </c>
      <c r="D570">
        <f t="shared" si="17"/>
        <v>504.38</v>
      </c>
    </row>
    <row r="571" spans="1:4">
      <c r="A571">
        <f t="shared" si="16"/>
        <v>569</v>
      </c>
      <c r="B571" s="12">
        <v>5690</v>
      </c>
      <c r="C571" s="12">
        <v>50440</v>
      </c>
      <c r="D571">
        <f t="shared" si="17"/>
        <v>504.4</v>
      </c>
    </row>
    <row r="572" spans="1:4">
      <c r="A572">
        <f t="shared" si="16"/>
        <v>570</v>
      </c>
      <c r="B572" s="12">
        <v>5700</v>
      </c>
      <c r="C572" s="12">
        <v>50442</v>
      </c>
      <c r="D572">
        <f t="shared" si="17"/>
        <v>504.42</v>
      </c>
    </row>
    <row r="573" spans="1:4">
      <c r="A573">
        <f t="shared" si="16"/>
        <v>571</v>
      </c>
      <c r="B573" s="12">
        <v>5710</v>
      </c>
      <c r="C573" s="12">
        <v>50444</v>
      </c>
      <c r="D573">
        <f t="shared" si="17"/>
        <v>504.44</v>
      </c>
    </row>
    <row r="574" spans="1:4">
      <c r="A574">
        <f t="shared" si="16"/>
        <v>572</v>
      </c>
      <c r="B574" s="12">
        <v>5720</v>
      </c>
      <c r="C574" s="12">
        <v>50446</v>
      </c>
      <c r="D574">
        <f t="shared" si="17"/>
        <v>504.46</v>
      </c>
    </row>
    <row r="575" spans="1:4">
      <c r="A575">
        <f t="shared" si="16"/>
        <v>573</v>
      </c>
      <c r="B575" s="12">
        <v>5730</v>
      </c>
      <c r="C575" s="12">
        <v>50448</v>
      </c>
      <c r="D575">
        <f t="shared" si="17"/>
        <v>504.48</v>
      </c>
    </row>
    <row r="576" spans="1:4" ht="27.75">
      <c r="A576">
        <v>574</v>
      </c>
      <c r="B576" s="13" t="s">
        <v>6</v>
      </c>
      <c r="C576" s="12">
        <v>50448</v>
      </c>
      <c r="D576">
        <f t="shared" si="17"/>
        <v>504.48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/>
  <dimension ref="A1:D873"/>
  <sheetViews>
    <sheetView topLeftCell="A836" workbookViewId="0">
      <selection activeCell="F870" sqref="F870"/>
    </sheetView>
  </sheetViews>
  <sheetFormatPr baseColWidth="10" defaultColWidth="10.3984375" defaultRowHeight="14.25"/>
  <cols>
    <col min="1" max="1" width="9.3984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2">
        <f>B2/10</f>
        <v>0</v>
      </c>
      <c r="B2">
        <v>0</v>
      </c>
      <c r="C2">
        <v>124901.25</v>
      </c>
      <c r="D2" s="23">
        <f>C2/100</f>
        <v>1249.0125</v>
      </c>
    </row>
    <row r="3" spans="1:4">
      <c r="A3" s="22">
        <f t="shared" ref="A3:A66" si="0">B3/10</f>
        <v>1</v>
      </c>
      <c r="B3">
        <v>10</v>
      </c>
      <c r="C3">
        <v>124899.28599999999</v>
      </c>
      <c r="D3" s="23">
        <f t="shared" ref="D3:D66" si="1">C3/100</f>
        <v>1248.9928599999998</v>
      </c>
    </row>
    <row r="4" spans="1:4">
      <c r="A4" s="22">
        <f t="shared" si="0"/>
        <v>2</v>
      </c>
      <c r="B4">
        <v>20</v>
      </c>
      <c r="C4">
        <v>124897.32199999999</v>
      </c>
      <c r="D4" s="23">
        <f t="shared" si="1"/>
        <v>1248.9732199999999</v>
      </c>
    </row>
    <row r="5" spans="1:4">
      <c r="A5" s="22">
        <f t="shared" si="0"/>
        <v>3</v>
      </c>
      <c r="B5">
        <v>30</v>
      </c>
      <c r="C5">
        <v>124895.35799999998</v>
      </c>
      <c r="D5" s="23">
        <f t="shared" si="1"/>
        <v>1248.9535799999999</v>
      </c>
    </row>
    <row r="6" spans="1:4">
      <c r="A6" s="22">
        <f t="shared" si="0"/>
        <v>4</v>
      </c>
      <c r="B6">
        <v>40</v>
      </c>
      <c r="C6">
        <v>124893.39399999997</v>
      </c>
      <c r="D6" s="23">
        <f t="shared" si="1"/>
        <v>1248.9339399999997</v>
      </c>
    </row>
    <row r="7" spans="1:4">
      <c r="A7" s="22">
        <f t="shared" si="0"/>
        <v>5</v>
      </c>
      <c r="B7">
        <v>50</v>
      </c>
      <c r="C7">
        <v>124891.43</v>
      </c>
      <c r="D7" s="23">
        <f t="shared" si="1"/>
        <v>1248.9142999999999</v>
      </c>
    </row>
    <row r="8" spans="1:4">
      <c r="A8" s="22">
        <f t="shared" si="0"/>
        <v>6</v>
      </c>
      <c r="B8">
        <v>60</v>
      </c>
      <c r="C8">
        <v>124889.466</v>
      </c>
      <c r="D8" s="23">
        <f t="shared" si="1"/>
        <v>1248.8946599999999</v>
      </c>
    </row>
    <row r="9" spans="1:4">
      <c r="A9" s="22">
        <f t="shared" si="0"/>
        <v>7</v>
      </c>
      <c r="B9">
        <v>70</v>
      </c>
      <c r="C9">
        <v>124887.50200000001</v>
      </c>
      <c r="D9" s="23">
        <f t="shared" si="1"/>
        <v>1248.8750200000002</v>
      </c>
    </row>
    <row r="10" spans="1:4">
      <c r="A10" s="22">
        <f t="shared" si="0"/>
        <v>8</v>
      </c>
      <c r="B10">
        <v>80</v>
      </c>
      <c r="C10">
        <v>124885.53800000002</v>
      </c>
      <c r="D10" s="23">
        <f t="shared" si="1"/>
        <v>1248.8553800000002</v>
      </c>
    </row>
    <row r="11" spans="1:4">
      <c r="A11" s="22">
        <f t="shared" si="0"/>
        <v>9</v>
      </c>
      <c r="B11">
        <v>90</v>
      </c>
      <c r="C11">
        <v>124883.57400000002</v>
      </c>
      <c r="D11" s="23">
        <f t="shared" si="1"/>
        <v>1248.8357400000002</v>
      </c>
    </row>
    <row r="12" spans="1:4">
      <c r="A12" s="22">
        <f t="shared" si="0"/>
        <v>10</v>
      </c>
      <c r="B12">
        <v>100</v>
      </c>
      <c r="C12">
        <v>124881.61</v>
      </c>
      <c r="D12" s="23">
        <f t="shared" si="1"/>
        <v>1248.8161</v>
      </c>
    </row>
    <row r="13" spans="1:4">
      <c r="A13" s="22">
        <f t="shared" si="0"/>
        <v>11</v>
      </c>
      <c r="B13">
        <v>110</v>
      </c>
      <c r="C13">
        <v>124879.64599999999</v>
      </c>
      <c r="D13" s="23">
        <f t="shared" si="1"/>
        <v>1248.79646</v>
      </c>
    </row>
    <row r="14" spans="1:4">
      <c r="A14" s="22">
        <f t="shared" si="0"/>
        <v>12</v>
      </c>
      <c r="B14">
        <v>120</v>
      </c>
      <c r="C14">
        <v>124877.68199999999</v>
      </c>
      <c r="D14" s="23">
        <f t="shared" si="1"/>
        <v>1248.7768199999998</v>
      </c>
    </row>
    <row r="15" spans="1:4">
      <c r="A15" s="22">
        <f t="shared" si="0"/>
        <v>13</v>
      </c>
      <c r="B15">
        <v>130</v>
      </c>
      <c r="C15">
        <v>124875.71799999998</v>
      </c>
      <c r="D15" s="23">
        <f t="shared" si="1"/>
        <v>1248.7571799999998</v>
      </c>
    </row>
    <row r="16" spans="1:4">
      <c r="A16" s="22">
        <f t="shared" si="0"/>
        <v>14</v>
      </c>
      <c r="B16">
        <v>140</v>
      </c>
      <c r="C16">
        <v>124873.75399999997</v>
      </c>
      <c r="D16" s="23">
        <f t="shared" si="1"/>
        <v>1248.7375399999996</v>
      </c>
    </row>
    <row r="17" spans="1:4">
      <c r="A17" s="22">
        <f t="shared" si="0"/>
        <v>15</v>
      </c>
      <c r="B17">
        <v>150</v>
      </c>
      <c r="C17">
        <v>124871.79</v>
      </c>
      <c r="D17" s="23">
        <f t="shared" si="1"/>
        <v>1248.7178999999999</v>
      </c>
    </row>
    <row r="18" spans="1:4">
      <c r="A18" s="22">
        <f t="shared" si="0"/>
        <v>16</v>
      </c>
      <c r="B18">
        <v>160</v>
      </c>
      <c r="C18">
        <v>124869.82799999999</v>
      </c>
      <c r="D18" s="23">
        <f t="shared" si="1"/>
        <v>1248.6982799999998</v>
      </c>
    </row>
    <row r="19" spans="1:4">
      <c r="A19" s="22">
        <f t="shared" si="0"/>
        <v>17</v>
      </c>
      <c r="B19">
        <v>170</v>
      </c>
      <c r="C19">
        <v>124867.86599999999</v>
      </c>
      <c r="D19" s="23">
        <f t="shared" si="1"/>
        <v>1248.67866</v>
      </c>
    </row>
    <row r="20" spans="1:4">
      <c r="A20" s="22">
        <f t="shared" si="0"/>
        <v>18</v>
      </c>
      <c r="B20">
        <v>180</v>
      </c>
      <c r="C20">
        <v>124865.90399999999</v>
      </c>
      <c r="D20" s="23">
        <f t="shared" si="1"/>
        <v>1248.65904</v>
      </c>
    </row>
    <row r="21" spans="1:4">
      <c r="A21" s="22">
        <f t="shared" si="0"/>
        <v>19</v>
      </c>
      <c r="B21">
        <v>190</v>
      </c>
      <c r="C21">
        <v>124863.942</v>
      </c>
      <c r="D21" s="23">
        <f t="shared" si="1"/>
        <v>1248.63942</v>
      </c>
    </row>
    <row r="22" spans="1:4">
      <c r="A22" s="22">
        <f t="shared" si="0"/>
        <v>20</v>
      </c>
      <c r="B22">
        <v>200</v>
      </c>
      <c r="C22">
        <v>124861.98</v>
      </c>
      <c r="D22" s="23">
        <f t="shared" si="1"/>
        <v>1248.6197999999999</v>
      </c>
    </row>
    <row r="23" spans="1:4">
      <c r="A23" s="22">
        <f t="shared" si="0"/>
        <v>21</v>
      </c>
      <c r="B23">
        <v>210</v>
      </c>
      <c r="C23">
        <v>124860.016</v>
      </c>
      <c r="D23" s="23">
        <f t="shared" si="1"/>
        <v>1248.60016</v>
      </c>
    </row>
    <row r="24" spans="1:4">
      <c r="A24" s="22">
        <f t="shared" si="0"/>
        <v>22</v>
      </c>
      <c r="B24">
        <v>220</v>
      </c>
      <c r="C24">
        <v>124858.05200000001</v>
      </c>
      <c r="D24" s="23">
        <f t="shared" si="1"/>
        <v>1248.5805200000002</v>
      </c>
    </row>
    <row r="25" spans="1:4">
      <c r="A25" s="22">
        <f t="shared" si="0"/>
        <v>23</v>
      </c>
      <c r="B25">
        <v>230</v>
      </c>
      <c r="C25">
        <v>124856.08800000002</v>
      </c>
      <c r="D25" s="23">
        <f t="shared" si="1"/>
        <v>1248.5608800000002</v>
      </c>
    </row>
    <row r="26" spans="1:4">
      <c r="A26" s="22">
        <f t="shared" si="0"/>
        <v>24</v>
      </c>
      <c r="B26">
        <v>240</v>
      </c>
      <c r="C26">
        <v>124854.12400000003</v>
      </c>
      <c r="D26" s="23">
        <f t="shared" si="1"/>
        <v>1248.5412400000002</v>
      </c>
    </row>
    <row r="27" spans="1:4">
      <c r="A27" s="22">
        <f t="shared" si="0"/>
        <v>25</v>
      </c>
      <c r="B27">
        <v>250</v>
      </c>
      <c r="C27">
        <v>124852.16</v>
      </c>
      <c r="D27" s="23">
        <f t="shared" si="1"/>
        <v>1248.5216</v>
      </c>
    </row>
    <row r="28" spans="1:4">
      <c r="A28" s="22">
        <f t="shared" si="0"/>
        <v>26</v>
      </c>
      <c r="B28">
        <v>260</v>
      </c>
      <c r="C28">
        <v>124850.196</v>
      </c>
      <c r="D28" s="23">
        <f t="shared" si="1"/>
        <v>1248.5019600000001</v>
      </c>
    </row>
    <row r="29" spans="1:4">
      <c r="A29" s="22">
        <f t="shared" si="0"/>
        <v>27</v>
      </c>
      <c r="B29">
        <v>270</v>
      </c>
      <c r="C29">
        <v>124848.23199999999</v>
      </c>
      <c r="D29" s="23">
        <f t="shared" si="1"/>
        <v>1248.4823199999998</v>
      </c>
    </row>
    <row r="30" spans="1:4">
      <c r="A30" s="22">
        <f t="shared" si="0"/>
        <v>28</v>
      </c>
      <c r="B30">
        <v>280</v>
      </c>
      <c r="C30">
        <v>124846.26799999998</v>
      </c>
      <c r="D30" s="23">
        <f t="shared" si="1"/>
        <v>1248.4626799999999</v>
      </c>
    </row>
    <row r="31" spans="1:4">
      <c r="A31" s="22">
        <f t="shared" si="0"/>
        <v>29</v>
      </c>
      <c r="B31">
        <v>290</v>
      </c>
      <c r="C31">
        <v>124844.30399999997</v>
      </c>
      <c r="D31" s="23">
        <f t="shared" si="1"/>
        <v>1248.4430399999997</v>
      </c>
    </row>
    <row r="32" spans="1:4">
      <c r="A32" s="22">
        <f t="shared" si="0"/>
        <v>30</v>
      </c>
      <c r="B32">
        <v>300</v>
      </c>
      <c r="C32">
        <v>124842.34</v>
      </c>
      <c r="D32" s="23">
        <f t="shared" si="1"/>
        <v>1248.4233999999999</v>
      </c>
    </row>
    <row r="33" spans="1:4">
      <c r="A33" s="22">
        <f t="shared" si="0"/>
        <v>31</v>
      </c>
      <c r="B33">
        <v>310</v>
      </c>
      <c r="C33">
        <v>124840.376</v>
      </c>
      <c r="D33" s="23">
        <f t="shared" si="1"/>
        <v>1248.4037600000001</v>
      </c>
    </row>
    <row r="34" spans="1:4">
      <c r="A34" s="22">
        <f t="shared" si="0"/>
        <v>32</v>
      </c>
      <c r="B34">
        <v>320</v>
      </c>
      <c r="C34">
        <v>124838.41200000001</v>
      </c>
      <c r="D34" s="23">
        <f t="shared" si="1"/>
        <v>1248.3841200000002</v>
      </c>
    </row>
    <row r="35" spans="1:4">
      <c r="A35" s="22">
        <f t="shared" si="0"/>
        <v>33</v>
      </c>
      <c r="B35">
        <v>330</v>
      </c>
      <c r="C35">
        <v>124836.44800000002</v>
      </c>
      <c r="D35" s="23">
        <f t="shared" si="1"/>
        <v>1248.3644800000002</v>
      </c>
    </row>
    <row r="36" spans="1:4">
      <c r="A36" s="22">
        <f t="shared" si="0"/>
        <v>34</v>
      </c>
      <c r="B36">
        <v>340</v>
      </c>
      <c r="C36">
        <v>124834.48400000003</v>
      </c>
      <c r="D36" s="23">
        <f t="shared" si="1"/>
        <v>1248.3448400000002</v>
      </c>
    </row>
    <row r="37" spans="1:4">
      <c r="A37" s="22">
        <f t="shared" si="0"/>
        <v>35</v>
      </c>
      <c r="B37">
        <v>350</v>
      </c>
      <c r="C37">
        <v>124832.52</v>
      </c>
      <c r="D37" s="23">
        <f t="shared" si="1"/>
        <v>1248.3252</v>
      </c>
    </row>
    <row r="38" spans="1:4">
      <c r="A38" s="22">
        <f t="shared" si="0"/>
        <v>36</v>
      </c>
      <c r="B38">
        <v>360</v>
      </c>
      <c r="C38">
        <v>124830.556</v>
      </c>
      <c r="D38" s="23">
        <f t="shared" si="1"/>
        <v>1248.30556</v>
      </c>
    </row>
    <row r="39" spans="1:4">
      <c r="A39" s="22">
        <f t="shared" si="0"/>
        <v>37</v>
      </c>
      <c r="B39">
        <v>370</v>
      </c>
      <c r="C39">
        <v>124828.59199999999</v>
      </c>
      <c r="D39" s="23">
        <f t="shared" si="1"/>
        <v>1248.2859199999998</v>
      </c>
    </row>
    <row r="40" spans="1:4">
      <c r="A40" s="22">
        <f t="shared" si="0"/>
        <v>38</v>
      </c>
      <c r="B40">
        <v>380</v>
      </c>
      <c r="C40">
        <v>124826.62799999998</v>
      </c>
      <c r="D40" s="23">
        <f t="shared" si="1"/>
        <v>1248.2662799999998</v>
      </c>
    </row>
    <row r="41" spans="1:4">
      <c r="A41" s="22">
        <f t="shared" si="0"/>
        <v>39</v>
      </c>
      <c r="B41">
        <v>390</v>
      </c>
      <c r="C41">
        <v>124824.66399999998</v>
      </c>
      <c r="D41" s="23">
        <f t="shared" si="1"/>
        <v>1248.2466399999998</v>
      </c>
    </row>
    <row r="42" spans="1:4">
      <c r="A42" s="22">
        <f t="shared" si="0"/>
        <v>40</v>
      </c>
      <c r="B42">
        <v>400</v>
      </c>
      <c r="C42">
        <v>124822.7</v>
      </c>
      <c r="D42" s="23">
        <f t="shared" si="1"/>
        <v>1248.2269999999999</v>
      </c>
    </row>
    <row r="43" spans="1:4">
      <c r="A43" s="22">
        <f t="shared" si="0"/>
        <v>41</v>
      </c>
      <c r="B43">
        <v>410</v>
      </c>
      <c r="C43">
        <v>124820.738</v>
      </c>
      <c r="D43" s="23">
        <f t="shared" si="1"/>
        <v>1248.2073800000001</v>
      </c>
    </row>
    <row r="44" spans="1:4">
      <c r="A44" s="22">
        <f t="shared" si="0"/>
        <v>42</v>
      </c>
      <c r="B44">
        <v>420</v>
      </c>
      <c r="C44">
        <v>124818.776</v>
      </c>
      <c r="D44" s="23">
        <f t="shared" si="1"/>
        <v>1248.18776</v>
      </c>
    </row>
    <row r="45" spans="1:4">
      <c r="A45" s="22">
        <f t="shared" si="0"/>
        <v>43</v>
      </c>
      <c r="B45">
        <v>430</v>
      </c>
      <c r="C45">
        <v>124816.814</v>
      </c>
      <c r="D45" s="23">
        <f t="shared" si="1"/>
        <v>1248.16814</v>
      </c>
    </row>
    <row r="46" spans="1:4">
      <c r="A46" s="22">
        <f t="shared" si="0"/>
        <v>44</v>
      </c>
      <c r="B46">
        <v>440</v>
      </c>
      <c r="C46">
        <v>124814.852</v>
      </c>
      <c r="D46" s="23">
        <f t="shared" si="1"/>
        <v>1248.14852</v>
      </c>
    </row>
    <row r="47" spans="1:4">
      <c r="A47" s="22">
        <f t="shared" si="0"/>
        <v>45</v>
      </c>
      <c r="B47">
        <v>450</v>
      </c>
      <c r="C47">
        <v>124812.89</v>
      </c>
      <c r="D47" s="23">
        <f t="shared" si="1"/>
        <v>1248.1288999999999</v>
      </c>
    </row>
    <row r="48" spans="1:4">
      <c r="A48" s="22">
        <f t="shared" si="0"/>
        <v>46</v>
      </c>
      <c r="B48">
        <v>460</v>
      </c>
      <c r="C48">
        <v>124810.92600000001</v>
      </c>
      <c r="D48" s="23">
        <f t="shared" si="1"/>
        <v>1248.1092600000002</v>
      </c>
    </row>
    <row r="49" spans="1:4">
      <c r="A49" s="22">
        <f t="shared" si="0"/>
        <v>47</v>
      </c>
      <c r="B49">
        <v>470</v>
      </c>
      <c r="C49">
        <v>124808.96200000001</v>
      </c>
      <c r="D49" s="23">
        <f t="shared" si="1"/>
        <v>1248.0896200000002</v>
      </c>
    </row>
    <row r="50" spans="1:4">
      <c r="A50" s="22">
        <f t="shared" si="0"/>
        <v>48</v>
      </c>
      <c r="B50">
        <v>480</v>
      </c>
      <c r="C50">
        <v>124806.99800000002</v>
      </c>
      <c r="D50" s="23">
        <f t="shared" si="1"/>
        <v>1248.0699800000002</v>
      </c>
    </row>
    <row r="51" spans="1:4">
      <c r="A51" s="22">
        <f t="shared" si="0"/>
        <v>49</v>
      </c>
      <c r="B51">
        <v>490</v>
      </c>
      <c r="C51">
        <v>124805.03400000003</v>
      </c>
      <c r="D51" s="23">
        <f t="shared" si="1"/>
        <v>1248.0503400000002</v>
      </c>
    </row>
    <row r="52" spans="1:4">
      <c r="A52" s="22">
        <f t="shared" si="0"/>
        <v>50</v>
      </c>
      <c r="B52">
        <v>500</v>
      </c>
      <c r="C52">
        <v>124803.07</v>
      </c>
      <c r="D52" s="23">
        <f t="shared" si="1"/>
        <v>1248.0307</v>
      </c>
    </row>
    <row r="53" spans="1:4">
      <c r="A53" s="22">
        <f t="shared" si="0"/>
        <v>51</v>
      </c>
      <c r="B53">
        <v>510</v>
      </c>
      <c r="C53">
        <v>124801.09800000001</v>
      </c>
      <c r="D53" s="23">
        <f t="shared" si="1"/>
        <v>1248.01098</v>
      </c>
    </row>
    <row r="54" spans="1:4">
      <c r="A54" s="22">
        <f t="shared" si="0"/>
        <v>52</v>
      </c>
      <c r="B54">
        <v>520</v>
      </c>
      <c r="C54">
        <v>124799.12600000002</v>
      </c>
      <c r="D54" s="23">
        <f t="shared" si="1"/>
        <v>1247.9912600000002</v>
      </c>
    </row>
    <row r="55" spans="1:4">
      <c r="A55" s="22">
        <f t="shared" si="0"/>
        <v>53</v>
      </c>
      <c r="B55">
        <v>530</v>
      </c>
      <c r="C55">
        <v>124797.15400000002</v>
      </c>
      <c r="D55" s="23">
        <f t="shared" si="1"/>
        <v>1247.9715400000002</v>
      </c>
    </row>
    <row r="56" spans="1:4">
      <c r="A56" s="22">
        <f t="shared" si="0"/>
        <v>54</v>
      </c>
      <c r="B56">
        <v>540</v>
      </c>
      <c r="C56">
        <v>124795.18200000003</v>
      </c>
      <c r="D56" s="23">
        <f t="shared" si="1"/>
        <v>1247.9518200000002</v>
      </c>
    </row>
    <row r="57" spans="1:4">
      <c r="A57" s="22">
        <f t="shared" si="0"/>
        <v>55</v>
      </c>
      <c r="B57">
        <v>550</v>
      </c>
      <c r="C57">
        <v>124793.21</v>
      </c>
      <c r="D57" s="23">
        <f t="shared" si="1"/>
        <v>1247.9321</v>
      </c>
    </row>
    <row r="58" spans="1:4">
      <c r="A58" s="22">
        <f t="shared" si="0"/>
        <v>56</v>
      </c>
      <c r="B58">
        <v>560</v>
      </c>
      <c r="C58">
        <v>124791.106</v>
      </c>
      <c r="D58" s="23">
        <f t="shared" si="1"/>
        <v>1247.9110599999999</v>
      </c>
    </row>
    <row r="59" spans="1:4">
      <c r="A59" s="22">
        <f t="shared" si="0"/>
        <v>57</v>
      </c>
      <c r="B59">
        <v>570</v>
      </c>
      <c r="C59">
        <v>124789.00199999999</v>
      </c>
      <c r="D59" s="23">
        <f t="shared" si="1"/>
        <v>1247.8900199999998</v>
      </c>
    </row>
    <row r="60" spans="1:4">
      <c r="A60" s="22">
        <f t="shared" si="0"/>
        <v>58</v>
      </c>
      <c r="B60">
        <v>580</v>
      </c>
      <c r="C60">
        <v>124786.89799999999</v>
      </c>
      <c r="D60" s="23">
        <f t="shared" si="1"/>
        <v>1247.86898</v>
      </c>
    </row>
    <row r="61" spans="1:4">
      <c r="A61" s="22">
        <f t="shared" si="0"/>
        <v>59</v>
      </c>
      <c r="B61">
        <v>590</v>
      </c>
      <c r="C61">
        <v>124784.79399999998</v>
      </c>
      <c r="D61" s="23">
        <f t="shared" si="1"/>
        <v>1247.8479399999999</v>
      </c>
    </row>
    <row r="62" spans="1:4">
      <c r="A62" s="22">
        <f t="shared" si="0"/>
        <v>60</v>
      </c>
      <c r="B62">
        <v>600</v>
      </c>
      <c r="C62">
        <v>124782.69</v>
      </c>
      <c r="D62" s="23">
        <f t="shared" si="1"/>
        <v>1247.8269</v>
      </c>
    </row>
    <row r="63" spans="1:4">
      <c r="A63" s="22">
        <f t="shared" si="0"/>
        <v>61</v>
      </c>
      <c r="B63">
        <v>610</v>
      </c>
      <c r="C63">
        <v>124780.356</v>
      </c>
      <c r="D63" s="23">
        <f t="shared" si="1"/>
        <v>1247.8035600000001</v>
      </c>
    </row>
    <row r="64" spans="1:4">
      <c r="A64" s="22">
        <f t="shared" si="0"/>
        <v>62</v>
      </c>
      <c r="B64">
        <v>620</v>
      </c>
      <c r="C64">
        <v>124778.022</v>
      </c>
      <c r="D64" s="23">
        <f t="shared" si="1"/>
        <v>1247.7802199999999</v>
      </c>
    </row>
    <row r="65" spans="1:4">
      <c r="A65" s="22">
        <f t="shared" si="0"/>
        <v>63</v>
      </c>
      <c r="B65">
        <v>630</v>
      </c>
      <c r="C65">
        <v>124775.68799999999</v>
      </c>
      <c r="D65" s="23">
        <f t="shared" si="1"/>
        <v>1247.7568799999999</v>
      </c>
    </row>
    <row r="66" spans="1:4">
      <c r="A66" s="22">
        <f t="shared" si="0"/>
        <v>64</v>
      </c>
      <c r="B66">
        <v>640</v>
      </c>
      <c r="C66">
        <v>124773.35399999999</v>
      </c>
      <c r="D66" s="23">
        <f t="shared" si="1"/>
        <v>1247.7335399999999</v>
      </c>
    </row>
    <row r="67" spans="1:4">
      <c r="A67" s="22">
        <f t="shared" ref="A67:A130" si="2">B67/10</f>
        <v>65</v>
      </c>
      <c r="B67">
        <v>650</v>
      </c>
      <c r="C67">
        <v>124771.02</v>
      </c>
      <c r="D67" s="23">
        <f t="shared" ref="D67:D130" si="3">C67/100</f>
        <v>1247.7102</v>
      </c>
    </row>
    <row r="68" spans="1:4">
      <c r="A68" s="22">
        <f t="shared" si="2"/>
        <v>66</v>
      </c>
      <c r="B68">
        <v>660</v>
      </c>
      <c r="C68">
        <v>124768.444</v>
      </c>
      <c r="D68" s="23">
        <f t="shared" si="3"/>
        <v>1247.68444</v>
      </c>
    </row>
    <row r="69" spans="1:4">
      <c r="A69" s="22">
        <f t="shared" si="2"/>
        <v>67</v>
      </c>
      <c r="B69">
        <v>670</v>
      </c>
      <c r="C69">
        <v>124765.868</v>
      </c>
      <c r="D69" s="23">
        <f t="shared" si="3"/>
        <v>1247.65868</v>
      </c>
    </row>
    <row r="70" spans="1:4">
      <c r="A70" s="22">
        <f t="shared" si="2"/>
        <v>68</v>
      </c>
      <c r="B70">
        <v>680</v>
      </c>
      <c r="C70">
        <v>124763.292</v>
      </c>
      <c r="D70" s="23">
        <f t="shared" si="3"/>
        <v>1247.63292</v>
      </c>
    </row>
    <row r="71" spans="1:4">
      <c r="A71" s="22">
        <f t="shared" si="2"/>
        <v>69</v>
      </c>
      <c r="B71">
        <v>690</v>
      </c>
      <c r="C71">
        <v>124760.716</v>
      </c>
      <c r="D71" s="23">
        <f t="shared" si="3"/>
        <v>1247.60716</v>
      </c>
    </row>
    <row r="72" spans="1:4">
      <c r="A72" s="22">
        <f t="shared" si="2"/>
        <v>70</v>
      </c>
      <c r="B72">
        <v>700</v>
      </c>
      <c r="C72">
        <v>124758.14</v>
      </c>
      <c r="D72" s="23">
        <f t="shared" si="3"/>
        <v>1247.5814</v>
      </c>
    </row>
    <row r="73" spans="1:4">
      <c r="A73" s="22">
        <f t="shared" si="2"/>
        <v>71</v>
      </c>
      <c r="B73">
        <v>710</v>
      </c>
      <c r="C73">
        <v>124752.49400000001</v>
      </c>
      <c r="D73" s="23">
        <f t="shared" si="3"/>
        <v>1247.52494</v>
      </c>
    </row>
    <row r="74" spans="1:4">
      <c r="A74" s="22">
        <f t="shared" si="2"/>
        <v>72</v>
      </c>
      <c r="B74">
        <v>720</v>
      </c>
      <c r="C74">
        <v>124746.84800000001</v>
      </c>
      <c r="D74" s="23">
        <f t="shared" si="3"/>
        <v>1247.4684800000002</v>
      </c>
    </row>
    <row r="75" spans="1:4">
      <c r="A75" s="22">
        <f t="shared" si="2"/>
        <v>73</v>
      </c>
      <c r="B75">
        <v>730</v>
      </c>
      <c r="C75">
        <v>124741.20200000002</v>
      </c>
      <c r="D75" s="23">
        <f t="shared" si="3"/>
        <v>1247.4120200000002</v>
      </c>
    </row>
    <row r="76" spans="1:4">
      <c r="A76" s="22">
        <f t="shared" si="2"/>
        <v>74</v>
      </c>
      <c r="B76">
        <v>740</v>
      </c>
      <c r="C76">
        <v>124735.55600000003</v>
      </c>
      <c r="D76" s="23">
        <f t="shared" si="3"/>
        <v>1247.3555600000002</v>
      </c>
    </row>
    <row r="77" spans="1:4">
      <c r="A77" s="22">
        <f t="shared" si="2"/>
        <v>75</v>
      </c>
      <c r="B77">
        <v>750</v>
      </c>
      <c r="C77">
        <v>124729.91</v>
      </c>
      <c r="D77" s="23">
        <f t="shared" si="3"/>
        <v>1247.2991</v>
      </c>
    </row>
    <row r="78" spans="1:4">
      <c r="A78" s="22">
        <f t="shared" si="2"/>
        <v>76</v>
      </c>
      <c r="B78">
        <v>760</v>
      </c>
      <c r="C78">
        <v>124690.17600000001</v>
      </c>
      <c r="D78" s="23">
        <f t="shared" si="3"/>
        <v>1246.90176</v>
      </c>
    </row>
    <row r="79" spans="1:4">
      <c r="A79" s="22">
        <f t="shared" si="2"/>
        <v>77</v>
      </c>
      <c r="B79">
        <v>770</v>
      </c>
      <c r="C79">
        <v>124650.44200000001</v>
      </c>
      <c r="D79" s="23">
        <f t="shared" si="3"/>
        <v>1246.5044200000002</v>
      </c>
    </row>
    <row r="80" spans="1:4">
      <c r="A80" s="22">
        <f t="shared" si="2"/>
        <v>78</v>
      </c>
      <c r="B80">
        <v>780</v>
      </c>
      <c r="C80">
        <v>124610.70800000001</v>
      </c>
      <c r="D80" s="23">
        <f t="shared" si="3"/>
        <v>1246.1070800000002</v>
      </c>
    </row>
    <row r="81" spans="1:4">
      <c r="A81" s="22">
        <f t="shared" si="2"/>
        <v>79</v>
      </c>
      <c r="B81">
        <v>790</v>
      </c>
      <c r="C81">
        <v>124570.97400000002</v>
      </c>
      <c r="D81" s="23">
        <f t="shared" si="3"/>
        <v>1245.7097400000002</v>
      </c>
    </row>
    <row r="82" spans="1:4">
      <c r="A82" s="22">
        <f t="shared" si="2"/>
        <v>80</v>
      </c>
      <c r="B82">
        <v>800</v>
      </c>
      <c r="C82">
        <v>124531.24</v>
      </c>
      <c r="D82" s="23">
        <f t="shared" si="3"/>
        <v>1245.3124</v>
      </c>
    </row>
    <row r="83" spans="1:4">
      <c r="A83" s="22">
        <f t="shared" si="2"/>
        <v>81</v>
      </c>
      <c r="B83">
        <v>810</v>
      </c>
      <c r="C83">
        <v>124462.18800000001</v>
      </c>
      <c r="D83" s="23">
        <f t="shared" si="3"/>
        <v>1244.6218800000001</v>
      </c>
    </row>
    <row r="84" spans="1:4">
      <c r="A84" s="22">
        <f t="shared" si="2"/>
        <v>82</v>
      </c>
      <c r="B84">
        <v>820</v>
      </c>
      <c r="C84">
        <v>124393.13600000001</v>
      </c>
      <c r="D84" s="23">
        <f t="shared" si="3"/>
        <v>1243.93136</v>
      </c>
    </row>
    <row r="85" spans="1:4">
      <c r="A85" s="22">
        <f t="shared" si="2"/>
        <v>83</v>
      </c>
      <c r="B85">
        <v>830</v>
      </c>
      <c r="C85">
        <v>124324.08400000002</v>
      </c>
      <c r="D85" s="23">
        <f t="shared" si="3"/>
        <v>1243.2408400000002</v>
      </c>
    </row>
    <row r="86" spans="1:4">
      <c r="A86" s="22">
        <f t="shared" si="2"/>
        <v>84</v>
      </c>
      <c r="B86">
        <v>840</v>
      </c>
      <c r="C86">
        <v>124255.03200000002</v>
      </c>
      <c r="D86" s="23">
        <f t="shared" si="3"/>
        <v>1242.5503200000003</v>
      </c>
    </row>
    <row r="87" spans="1:4">
      <c r="A87" s="22">
        <f t="shared" si="2"/>
        <v>85</v>
      </c>
      <c r="B87">
        <v>850</v>
      </c>
      <c r="C87">
        <v>124185.98</v>
      </c>
      <c r="D87" s="23">
        <f t="shared" si="3"/>
        <v>1241.8598</v>
      </c>
    </row>
    <row r="88" spans="1:4">
      <c r="A88" s="22">
        <f t="shared" si="2"/>
        <v>86</v>
      </c>
      <c r="B88">
        <v>860</v>
      </c>
      <c r="C88">
        <v>124094</v>
      </c>
      <c r="D88" s="23">
        <f t="shared" si="3"/>
        <v>1240.94</v>
      </c>
    </row>
    <row r="89" spans="1:4">
      <c r="A89" s="22">
        <f t="shared" si="2"/>
        <v>87</v>
      </c>
      <c r="B89">
        <v>870</v>
      </c>
      <c r="C89">
        <v>124002.02</v>
      </c>
      <c r="D89" s="23">
        <f t="shared" si="3"/>
        <v>1240.0201999999999</v>
      </c>
    </row>
    <row r="90" spans="1:4">
      <c r="A90" s="22">
        <f t="shared" si="2"/>
        <v>88</v>
      </c>
      <c r="B90">
        <v>880</v>
      </c>
      <c r="C90">
        <v>123910.04000000001</v>
      </c>
      <c r="D90" s="23">
        <f t="shared" si="3"/>
        <v>1239.1004</v>
      </c>
    </row>
    <row r="91" spans="1:4">
      <c r="A91" s="22">
        <f t="shared" si="2"/>
        <v>89</v>
      </c>
      <c r="B91">
        <v>890</v>
      </c>
      <c r="C91">
        <v>123818.06000000001</v>
      </c>
      <c r="D91" s="23">
        <f t="shared" si="3"/>
        <v>1238.1806000000001</v>
      </c>
    </row>
    <row r="92" spans="1:4">
      <c r="A92" s="22">
        <f t="shared" si="2"/>
        <v>90</v>
      </c>
      <c r="B92">
        <v>900</v>
      </c>
      <c r="C92">
        <v>123726.08</v>
      </c>
      <c r="D92" s="23">
        <f t="shared" si="3"/>
        <v>1237.2608</v>
      </c>
    </row>
    <row r="93" spans="1:4">
      <c r="A93" s="22">
        <f t="shared" si="2"/>
        <v>91</v>
      </c>
      <c r="B93">
        <v>910</v>
      </c>
      <c r="C93">
        <v>123614.988</v>
      </c>
      <c r="D93" s="23">
        <f t="shared" si="3"/>
        <v>1236.1498799999999</v>
      </c>
    </row>
    <row r="94" spans="1:4">
      <c r="A94" s="22">
        <f t="shared" si="2"/>
        <v>92</v>
      </c>
      <c r="B94">
        <v>920</v>
      </c>
      <c r="C94">
        <v>123503.89599999999</v>
      </c>
      <c r="D94" s="23">
        <f t="shared" si="3"/>
        <v>1235.0389599999999</v>
      </c>
    </row>
    <row r="95" spans="1:4">
      <c r="A95" s="22">
        <f t="shared" si="2"/>
        <v>93</v>
      </c>
      <c r="B95">
        <v>930</v>
      </c>
      <c r="C95">
        <v>123392.80399999999</v>
      </c>
      <c r="D95" s="23">
        <f t="shared" si="3"/>
        <v>1233.9280399999998</v>
      </c>
    </row>
    <row r="96" spans="1:4">
      <c r="A96" s="22">
        <f t="shared" si="2"/>
        <v>94</v>
      </c>
      <c r="B96">
        <v>940</v>
      </c>
      <c r="C96">
        <v>123281.71199999998</v>
      </c>
      <c r="D96" s="23">
        <f t="shared" si="3"/>
        <v>1232.8171199999999</v>
      </c>
    </row>
    <row r="97" spans="1:4">
      <c r="A97" s="22">
        <f t="shared" si="2"/>
        <v>95</v>
      </c>
      <c r="B97">
        <v>950</v>
      </c>
      <c r="C97">
        <v>123170.62</v>
      </c>
      <c r="D97" s="23">
        <f t="shared" si="3"/>
        <v>1231.7061999999999</v>
      </c>
    </row>
    <row r="98" spans="1:4">
      <c r="A98" s="22">
        <f t="shared" si="2"/>
        <v>96</v>
      </c>
      <c r="B98">
        <v>960</v>
      </c>
      <c r="C98">
        <v>123042.174</v>
      </c>
      <c r="D98" s="23">
        <f t="shared" si="3"/>
        <v>1230.42174</v>
      </c>
    </row>
    <row r="99" spans="1:4">
      <c r="A99" s="22">
        <f t="shared" si="2"/>
        <v>97</v>
      </c>
      <c r="B99">
        <v>970</v>
      </c>
      <c r="C99">
        <v>122913.728</v>
      </c>
      <c r="D99" s="23">
        <f t="shared" si="3"/>
        <v>1229.1372799999999</v>
      </c>
    </row>
    <row r="100" spans="1:4">
      <c r="A100" s="22">
        <f t="shared" si="2"/>
        <v>98</v>
      </c>
      <c r="B100">
        <v>980</v>
      </c>
      <c r="C100">
        <v>122785.28200000001</v>
      </c>
      <c r="D100" s="23">
        <f t="shared" si="3"/>
        <v>1227.8528200000001</v>
      </c>
    </row>
    <row r="101" spans="1:4">
      <c r="A101" s="22">
        <f t="shared" si="2"/>
        <v>99</v>
      </c>
      <c r="B101">
        <v>990</v>
      </c>
      <c r="C101">
        <v>122656.83600000001</v>
      </c>
      <c r="D101" s="23">
        <f t="shared" si="3"/>
        <v>1226.5683600000002</v>
      </c>
    </row>
    <row r="102" spans="1:4">
      <c r="A102" s="22">
        <f t="shared" si="2"/>
        <v>100</v>
      </c>
      <c r="B102">
        <v>1000</v>
      </c>
      <c r="C102">
        <v>122528.39</v>
      </c>
      <c r="D102" s="23">
        <f t="shared" si="3"/>
        <v>1225.2838999999999</v>
      </c>
    </row>
    <row r="103" spans="1:4">
      <c r="A103" s="22">
        <f t="shared" si="2"/>
        <v>101</v>
      </c>
      <c r="B103">
        <v>1010</v>
      </c>
      <c r="C103">
        <v>122386.242</v>
      </c>
      <c r="D103" s="23">
        <f t="shared" si="3"/>
        <v>1223.8624199999999</v>
      </c>
    </row>
    <row r="104" spans="1:4">
      <c r="A104" s="22">
        <f t="shared" si="2"/>
        <v>102</v>
      </c>
      <c r="B104">
        <v>1020</v>
      </c>
      <c r="C104">
        <v>122244.094</v>
      </c>
      <c r="D104" s="23">
        <f t="shared" si="3"/>
        <v>1222.44094</v>
      </c>
    </row>
    <row r="105" spans="1:4">
      <c r="A105" s="22">
        <f t="shared" si="2"/>
        <v>103</v>
      </c>
      <c r="B105">
        <v>1030</v>
      </c>
      <c r="C105">
        <v>122101.946</v>
      </c>
      <c r="D105" s="23">
        <f t="shared" si="3"/>
        <v>1221.01946</v>
      </c>
    </row>
    <row r="106" spans="1:4">
      <c r="A106" s="22">
        <f t="shared" si="2"/>
        <v>104</v>
      </c>
      <c r="B106">
        <v>1040</v>
      </c>
      <c r="C106">
        <v>121959.798</v>
      </c>
      <c r="D106" s="23">
        <f t="shared" si="3"/>
        <v>1219.59798</v>
      </c>
    </row>
    <row r="107" spans="1:4">
      <c r="A107" s="22">
        <f t="shared" si="2"/>
        <v>105</v>
      </c>
      <c r="B107">
        <v>1050</v>
      </c>
      <c r="C107">
        <v>121817.65</v>
      </c>
      <c r="D107" s="23">
        <f t="shared" si="3"/>
        <v>1218.1765</v>
      </c>
    </row>
    <row r="108" spans="1:4">
      <c r="A108" s="22">
        <f t="shared" si="2"/>
        <v>106</v>
      </c>
      <c r="B108">
        <v>1060</v>
      </c>
      <c r="C108">
        <v>121663.41799999999</v>
      </c>
      <c r="D108" s="23">
        <f t="shared" si="3"/>
        <v>1216.63418</v>
      </c>
    </row>
    <row r="109" spans="1:4">
      <c r="A109" s="22">
        <f t="shared" si="2"/>
        <v>107</v>
      </c>
      <c r="B109">
        <v>1070</v>
      </c>
      <c r="C109">
        <v>121509.18599999999</v>
      </c>
      <c r="D109" s="23">
        <f t="shared" si="3"/>
        <v>1215.0918599999998</v>
      </c>
    </row>
    <row r="110" spans="1:4">
      <c r="A110" s="22">
        <f t="shared" si="2"/>
        <v>108</v>
      </c>
      <c r="B110">
        <v>1080</v>
      </c>
      <c r="C110">
        <v>121354.95399999998</v>
      </c>
      <c r="D110" s="23">
        <f t="shared" si="3"/>
        <v>1213.5495399999998</v>
      </c>
    </row>
    <row r="111" spans="1:4">
      <c r="A111" s="22">
        <f t="shared" si="2"/>
        <v>109</v>
      </c>
      <c r="B111">
        <v>1090</v>
      </c>
      <c r="C111">
        <v>121200.72199999998</v>
      </c>
      <c r="D111" s="23">
        <f t="shared" si="3"/>
        <v>1212.0072199999997</v>
      </c>
    </row>
    <row r="112" spans="1:4">
      <c r="A112" s="22">
        <f t="shared" si="2"/>
        <v>110</v>
      </c>
      <c r="B112">
        <v>1100</v>
      </c>
      <c r="C112">
        <v>121046.49</v>
      </c>
      <c r="D112" s="23">
        <f t="shared" si="3"/>
        <v>1210.4648999999999</v>
      </c>
    </row>
    <row r="113" spans="1:4">
      <c r="A113" s="22">
        <f t="shared" si="2"/>
        <v>111</v>
      </c>
      <c r="B113">
        <v>1110</v>
      </c>
      <c r="C113">
        <v>120886.91800000001</v>
      </c>
      <c r="D113" s="23">
        <f t="shared" si="3"/>
        <v>1208.8691800000001</v>
      </c>
    </row>
    <row r="114" spans="1:4">
      <c r="A114" s="22">
        <f t="shared" si="2"/>
        <v>112</v>
      </c>
      <c r="B114">
        <v>1120</v>
      </c>
      <c r="C114">
        <v>120727.34600000001</v>
      </c>
      <c r="D114" s="23">
        <f t="shared" si="3"/>
        <v>1207.2734600000001</v>
      </c>
    </row>
    <row r="115" spans="1:4">
      <c r="A115" s="22">
        <f t="shared" si="2"/>
        <v>113</v>
      </c>
      <c r="B115">
        <v>1130</v>
      </c>
      <c r="C115">
        <v>120567.774</v>
      </c>
      <c r="D115" s="23">
        <f t="shared" si="3"/>
        <v>1205.6777400000001</v>
      </c>
    </row>
    <row r="116" spans="1:4">
      <c r="A116" s="22">
        <f t="shared" si="2"/>
        <v>114</v>
      </c>
      <c r="B116">
        <v>1140</v>
      </c>
      <c r="C116">
        <v>120408.202</v>
      </c>
      <c r="D116" s="23">
        <f t="shared" si="3"/>
        <v>1204.0820200000001</v>
      </c>
    </row>
    <row r="117" spans="1:4">
      <c r="A117" s="22">
        <f t="shared" si="2"/>
        <v>115</v>
      </c>
      <c r="B117">
        <v>1150</v>
      </c>
      <c r="C117">
        <v>120248.63</v>
      </c>
      <c r="D117" s="23">
        <f t="shared" si="3"/>
        <v>1202.4863</v>
      </c>
    </row>
    <row r="118" spans="1:4">
      <c r="A118" s="22">
        <f t="shared" si="2"/>
        <v>116</v>
      </c>
      <c r="B118">
        <v>1160</v>
      </c>
      <c r="C118">
        <v>120088.814</v>
      </c>
      <c r="D118" s="23">
        <f t="shared" si="3"/>
        <v>1200.88814</v>
      </c>
    </row>
    <row r="119" spans="1:4">
      <c r="A119" s="22">
        <f t="shared" si="2"/>
        <v>117</v>
      </c>
      <c r="B119">
        <v>1170</v>
      </c>
      <c r="C119">
        <v>119928.99799999999</v>
      </c>
      <c r="D119" s="23">
        <f t="shared" si="3"/>
        <v>1199.28998</v>
      </c>
    </row>
    <row r="120" spans="1:4">
      <c r="A120" s="22">
        <f t="shared" si="2"/>
        <v>118</v>
      </c>
      <c r="B120">
        <v>1180</v>
      </c>
      <c r="C120">
        <v>119769.18199999999</v>
      </c>
      <c r="D120" s="23">
        <f t="shared" si="3"/>
        <v>1197.6918199999998</v>
      </c>
    </row>
    <row r="121" spans="1:4">
      <c r="A121" s="22">
        <f t="shared" si="2"/>
        <v>119</v>
      </c>
      <c r="B121">
        <v>1190</v>
      </c>
      <c r="C121">
        <v>119609.36599999998</v>
      </c>
      <c r="D121" s="23">
        <f t="shared" si="3"/>
        <v>1196.0936599999998</v>
      </c>
    </row>
    <row r="122" spans="1:4">
      <c r="A122" s="22">
        <f t="shared" si="2"/>
        <v>120</v>
      </c>
      <c r="B122">
        <v>1200</v>
      </c>
      <c r="C122">
        <v>119449.55</v>
      </c>
      <c r="D122" s="23">
        <f t="shared" si="3"/>
        <v>1194.4955</v>
      </c>
    </row>
    <row r="123" spans="1:4">
      <c r="A123" s="22">
        <f t="shared" si="2"/>
        <v>121</v>
      </c>
      <c r="B123">
        <v>1210</v>
      </c>
      <c r="C123">
        <v>119289.97200000001</v>
      </c>
      <c r="D123" s="23">
        <f t="shared" si="3"/>
        <v>1192.8997200000001</v>
      </c>
    </row>
    <row r="124" spans="1:4">
      <c r="A124" s="22">
        <f t="shared" si="2"/>
        <v>122</v>
      </c>
      <c r="B124">
        <v>1220</v>
      </c>
      <c r="C124">
        <v>119130.39400000001</v>
      </c>
      <c r="D124" s="23">
        <f t="shared" si="3"/>
        <v>1191.3039400000002</v>
      </c>
    </row>
    <row r="125" spans="1:4">
      <c r="A125" s="22">
        <f t="shared" si="2"/>
        <v>123</v>
      </c>
      <c r="B125">
        <v>1230</v>
      </c>
      <c r="C125">
        <v>118970.81600000002</v>
      </c>
      <c r="D125" s="23">
        <f t="shared" si="3"/>
        <v>1189.7081600000001</v>
      </c>
    </row>
    <row r="126" spans="1:4">
      <c r="A126" s="22">
        <f t="shared" si="2"/>
        <v>124</v>
      </c>
      <c r="B126">
        <v>1240</v>
      </c>
      <c r="C126">
        <v>118811.23800000003</v>
      </c>
      <c r="D126" s="23">
        <f t="shared" si="3"/>
        <v>1188.1123800000003</v>
      </c>
    </row>
    <row r="127" spans="1:4">
      <c r="A127" s="22">
        <f t="shared" si="2"/>
        <v>125</v>
      </c>
      <c r="B127">
        <v>1250</v>
      </c>
      <c r="C127">
        <v>118651.66</v>
      </c>
      <c r="D127" s="23">
        <f t="shared" si="3"/>
        <v>1186.5165999999999</v>
      </c>
    </row>
    <row r="128" spans="1:4">
      <c r="A128" s="22">
        <f t="shared" si="2"/>
        <v>126</v>
      </c>
      <c r="B128">
        <v>1260</v>
      </c>
      <c r="C128">
        <v>118492.304</v>
      </c>
      <c r="D128" s="23">
        <f t="shared" si="3"/>
        <v>1184.9230400000001</v>
      </c>
    </row>
    <row r="129" spans="1:4">
      <c r="A129" s="22">
        <f t="shared" si="2"/>
        <v>127</v>
      </c>
      <c r="B129">
        <v>1270</v>
      </c>
      <c r="C129">
        <v>118332.948</v>
      </c>
      <c r="D129" s="23">
        <f t="shared" si="3"/>
        <v>1183.3294800000001</v>
      </c>
    </row>
    <row r="130" spans="1:4">
      <c r="A130" s="22">
        <f t="shared" si="2"/>
        <v>128</v>
      </c>
      <c r="B130">
        <v>1280</v>
      </c>
      <c r="C130">
        <v>118173.592</v>
      </c>
      <c r="D130" s="23">
        <f t="shared" si="3"/>
        <v>1181.7359200000001</v>
      </c>
    </row>
    <row r="131" spans="1:4">
      <c r="A131" s="22">
        <f t="shared" ref="A131:A194" si="4">B131/10</f>
        <v>129</v>
      </c>
      <c r="B131">
        <v>1290</v>
      </c>
      <c r="C131">
        <v>118014.7255374114</v>
      </c>
      <c r="D131" s="23">
        <f t="shared" ref="D131:D194" si="5">C131/100</f>
        <v>1180.1472553741141</v>
      </c>
    </row>
    <row r="132" spans="1:4">
      <c r="A132" s="22">
        <f t="shared" si="4"/>
        <v>130</v>
      </c>
      <c r="B132">
        <v>1300</v>
      </c>
      <c r="C132">
        <v>117854.88</v>
      </c>
      <c r="D132" s="23">
        <f t="shared" si="5"/>
        <v>1178.5488</v>
      </c>
    </row>
    <row r="133" spans="1:4">
      <c r="A133" s="22">
        <f t="shared" si="4"/>
        <v>131</v>
      </c>
      <c r="B133">
        <v>1310</v>
      </c>
      <c r="C133">
        <v>117695.72600000001</v>
      </c>
      <c r="D133" s="23">
        <f t="shared" si="5"/>
        <v>1176.9572600000001</v>
      </c>
    </row>
    <row r="134" spans="1:4">
      <c r="A134" s="22">
        <f t="shared" si="4"/>
        <v>132</v>
      </c>
      <c r="B134">
        <v>1320</v>
      </c>
      <c r="C134">
        <v>117536.57200000001</v>
      </c>
      <c r="D134" s="23">
        <f t="shared" si="5"/>
        <v>1175.3657200000002</v>
      </c>
    </row>
    <row r="135" spans="1:4">
      <c r="A135" s="22">
        <f t="shared" si="4"/>
        <v>133</v>
      </c>
      <c r="B135">
        <v>1330</v>
      </c>
      <c r="C135">
        <v>117377.41800000002</v>
      </c>
      <c r="D135" s="23">
        <f t="shared" si="5"/>
        <v>1173.7741800000001</v>
      </c>
    </row>
    <row r="136" spans="1:4">
      <c r="A136" s="22">
        <f t="shared" si="4"/>
        <v>134</v>
      </c>
      <c r="B136">
        <v>1340</v>
      </c>
      <c r="C136">
        <v>117218.26400000002</v>
      </c>
      <c r="D136" s="23">
        <f t="shared" si="5"/>
        <v>1172.1826400000002</v>
      </c>
    </row>
    <row r="137" spans="1:4">
      <c r="A137" s="22">
        <f t="shared" si="4"/>
        <v>135</v>
      </c>
      <c r="B137">
        <v>1350</v>
      </c>
      <c r="C137">
        <v>117059.11</v>
      </c>
      <c r="D137" s="23">
        <f t="shared" si="5"/>
        <v>1170.5911000000001</v>
      </c>
    </row>
    <row r="138" spans="1:4">
      <c r="A138" s="22">
        <f t="shared" si="4"/>
        <v>136</v>
      </c>
      <c r="B138">
        <v>1360</v>
      </c>
      <c r="C138">
        <v>116900.122</v>
      </c>
      <c r="D138" s="23">
        <f t="shared" si="5"/>
        <v>1169.0012200000001</v>
      </c>
    </row>
    <row r="139" spans="1:4">
      <c r="A139" s="22">
        <f t="shared" si="4"/>
        <v>137</v>
      </c>
      <c r="B139">
        <v>1370</v>
      </c>
      <c r="C139">
        <v>116741.13400000001</v>
      </c>
      <c r="D139" s="23">
        <f t="shared" si="5"/>
        <v>1167.4113400000001</v>
      </c>
    </row>
    <row r="140" spans="1:4">
      <c r="A140" s="22">
        <f t="shared" si="4"/>
        <v>138</v>
      </c>
      <c r="B140">
        <v>1380</v>
      </c>
      <c r="C140">
        <v>116582.14600000001</v>
      </c>
      <c r="D140" s="23">
        <f t="shared" si="5"/>
        <v>1165.8214600000001</v>
      </c>
    </row>
    <row r="141" spans="1:4">
      <c r="A141" s="22">
        <f t="shared" si="4"/>
        <v>139</v>
      </c>
      <c r="B141">
        <v>1390</v>
      </c>
      <c r="C141">
        <v>116423.15800000001</v>
      </c>
      <c r="D141" s="23">
        <f t="shared" si="5"/>
        <v>1164.2315800000001</v>
      </c>
    </row>
    <row r="142" spans="1:4">
      <c r="A142" s="22">
        <f t="shared" si="4"/>
        <v>140</v>
      </c>
      <c r="B142">
        <v>1400</v>
      </c>
      <c r="C142">
        <v>116264.17</v>
      </c>
      <c r="D142" s="23">
        <f t="shared" si="5"/>
        <v>1162.6416999999999</v>
      </c>
    </row>
    <row r="143" spans="1:4">
      <c r="A143" s="22">
        <f t="shared" si="4"/>
        <v>141</v>
      </c>
      <c r="B143">
        <v>1410</v>
      </c>
      <c r="C143">
        <v>116105.29</v>
      </c>
      <c r="D143" s="23">
        <f t="shared" si="5"/>
        <v>1161.0528999999999</v>
      </c>
    </row>
    <row r="144" spans="1:4">
      <c r="A144" s="22">
        <f t="shared" si="4"/>
        <v>142</v>
      </c>
      <c r="B144">
        <v>1420</v>
      </c>
      <c r="C144">
        <v>115946.40999999999</v>
      </c>
      <c r="D144" s="23">
        <f t="shared" si="5"/>
        <v>1159.4640999999999</v>
      </c>
    </row>
    <row r="145" spans="1:4">
      <c r="A145" s="22">
        <f t="shared" si="4"/>
        <v>143</v>
      </c>
      <c r="B145">
        <v>1430</v>
      </c>
      <c r="C145">
        <v>115787.52999999998</v>
      </c>
      <c r="D145" s="23">
        <f t="shared" si="5"/>
        <v>1157.8752999999999</v>
      </c>
    </row>
    <row r="146" spans="1:4">
      <c r="A146" s="22">
        <f t="shared" si="4"/>
        <v>144</v>
      </c>
      <c r="B146">
        <v>1440</v>
      </c>
      <c r="C146">
        <v>115628.64999999998</v>
      </c>
      <c r="D146" s="23">
        <f t="shared" si="5"/>
        <v>1156.2864999999997</v>
      </c>
    </row>
    <row r="147" spans="1:4">
      <c r="A147" s="22">
        <f t="shared" si="4"/>
        <v>145</v>
      </c>
      <c r="B147">
        <v>1450</v>
      </c>
      <c r="C147">
        <v>115469.77</v>
      </c>
      <c r="D147" s="23">
        <f t="shared" si="5"/>
        <v>1154.6976999999999</v>
      </c>
    </row>
    <row r="148" spans="1:4">
      <c r="A148" s="22">
        <f t="shared" si="4"/>
        <v>146</v>
      </c>
      <c r="B148">
        <v>1460</v>
      </c>
      <c r="C148">
        <v>115310.9035374114</v>
      </c>
      <c r="D148" s="23">
        <f t="shared" si="5"/>
        <v>1153.109035374114</v>
      </c>
    </row>
    <row r="149" spans="1:4">
      <c r="A149" s="22">
        <f t="shared" si="4"/>
        <v>147</v>
      </c>
      <c r="B149">
        <v>1470</v>
      </c>
      <c r="C149">
        <v>115152.0370748228</v>
      </c>
      <c r="D149" s="23">
        <f t="shared" si="5"/>
        <v>1151.5203707482281</v>
      </c>
    </row>
    <row r="150" spans="1:4">
      <c r="A150" s="22">
        <f t="shared" si="4"/>
        <v>148</v>
      </c>
      <c r="B150">
        <v>1480</v>
      </c>
      <c r="C150">
        <v>114993.1706122342</v>
      </c>
      <c r="D150" s="23">
        <f t="shared" si="5"/>
        <v>1149.9317061223419</v>
      </c>
    </row>
    <row r="151" spans="1:4">
      <c r="A151" s="22">
        <f t="shared" si="4"/>
        <v>149</v>
      </c>
      <c r="B151">
        <v>1490</v>
      </c>
      <c r="C151">
        <v>114834.3041496456</v>
      </c>
      <c r="D151" s="23">
        <f t="shared" si="5"/>
        <v>1148.343041496456</v>
      </c>
    </row>
    <row r="152" spans="1:4">
      <c r="A152" s="22">
        <f t="shared" si="4"/>
        <v>150</v>
      </c>
      <c r="B152">
        <v>1500</v>
      </c>
      <c r="C152">
        <v>114675.437687057</v>
      </c>
      <c r="D152" s="23">
        <f t="shared" si="5"/>
        <v>1146.75437687057</v>
      </c>
    </row>
    <row r="153" spans="1:4">
      <c r="A153" s="22">
        <f t="shared" si="4"/>
        <v>151</v>
      </c>
      <c r="B153">
        <v>1510</v>
      </c>
      <c r="C153">
        <v>114516.5712244684</v>
      </c>
      <c r="D153" s="23">
        <f t="shared" si="5"/>
        <v>1145.1657122446841</v>
      </c>
    </row>
    <row r="154" spans="1:4">
      <c r="A154" s="22">
        <f t="shared" si="4"/>
        <v>152</v>
      </c>
      <c r="B154">
        <v>1520</v>
      </c>
      <c r="C154">
        <v>114357.7047618798</v>
      </c>
      <c r="D154" s="23">
        <f t="shared" si="5"/>
        <v>1143.5770476187979</v>
      </c>
    </row>
    <row r="155" spans="1:4">
      <c r="A155" s="22">
        <f t="shared" si="4"/>
        <v>153</v>
      </c>
      <c r="B155">
        <v>1530</v>
      </c>
      <c r="C155">
        <v>114198.83829929119</v>
      </c>
      <c r="D155" s="23">
        <f t="shared" si="5"/>
        <v>1141.988382992912</v>
      </c>
    </row>
    <row r="156" spans="1:4">
      <c r="A156" s="22">
        <f t="shared" si="4"/>
        <v>154</v>
      </c>
      <c r="B156">
        <v>1540</v>
      </c>
      <c r="C156">
        <v>114039.97183670259</v>
      </c>
      <c r="D156" s="23">
        <f t="shared" si="5"/>
        <v>1140.399718367026</v>
      </c>
    </row>
    <row r="157" spans="1:4">
      <c r="A157" s="22">
        <f t="shared" si="4"/>
        <v>155</v>
      </c>
      <c r="B157">
        <v>1550</v>
      </c>
      <c r="C157">
        <v>113881.10537411399</v>
      </c>
      <c r="D157" s="23">
        <f t="shared" si="5"/>
        <v>1138.8110537411399</v>
      </c>
    </row>
    <row r="158" spans="1:4">
      <c r="A158" s="22">
        <f t="shared" si="4"/>
        <v>156</v>
      </c>
      <c r="B158">
        <v>1560</v>
      </c>
      <c r="C158">
        <v>113722.23891152539</v>
      </c>
      <c r="D158" s="23">
        <f t="shared" si="5"/>
        <v>1137.2223891152539</v>
      </c>
    </row>
    <row r="159" spans="1:4">
      <c r="A159" s="22">
        <f t="shared" si="4"/>
        <v>157</v>
      </c>
      <c r="B159">
        <v>1570</v>
      </c>
      <c r="C159">
        <v>113563.37244893679</v>
      </c>
      <c r="D159" s="23">
        <f t="shared" si="5"/>
        <v>1135.633724489368</v>
      </c>
    </row>
    <row r="160" spans="1:4">
      <c r="A160" s="22">
        <f t="shared" si="4"/>
        <v>158</v>
      </c>
      <c r="B160">
        <v>1580</v>
      </c>
      <c r="C160">
        <v>113404.50598634819</v>
      </c>
      <c r="D160" s="23">
        <f t="shared" si="5"/>
        <v>1134.0450598634818</v>
      </c>
    </row>
    <row r="161" spans="1:4">
      <c r="A161" s="22">
        <f t="shared" si="4"/>
        <v>159</v>
      </c>
      <c r="B161">
        <v>1590</v>
      </c>
      <c r="C161">
        <v>113245.63952375959</v>
      </c>
      <c r="D161" s="23">
        <f t="shared" si="5"/>
        <v>1132.4563952375959</v>
      </c>
    </row>
    <row r="162" spans="1:4">
      <c r="A162" s="22">
        <f t="shared" si="4"/>
        <v>160</v>
      </c>
      <c r="B162">
        <v>1600</v>
      </c>
      <c r="C162">
        <v>113086.77306117098</v>
      </c>
      <c r="D162" s="23">
        <f t="shared" si="5"/>
        <v>1130.8677306117099</v>
      </c>
    </row>
    <row r="163" spans="1:4">
      <c r="A163" s="22">
        <f t="shared" si="4"/>
        <v>161</v>
      </c>
      <c r="B163">
        <v>1610</v>
      </c>
      <c r="C163">
        <v>112927.90659858238</v>
      </c>
      <c r="D163" s="23">
        <f t="shared" si="5"/>
        <v>1129.2790659858238</v>
      </c>
    </row>
    <row r="164" spans="1:4">
      <c r="A164" s="22">
        <f t="shared" si="4"/>
        <v>162</v>
      </c>
      <c r="B164">
        <v>1620</v>
      </c>
      <c r="C164">
        <v>112769.04013599378</v>
      </c>
      <c r="D164" s="23">
        <f t="shared" si="5"/>
        <v>1127.6904013599378</v>
      </c>
    </row>
    <row r="165" spans="1:4">
      <c r="A165" s="22">
        <f t="shared" si="4"/>
        <v>163</v>
      </c>
      <c r="B165">
        <v>1630</v>
      </c>
      <c r="C165">
        <v>112610.17367340518</v>
      </c>
      <c r="D165" s="23">
        <f t="shared" si="5"/>
        <v>1126.1017367340519</v>
      </c>
    </row>
    <row r="166" spans="1:4">
      <c r="A166" s="22">
        <f t="shared" si="4"/>
        <v>164</v>
      </c>
      <c r="B166">
        <v>1640</v>
      </c>
      <c r="C166">
        <v>112451.30721081658</v>
      </c>
      <c r="D166" s="23">
        <f t="shared" si="5"/>
        <v>1124.5130721081657</v>
      </c>
    </row>
    <row r="167" spans="1:4">
      <c r="A167" s="22">
        <f t="shared" si="4"/>
        <v>165</v>
      </c>
      <c r="B167">
        <v>1650</v>
      </c>
      <c r="C167">
        <v>112292.44074822798</v>
      </c>
      <c r="D167" s="23">
        <f t="shared" si="5"/>
        <v>1122.9244074822798</v>
      </c>
    </row>
    <row r="168" spans="1:4">
      <c r="A168" s="22">
        <f t="shared" si="4"/>
        <v>166</v>
      </c>
      <c r="B168">
        <v>1660</v>
      </c>
      <c r="C168">
        <v>112133.57428563938</v>
      </c>
      <c r="D168" s="23">
        <f t="shared" si="5"/>
        <v>1121.3357428563938</v>
      </c>
    </row>
    <row r="169" spans="1:4">
      <c r="A169" s="22">
        <f t="shared" si="4"/>
        <v>167</v>
      </c>
      <c r="B169">
        <v>1670</v>
      </c>
      <c r="C169">
        <v>111974.70782305078</v>
      </c>
      <c r="D169" s="23">
        <f t="shared" si="5"/>
        <v>1119.7470782305077</v>
      </c>
    </row>
    <row r="170" spans="1:4">
      <c r="A170" s="22">
        <f t="shared" si="4"/>
        <v>168</v>
      </c>
      <c r="B170">
        <v>1680</v>
      </c>
      <c r="C170">
        <v>111815.84136046217</v>
      </c>
      <c r="D170" s="23">
        <f t="shared" si="5"/>
        <v>1118.1584136046217</v>
      </c>
    </row>
    <row r="171" spans="1:4">
      <c r="A171" s="22">
        <f t="shared" si="4"/>
        <v>169</v>
      </c>
      <c r="B171">
        <v>1690</v>
      </c>
      <c r="C171">
        <v>111656.97489787357</v>
      </c>
      <c r="D171" s="23">
        <f t="shared" si="5"/>
        <v>1116.5697489787358</v>
      </c>
    </row>
    <row r="172" spans="1:4">
      <c r="A172" s="22">
        <f t="shared" si="4"/>
        <v>170</v>
      </c>
      <c r="B172">
        <v>1700</v>
      </c>
      <c r="C172">
        <v>111498.10843528497</v>
      </c>
      <c r="D172" s="23">
        <f t="shared" si="5"/>
        <v>1114.9810843528496</v>
      </c>
    </row>
    <row r="173" spans="1:4">
      <c r="A173" s="22">
        <f t="shared" si="4"/>
        <v>171</v>
      </c>
      <c r="B173">
        <v>1710</v>
      </c>
      <c r="C173">
        <v>111339.24197269637</v>
      </c>
      <c r="D173" s="23">
        <f t="shared" si="5"/>
        <v>1113.3924197269637</v>
      </c>
    </row>
    <row r="174" spans="1:4">
      <c r="A174" s="22">
        <f t="shared" si="4"/>
        <v>172</v>
      </c>
      <c r="B174">
        <v>1720</v>
      </c>
      <c r="C174">
        <v>111180.37551010777</v>
      </c>
      <c r="D174" s="23">
        <f t="shared" si="5"/>
        <v>1111.8037551010777</v>
      </c>
    </row>
    <row r="175" spans="1:4">
      <c r="A175" s="22">
        <f t="shared" si="4"/>
        <v>173</v>
      </c>
      <c r="B175">
        <v>1730</v>
      </c>
      <c r="C175">
        <v>111021.50904751917</v>
      </c>
      <c r="D175" s="23">
        <f t="shared" si="5"/>
        <v>1110.2150904751916</v>
      </c>
    </row>
    <row r="176" spans="1:4">
      <c r="A176" s="22">
        <f t="shared" si="4"/>
        <v>174</v>
      </c>
      <c r="B176">
        <v>1740</v>
      </c>
      <c r="C176">
        <v>110862.64258493057</v>
      </c>
      <c r="D176" s="23">
        <f t="shared" si="5"/>
        <v>1108.6264258493056</v>
      </c>
    </row>
    <row r="177" spans="1:4">
      <c r="A177" s="22">
        <f t="shared" si="4"/>
        <v>175</v>
      </c>
      <c r="B177">
        <v>1750</v>
      </c>
      <c r="C177">
        <v>110703.77612234197</v>
      </c>
      <c r="D177" s="23">
        <f t="shared" si="5"/>
        <v>1107.0377612234197</v>
      </c>
    </row>
    <row r="178" spans="1:4">
      <c r="A178" s="22">
        <f t="shared" si="4"/>
        <v>176</v>
      </c>
      <c r="B178">
        <v>1760</v>
      </c>
      <c r="C178">
        <v>110544.90965975336</v>
      </c>
      <c r="D178" s="23">
        <f t="shared" si="5"/>
        <v>1105.4490965975338</v>
      </c>
    </row>
    <row r="179" spans="1:4">
      <c r="A179" s="22">
        <f t="shared" si="4"/>
        <v>177</v>
      </c>
      <c r="B179">
        <v>1770</v>
      </c>
      <c r="C179">
        <v>110386.04319716476</v>
      </c>
      <c r="D179" s="23">
        <f t="shared" si="5"/>
        <v>1103.8604319716476</v>
      </c>
    </row>
    <row r="180" spans="1:4">
      <c r="A180" s="22">
        <f t="shared" si="4"/>
        <v>178</v>
      </c>
      <c r="B180">
        <v>1780</v>
      </c>
      <c r="C180">
        <v>110227.17673457616</v>
      </c>
      <c r="D180" s="23">
        <f t="shared" si="5"/>
        <v>1102.2717673457616</v>
      </c>
    </row>
    <row r="181" spans="1:4">
      <c r="A181" s="22">
        <f t="shared" si="4"/>
        <v>179</v>
      </c>
      <c r="B181">
        <v>1790</v>
      </c>
      <c r="C181">
        <v>110068.31027198756</v>
      </c>
      <c r="D181" s="23">
        <f t="shared" si="5"/>
        <v>1100.6831027198757</v>
      </c>
    </row>
    <row r="182" spans="1:4">
      <c r="A182" s="22">
        <f t="shared" si="4"/>
        <v>180</v>
      </c>
      <c r="B182">
        <v>1800</v>
      </c>
      <c r="C182">
        <v>109909.44380939896</v>
      </c>
      <c r="D182" s="23">
        <f t="shared" si="5"/>
        <v>1099.0944380939895</v>
      </c>
    </row>
    <row r="183" spans="1:4">
      <c r="A183" s="22">
        <f t="shared" si="4"/>
        <v>181</v>
      </c>
      <c r="B183">
        <v>1810</v>
      </c>
      <c r="C183">
        <v>109750.57734681036</v>
      </c>
      <c r="D183" s="23">
        <f t="shared" si="5"/>
        <v>1097.5057734681036</v>
      </c>
    </row>
    <row r="184" spans="1:4">
      <c r="A184" s="22">
        <f t="shared" si="4"/>
        <v>182</v>
      </c>
      <c r="B184">
        <v>1820</v>
      </c>
      <c r="C184">
        <v>109591.71088422176</v>
      </c>
      <c r="D184" s="23">
        <f t="shared" si="5"/>
        <v>1095.9171088422177</v>
      </c>
    </row>
    <row r="185" spans="1:4">
      <c r="A185" s="22">
        <f t="shared" si="4"/>
        <v>183</v>
      </c>
      <c r="B185">
        <v>1830</v>
      </c>
      <c r="C185">
        <v>109432.84442163316</v>
      </c>
      <c r="D185" s="23">
        <f t="shared" si="5"/>
        <v>1094.3284442163315</v>
      </c>
    </row>
    <row r="186" spans="1:4">
      <c r="A186" s="22">
        <f t="shared" si="4"/>
        <v>184</v>
      </c>
      <c r="B186">
        <v>1840</v>
      </c>
      <c r="C186">
        <v>109273.97795904455</v>
      </c>
      <c r="D186" s="23">
        <f t="shared" si="5"/>
        <v>1092.7397795904456</v>
      </c>
    </row>
    <row r="187" spans="1:4">
      <c r="A187" s="22">
        <f t="shared" si="4"/>
        <v>185</v>
      </c>
      <c r="B187">
        <v>1850</v>
      </c>
      <c r="C187">
        <v>109115.11149645595</v>
      </c>
      <c r="D187" s="23">
        <f t="shared" si="5"/>
        <v>1091.1511149645596</v>
      </c>
    </row>
    <row r="188" spans="1:4">
      <c r="A188" s="22">
        <f t="shared" si="4"/>
        <v>186</v>
      </c>
      <c r="B188">
        <v>1860</v>
      </c>
      <c r="C188">
        <v>108956.24503386735</v>
      </c>
      <c r="D188" s="23">
        <f t="shared" si="5"/>
        <v>1089.5624503386734</v>
      </c>
    </row>
    <row r="189" spans="1:4">
      <c r="A189" s="22">
        <f t="shared" si="4"/>
        <v>187</v>
      </c>
      <c r="B189">
        <v>1870</v>
      </c>
      <c r="C189">
        <v>108797.37857127875</v>
      </c>
      <c r="D189" s="23">
        <f t="shared" si="5"/>
        <v>1087.9737857127875</v>
      </c>
    </row>
    <row r="190" spans="1:4">
      <c r="A190" s="22">
        <f t="shared" si="4"/>
        <v>188</v>
      </c>
      <c r="B190">
        <v>1880</v>
      </c>
      <c r="C190">
        <v>108638.51210869015</v>
      </c>
      <c r="D190" s="23">
        <f t="shared" si="5"/>
        <v>1086.3851210869016</v>
      </c>
    </row>
    <row r="191" spans="1:4">
      <c r="A191" s="22">
        <f t="shared" si="4"/>
        <v>189</v>
      </c>
      <c r="B191">
        <v>1890</v>
      </c>
      <c r="C191">
        <v>108479.64564610155</v>
      </c>
      <c r="D191" s="23">
        <f t="shared" si="5"/>
        <v>1084.7964564610154</v>
      </c>
    </row>
    <row r="192" spans="1:4">
      <c r="A192" s="22">
        <f t="shared" si="4"/>
        <v>190</v>
      </c>
      <c r="B192">
        <v>1900</v>
      </c>
      <c r="C192">
        <v>108320.77918351295</v>
      </c>
      <c r="D192" s="23">
        <f t="shared" si="5"/>
        <v>1083.2077918351295</v>
      </c>
    </row>
    <row r="193" spans="1:4">
      <c r="A193" s="22">
        <f t="shared" si="4"/>
        <v>191</v>
      </c>
      <c r="B193">
        <v>1910</v>
      </c>
      <c r="C193">
        <v>108161.91272092435</v>
      </c>
      <c r="D193" s="23">
        <f t="shared" si="5"/>
        <v>1081.6191272092435</v>
      </c>
    </row>
    <row r="194" spans="1:4">
      <c r="A194" s="22">
        <f t="shared" si="4"/>
        <v>192</v>
      </c>
      <c r="B194">
        <v>1920</v>
      </c>
      <c r="C194">
        <v>108003.04625833574</v>
      </c>
      <c r="D194" s="23">
        <f t="shared" si="5"/>
        <v>1080.0304625833573</v>
      </c>
    </row>
    <row r="195" spans="1:4">
      <c r="A195" s="22">
        <f t="shared" ref="A195:A258" si="6">B195/10</f>
        <v>193</v>
      </c>
      <c r="B195">
        <v>1930</v>
      </c>
      <c r="C195">
        <v>107844.17979574714</v>
      </c>
      <c r="D195" s="23">
        <f t="shared" ref="D195:D258" si="7">C195/100</f>
        <v>1078.4417979574714</v>
      </c>
    </row>
    <row r="196" spans="1:4">
      <c r="A196" s="22">
        <f t="shared" si="6"/>
        <v>194</v>
      </c>
      <c r="B196">
        <v>1940</v>
      </c>
      <c r="C196">
        <v>107685.31333315854</v>
      </c>
      <c r="D196" s="23">
        <f t="shared" si="7"/>
        <v>1076.8531333315855</v>
      </c>
    </row>
    <row r="197" spans="1:4">
      <c r="A197" s="22">
        <f t="shared" si="6"/>
        <v>195</v>
      </c>
      <c r="B197">
        <v>1950</v>
      </c>
      <c r="C197">
        <v>107526.44687056994</v>
      </c>
      <c r="D197" s="23">
        <f t="shared" si="7"/>
        <v>1075.2644687056993</v>
      </c>
    </row>
    <row r="198" spans="1:4">
      <c r="A198" s="22">
        <f t="shared" si="6"/>
        <v>196</v>
      </c>
      <c r="B198">
        <v>1960</v>
      </c>
      <c r="C198">
        <v>107367.58040798134</v>
      </c>
      <c r="D198" s="23">
        <f t="shared" si="7"/>
        <v>1073.6758040798134</v>
      </c>
    </row>
    <row r="199" spans="1:4">
      <c r="A199" s="22">
        <f t="shared" si="6"/>
        <v>197</v>
      </c>
      <c r="B199">
        <v>1970</v>
      </c>
      <c r="C199">
        <v>107208.71394539274</v>
      </c>
      <c r="D199" s="23">
        <f t="shared" si="7"/>
        <v>1072.0871394539274</v>
      </c>
    </row>
    <row r="200" spans="1:4">
      <c r="A200" s="22">
        <f t="shared" si="6"/>
        <v>198</v>
      </c>
      <c r="B200">
        <v>1980</v>
      </c>
      <c r="C200">
        <v>107049.84748280414</v>
      </c>
      <c r="D200" s="23">
        <f t="shared" si="7"/>
        <v>1070.4984748280413</v>
      </c>
    </row>
    <row r="201" spans="1:4">
      <c r="A201" s="22">
        <f t="shared" si="6"/>
        <v>199</v>
      </c>
      <c r="B201">
        <v>1990</v>
      </c>
      <c r="C201">
        <v>106890.98102021553</v>
      </c>
      <c r="D201" s="23">
        <f t="shared" si="7"/>
        <v>1068.9098102021553</v>
      </c>
    </row>
    <row r="202" spans="1:4">
      <c r="A202" s="22">
        <f t="shared" si="6"/>
        <v>200</v>
      </c>
      <c r="B202">
        <v>2000</v>
      </c>
      <c r="C202">
        <v>106732.11455762693</v>
      </c>
      <c r="D202" s="23">
        <f t="shared" si="7"/>
        <v>1067.3211455762694</v>
      </c>
    </row>
    <row r="203" spans="1:4">
      <c r="A203" s="22">
        <f t="shared" si="6"/>
        <v>201</v>
      </c>
      <c r="B203">
        <v>2010</v>
      </c>
      <c r="C203">
        <v>106573.24809503833</v>
      </c>
      <c r="D203" s="23">
        <f t="shared" si="7"/>
        <v>1065.7324809503834</v>
      </c>
    </row>
    <row r="204" spans="1:4">
      <c r="A204" s="22">
        <f t="shared" si="6"/>
        <v>202</v>
      </c>
      <c r="B204">
        <v>2020</v>
      </c>
      <c r="C204">
        <v>106414.38163244973</v>
      </c>
      <c r="D204" s="23">
        <f t="shared" si="7"/>
        <v>1064.1438163244973</v>
      </c>
    </row>
    <row r="205" spans="1:4">
      <c r="A205" s="22">
        <f t="shared" si="6"/>
        <v>203</v>
      </c>
      <c r="B205">
        <v>2030</v>
      </c>
      <c r="C205">
        <v>106255.51516986113</v>
      </c>
      <c r="D205" s="23">
        <f t="shared" si="7"/>
        <v>1062.5551516986113</v>
      </c>
    </row>
    <row r="206" spans="1:4">
      <c r="A206" s="22">
        <f t="shared" si="6"/>
        <v>204</v>
      </c>
      <c r="B206">
        <v>2040</v>
      </c>
      <c r="C206">
        <v>106096.64870727253</v>
      </c>
      <c r="D206" s="23">
        <f t="shared" si="7"/>
        <v>1060.9664870727254</v>
      </c>
    </row>
    <row r="207" spans="1:4">
      <c r="A207" s="22">
        <f t="shared" si="6"/>
        <v>205</v>
      </c>
      <c r="B207">
        <v>2050</v>
      </c>
      <c r="C207">
        <v>105937.78224468393</v>
      </c>
      <c r="D207" s="23">
        <f t="shared" si="7"/>
        <v>1059.3778224468392</v>
      </c>
    </row>
    <row r="208" spans="1:4">
      <c r="A208" s="22">
        <f t="shared" si="6"/>
        <v>206</v>
      </c>
      <c r="B208">
        <v>2060</v>
      </c>
      <c r="C208">
        <v>105778.91578209533</v>
      </c>
      <c r="D208" s="23">
        <f t="shared" si="7"/>
        <v>1057.7891578209533</v>
      </c>
    </row>
    <row r="209" spans="1:4">
      <c r="A209" s="22">
        <f t="shared" si="6"/>
        <v>207</v>
      </c>
      <c r="B209">
        <v>2070</v>
      </c>
      <c r="C209">
        <v>105620.04931950672</v>
      </c>
      <c r="D209" s="23">
        <f t="shared" si="7"/>
        <v>1056.2004931950673</v>
      </c>
    </row>
    <row r="210" spans="1:4">
      <c r="A210" s="22">
        <f t="shared" si="6"/>
        <v>208</v>
      </c>
      <c r="B210">
        <v>2080</v>
      </c>
      <c r="C210">
        <v>105461.18285691812</v>
      </c>
      <c r="D210" s="23">
        <f t="shared" si="7"/>
        <v>1054.6118285691812</v>
      </c>
    </row>
    <row r="211" spans="1:4">
      <c r="A211" s="22">
        <f t="shared" si="6"/>
        <v>209</v>
      </c>
      <c r="B211">
        <v>2090</v>
      </c>
      <c r="C211">
        <v>105302.31639432952</v>
      </c>
      <c r="D211" s="23">
        <f t="shared" si="7"/>
        <v>1053.0231639432952</v>
      </c>
    </row>
    <row r="212" spans="1:4">
      <c r="A212" s="22">
        <f t="shared" si="6"/>
        <v>210</v>
      </c>
      <c r="B212">
        <v>2100</v>
      </c>
      <c r="C212">
        <v>105143.44993174092</v>
      </c>
      <c r="D212" s="23">
        <f t="shared" si="7"/>
        <v>1051.4344993174093</v>
      </c>
    </row>
    <row r="213" spans="1:4">
      <c r="A213" s="22">
        <f t="shared" si="6"/>
        <v>211</v>
      </c>
      <c r="B213">
        <v>2110</v>
      </c>
      <c r="C213">
        <v>104984.58346915232</v>
      </c>
      <c r="D213" s="23">
        <f t="shared" si="7"/>
        <v>1049.8458346915231</v>
      </c>
    </row>
    <row r="214" spans="1:4">
      <c r="A214" s="22">
        <f t="shared" si="6"/>
        <v>212</v>
      </c>
      <c r="B214">
        <v>2120</v>
      </c>
      <c r="C214">
        <v>104825.71700656372</v>
      </c>
      <c r="D214" s="23">
        <f t="shared" si="7"/>
        <v>1048.2571700656372</v>
      </c>
    </row>
    <row r="215" spans="1:4">
      <c r="A215" s="22">
        <f t="shared" si="6"/>
        <v>213</v>
      </c>
      <c r="B215">
        <v>2130</v>
      </c>
      <c r="C215">
        <v>104666.85054397512</v>
      </c>
      <c r="D215" s="23">
        <f t="shared" si="7"/>
        <v>1046.6685054397512</v>
      </c>
    </row>
    <row r="216" spans="1:4">
      <c r="A216" s="22">
        <f t="shared" si="6"/>
        <v>214</v>
      </c>
      <c r="B216">
        <v>2140</v>
      </c>
      <c r="C216">
        <v>104507.98408138652</v>
      </c>
      <c r="D216" s="23">
        <f t="shared" si="7"/>
        <v>1045.0798408138651</v>
      </c>
    </row>
    <row r="217" spans="1:4">
      <c r="A217" s="22">
        <f t="shared" si="6"/>
        <v>215</v>
      </c>
      <c r="B217">
        <v>2150</v>
      </c>
      <c r="C217">
        <v>104349.11761879791</v>
      </c>
      <c r="D217" s="23">
        <f t="shared" si="7"/>
        <v>1043.4911761879791</v>
      </c>
    </row>
    <row r="218" spans="1:4">
      <c r="A218" s="22">
        <f t="shared" si="6"/>
        <v>216</v>
      </c>
      <c r="B218">
        <v>2160</v>
      </c>
      <c r="C218">
        <v>104190.25115620931</v>
      </c>
      <c r="D218" s="23">
        <f t="shared" si="7"/>
        <v>1041.9025115620932</v>
      </c>
    </row>
    <row r="219" spans="1:4">
      <c r="A219" s="22">
        <f t="shared" si="6"/>
        <v>217</v>
      </c>
      <c r="B219">
        <v>2170</v>
      </c>
      <c r="C219">
        <v>104031.38469362071</v>
      </c>
      <c r="D219" s="23">
        <f t="shared" si="7"/>
        <v>1040.313846936207</v>
      </c>
    </row>
    <row r="220" spans="1:4">
      <c r="A220" s="22">
        <f t="shared" si="6"/>
        <v>218</v>
      </c>
      <c r="B220">
        <v>2180</v>
      </c>
      <c r="C220">
        <v>103872.51823103211</v>
      </c>
      <c r="D220" s="23">
        <f t="shared" si="7"/>
        <v>1038.7251823103211</v>
      </c>
    </row>
    <row r="221" spans="1:4">
      <c r="A221" s="22">
        <f t="shared" si="6"/>
        <v>219</v>
      </c>
      <c r="B221">
        <v>2190</v>
      </c>
      <c r="C221">
        <v>103713.65176844351</v>
      </c>
      <c r="D221" s="23">
        <f t="shared" si="7"/>
        <v>1037.1365176844351</v>
      </c>
    </row>
    <row r="222" spans="1:4">
      <c r="A222" s="22">
        <f t="shared" si="6"/>
        <v>220</v>
      </c>
      <c r="B222">
        <v>2200</v>
      </c>
      <c r="C222">
        <v>103554.78530585491</v>
      </c>
      <c r="D222" s="23">
        <f t="shared" si="7"/>
        <v>1035.547853058549</v>
      </c>
    </row>
    <row r="223" spans="1:4">
      <c r="A223" s="22">
        <f t="shared" si="6"/>
        <v>221</v>
      </c>
      <c r="B223">
        <v>2210</v>
      </c>
      <c r="C223">
        <v>103395.91884326631</v>
      </c>
      <c r="D223" s="23">
        <f t="shared" si="7"/>
        <v>1033.959188432663</v>
      </c>
    </row>
    <row r="224" spans="1:4">
      <c r="A224" s="22">
        <f t="shared" si="6"/>
        <v>222</v>
      </c>
      <c r="B224">
        <v>2220</v>
      </c>
      <c r="C224">
        <v>103237.05238067771</v>
      </c>
      <c r="D224" s="23">
        <f t="shared" si="7"/>
        <v>1032.3705238067771</v>
      </c>
    </row>
    <row r="225" spans="1:4">
      <c r="A225" s="22">
        <f t="shared" si="6"/>
        <v>223</v>
      </c>
      <c r="B225">
        <v>2230</v>
      </c>
      <c r="C225">
        <v>103078.1859180891</v>
      </c>
      <c r="D225" s="23">
        <f t="shared" si="7"/>
        <v>1030.7818591808909</v>
      </c>
    </row>
    <row r="226" spans="1:4">
      <c r="A226" s="22">
        <f t="shared" si="6"/>
        <v>224</v>
      </c>
      <c r="B226">
        <v>2240</v>
      </c>
      <c r="C226">
        <v>102919.3194555005</v>
      </c>
      <c r="D226" s="23">
        <f t="shared" si="7"/>
        <v>1029.193194555005</v>
      </c>
    </row>
    <row r="227" spans="1:4">
      <c r="A227" s="22">
        <f t="shared" si="6"/>
        <v>225</v>
      </c>
      <c r="B227">
        <v>2250</v>
      </c>
      <c r="C227">
        <v>102760.4529929119</v>
      </c>
      <c r="D227" s="23">
        <f t="shared" si="7"/>
        <v>1027.6045299291191</v>
      </c>
    </row>
    <row r="228" spans="1:4">
      <c r="A228" s="22">
        <f t="shared" si="6"/>
        <v>226</v>
      </c>
      <c r="B228">
        <v>2260</v>
      </c>
      <c r="C228">
        <v>102601.5865303233</v>
      </c>
      <c r="D228" s="23">
        <f t="shared" si="7"/>
        <v>1026.0158653032331</v>
      </c>
    </row>
    <row r="229" spans="1:4">
      <c r="A229" s="22">
        <f t="shared" si="6"/>
        <v>227</v>
      </c>
      <c r="B229">
        <v>2270</v>
      </c>
      <c r="C229">
        <v>102442.7200677347</v>
      </c>
      <c r="D229" s="23">
        <f t="shared" si="7"/>
        <v>1024.4272006773469</v>
      </c>
    </row>
    <row r="230" spans="1:4">
      <c r="A230" s="22">
        <f t="shared" si="6"/>
        <v>228</v>
      </c>
      <c r="B230">
        <v>2280</v>
      </c>
      <c r="C230">
        <v>102283.8536051461</v>
      </c>
      <c r="D230" s="23">
        <f t="shared" si="7"/>
        <v>1022.838536051461</v>
      </c>
    </row>
    <row r="231" spans="1:4">
      <c r="A231" s="22">
        <f t="shared" si="6"/>
        <v>229</v>
      </c>
      <c r="B231">
        <v>2290</v>
      </c>
      <c r="C231">
        <v>102124.9871425575</v>
      </c>
      <c r="D231" s="23">
        <f t="shared" si="7"/>
        <v>1021.249871425575</v>
      </c>
    </row>
    <row r="232" spans="1:4">
      <c r="A232" s="22">
        <f t="shared" si="6"/>
        <v>230</v>
      </c>
      <c r="B232">
        <v>2300</v>
      </c>
      <c r="C232">
        <v>101966.1206799689</v>
      </c>
      <c r="D232" s="23">
        <f t="shared" si="7"/>
        <v>1019.6612067996889</v>
      </c>
    </row>
    <row r="233" spans="1:4">
      <c r="A233" s="22">
        <f t="shared" si="6"/>
        <v>231</v>
      </c>
      <c r="B233">
        <v>2310</v>
      </c>
      <c r="C233">
        <v>101807.25421738029</v>
      </c>
      <c r="D233" s="23">
        <f t="shared" si="7"/>
        <v>1018.072542173803</v>
      </c>
    </row>
    <row r="234" spans="1:4">
      <c r="A234" s="22">
        <f t="shared" si="6"/>
        <v>232</v>
      </c>
      <c r="B234">
        <v>2320</v>
      </c>
      <c r="C234">
        <v>101648.38775479169</v>
      </c>
      <c r="D234" s="23">
        <f t="shared" si="7"/>
        <v>1016.4838775479169</v>
      </c>
    </row>
    <row r="235" spans="1:4">
      <c r="A235" s="22">
        <f t="shared" si="6"/>
        <v>233</v>
      </c>
      <c r="B235">
        <v>2330</v>
      </c>
      <c r="C235">
        <v>101489.52129220309</v>
      </c>
      <c r="D235" s="23">
        <f t="shared" si="7"/>
        <v>1014.895212922031</v>
      </c>
    </row>
    <row r="236" spans="1:4">
      <c r="A236" s="22">
        <f t="shared" si="6"/>
        <v>234</v>
      </c>
      <c r="B236">
        <v>2340</v>
      </c>
      <c r="C236">
        <v>101330.65482961449</v>
      </c>
      <c r="D236" s="23">
        <f t="shared" si="7"/>
        <v>1013.3065482961449</v>
      </c>
    </row>
    <row r="237" spans="1:4">
      <c r="A237" s="22">
        <f t="shared" si="6"/>
        <v>235</v>
      </c>
      <c r="B237">
        <v>2350</v>
      </c>
      <c r="C237">
        <v>101171.78836702589</v>
      </c>
      <c r="D237" s="23">
        <f t="shared" si="7"/>
        <v>1011.7178836702589</v>
      </c>
    </row>
    <row r="238" spans="1:4">
      <c r="A238" s="22">
        <f t="shared" si="6"/>
        <v>236</v>
      </c>
      <c r="B238">
        <v>2360</v>
      </c>
      <c r="C238">
        <v>101012.92190443729</v>
      </c>
      <c r="D238" s="23">
        <f t="shared" si="7"/>
        <v>1010.1292190443729</v>
      </c>
    </row>
    <row r="239" spans="1:4">
      <c r="A239" s="22">
        <f t="shared" si="6"/>
        <v>237</v>
      </c>
      <c r="B239">
        <v>2370</v>
      </c>
      <c r="C239">
        <v>100854.05544184869</v>
      </c>
      <c r="D239" s="23">
        <f t="shared" si="7"/>
        <v>1008.5405544184869</v>
      </c>
    </row>
    <row r="240" spans="1:4">
      <c r="A240" s="22">
        <f t="shared" si="6"/>
        <v>238</v>
      </c>
      <c r="B240">
        <v>2380</v>
      </c>
      <c r="C240">
        <v>100695.18897926009</v>
      </c>
      <c r="D240" s="23">
        <f t="shared" si="7"/>
        <v>1006.9518897926008</v>
      </c>
    </row>
    <row r="241" spans="1:4">
      <c r="A241" s="22">
        <f t="shared" si="6"/>
        <v>239</v>
      </c>
      <c r="B241">
        <v>2390</v>
      </c>
      <c r="C241">
        <v>100536.32251667148</v>
      </c>
      <c r="D241" s="23">
        <f t="shared" si="7"/>
        <v>1005.3632251667149</v>
      </c>
    </row>
    <row r="242" spans="1:4">
      <c r="A242" s="22">
        <f t="shared" si="6"/>
        <v>240</v>
      </c>
      <c r="B242">
        <v>2400</v>
      </c>
      <c r="C242">
        <v>100377.45605408288</v>
      </c>
      <c r="D242" s="23">
        <f t="shared" si="7"/>
        <v>1003.7745605408288</v>
      </c>
    </row>
    <row r="243" spans="1:4">
      <c r="A243" s="22">
        <f t="shared" si="6"/>
        <v>241</v>
      </c>
      <c r="B243">
        <v>2410</v>
      </c>
      <c r="C243">
        <v>100218.58959149428</v>
      </c>
      <c r="D243" s="23">
        <f t="shared" si="7"/>
        <v>1002.1858959149428</v>
      </c>
    </row>
    <row r="244" spans="1:4">
      <c r="A244" s="22">
        <f t="shared" si="6"/>
        <v>242</v>
      </c>
      <c r="B244">
        <v>2420</v>
      </c>
      <c r="C244">
        <v>100059.72312890568</v>
      </c>
      <c r="D244" s="23">
        <f t="shared" si="7"/>
        <v>1000.5972312890568</v>
      </c>
    </row>
    <row r="245" spans="1:4">
      <c r="A245" s="22">
        <f t="shared" si="6"/>
        <v>243</v>
      </c>
      <c r="B245">
        <v>2430</v>
      </c>
      <c r="C245">
        <v>99900.856666317079</v>
      </c>
      <c r="D245" s="23">
        <f t="shared" si="7"/>
        <v>999.00856666317077</v>
      </c>
    </row>
    <row r="246" spans="1:4">
      <c r="A246" s="22">
        <f t="shared" si="6"/>
        <v>244</v>
      </c>
      <c r="B246">
        <v>2440</v>
      </c>
      <c r="C246">
        <v>99741.990203728477</v>
      </c>
      <c r="D246" s="23">
        <f t="shared" si="7"/>
        <v>997.41990203728483</v>
      </c>
    </row>
    <row r="247" spans="1:4">
      <c r="A247" s="22">
        <f t="shared" si="6"/>
        <v>245</v>
      </c>
      <c r="B247">
        <v>2450</v>
      </c>
      <c r="C247">
        <v>99583.123741139876</v>
      </c>
      <c r="D247" s="23">
        <f t="shared" si="7"/>
        <v>995.83123741139877</v>
      </c>
    </row>
    <row r="248" spans="1:4">
      <c r="A248" s="22">
        <f t="shared" si="6"/>
        <v>246</v>
      </c>
      <c r="B248">
        <v>2460</v>
      </c>
      <c r="C248">
        <v>99424.257278551275</v>
      </c>
      <c r="D248" s="23">
        <f t="shared" si="7"/>
        <v>994.24257278551272</v>
      </c>
    </row>
    <row r="249" spans="1:4">
      <c r="A249" s="22">
        <f t="shared" si="6"/>
        <v>247</v>
      </c>
      <c r="B249">
        <v>2470</v>
      </c>
      <c r="C249">
        <v>99265.390815962674</v>
      </c>
      <c r="D249" s="23">
        <f t="shared" si="7"/>
        <v>992.65390815962678</v>
      </c>
    </row>
    <row r="250" spans="1:4">
      <c r="A250" s="22">
        <f t="shared" si="6"/>
        <v>248</v>
      </c>
      <c r="B250">
        <v>2480</v>
      </c>
      <c r="C250">
        <v>99106.524353374072</v>
      </c>
      <c r="D250" s="23">
        <f t="shared" si="7"/>
        <v>991.06524353374073</v>
      </c>
    </row>
    <row r="251" spans="1:4">
      <c r="A251" s="22">
        <f t="shared" si="6"/>
        <v>249</v>
      </c>
      <c r="B251">
        <v>2490</v>
      </c>
      <c r="C251">
        <v>98947.657890785471</v>
      </c>
      <c r="D251" s="23">
        <f t="shared" si="7"/>
        <v>989.47657890785467</v>
      </c>
    </row>
    <row r="252" spans="1:4">
      <c r="A252" s="22">
        <f t="shared" si="6"/>
        <v>250</v>
      </c>
      <c r="B252">
        <v>2500</v>
      </c>
      <c r="C252">
        <v>98788.79142819687</v>
      </c>
      <c r="D252" s="23">
        <f t="shared" si="7"/>
        <v>987.88791428196873</v>
      </c>
    </row>
    <row r="253" spans="1:4">
      <c r="A253" s="22">
        <f t="shared" si="6"/>
        <v>251</v>
      </c>
      <c r="B253">
        <v>2510</v>
      </c>
      <c r="C253">
        <v>98629.924965608268</v>
      </c>
      <c r="D253" s="23">
        <f t="shared" si="7"/>
        <v>986.29924965608268</v>
      </c>
    </row>
    <row r="254" spans="1:4">
      <c r="A254" s="22">
        <f t="shared" si="6"/>
        <v>252</v>
      </c>
      <c r="B254">
        <v>2520</v>
      </c>
      <c r="C254">
        <v>98471.058503019667</v>
      </c>
      <c r="D254" s="23">
        <f t="shared" si="7"/>
        <v>984.71058503019663</v>
      </c>
    </row>
    <row r="255" spans="1:4">
      <c r="A255" s="22">
        <f t="shared" si="6"/>
        <v>253</v>
      </c>
      <c r="B255">
        <v>2530</v>
      </c>
      <c r="C255">
        <v>98312.192040431066</v>
      </c>
      <c r="D255" s="23">
        <f t="shared" si="7"/>
        <v>983.12192040431069</v>
      </c>
    </row>
    <row r="256" spans="1:4">
      <c r="A256" s="22">
        <f t="shared" si="6"/>
        <v>254</v>
      </c>
      <c r="B256">
        <v>2540</v>
      </c>
      <c r="C256">
        <v>98153.325577842465</v>
      </c>
      <c r="D256" s="23">
        <f t="shared" si="7"/>
        <v>981.53325577842463</v>
      </c>
    </row>
    <row r="257" spans="1:4">
      <c r="A257" s="22">
        <f t="shared" si="6"/>
        <v>255</v>
      </c>
      <c r="B257">
        <v>2550</v>
      </c>
      <c r="C257">
        <v>97994.459115253863</v>
      </c>
      <c r="D257" s="23">
        <f t="shared" si="7"/>
        <v>979.94459115253858</v>
      </c>
    </row>
    <row r="258" spans="1:4">
      <c r="A258" s="22">
        <f t="shared" si="6"/>
        <v>256</v>
      </c>
      <c r="B258">
        <v>2560</v>
      </c>
      <c r="C258">
        <v>97835.592652665262</v>
      </c>
      <c r="D258" s="23">
        <f t="shared" si="7"/>
        <v>978.35592652665264</v>
      </c>
    </row>
    <row r="259" spans="1:4">
      <c r="A259" s="22">
        <f t="shared" ref="A259:A322" si="8">B259/10</f>
        <v>257</v>
      </c>
      <c r="B259">
        <v>2570</v>
      </c>
      <c r="C259">
        <v>97676.726190076661</v>
      </c>
      <c r="D259" s="23">
        <f t="shared" ref="D259:D322" si="9">C259/100</f>
        <v>976.76726190076658</v>
      </c>
    </row>
    <row r="260" spans="1:4">
      <c r="A260" s="22">
        <f t="shared" si="8"/>
        <v>258</v>
      </c>
      <c r="B260">
        <v>2580</v>
      </c>
      <c r="C260">
        <v>97517.859727488059</v>
      </c>
      <c r="D260" s="23">
        <f t="shared" si="9"/>
        <v>975.17859727488064</v>
      </c>
    </row>
    <row r="261" spans="1:4">
      <c r="A261" s="22">
        <f t="shared" si="8"/>
        <v>259</v>
      </c>
      <c r="B261">
        <v>2590</v>
      </c>
      <c r="C261">
        <v>97358.993264899458</v>
      </c>
      <c r="D261" s="23">
        <f t="shared" si="9"/>
        <v>973.58993264899459</v>
      </c>
    </row>
    <row r="262" spans="1:4">
      <c r="A262" s="22">
        <f t="shared" si="8"/>
        <v>260</v>
      </c>
      <c r="B262">
        <v>2600</v>
      </c>
      <c r="C262">
        <v>97200.126802310857</v>
      </c>
      <c r="D262" s="23">
        <f t="shared" si="9"/>
        <v>972.00126802310854</v>
      </c>
    </row>
    <row r="263" spans="1:4">
      <c r="A263" s="22">
        <f t="shared" si="8"/>
        <v>261</v>
      </c>
      <c r="B263">
        <v>2610</v>
      </c>
      <c r="C263">
        <v>97041.260339722256</v>
      </c>
      <c r="D263" s="23">
        <f t="shared" si="9"/>
        <v>970.4126033972226</v>
      </c>
    </row>
    <row r="264" spans="1:4">
      <c r="A264" s="22">
        <f t="shared" si="8"/>
        <v>262</v>
      </c>
      <c r="B264">
        <v>2620</v>
      </c>
      <c r="C264">
        <v>96882.393877133654</v>
      </c>
      <c r="D264" s="23">
        <f t="shared" si="9"/>
        <v>968.82393877133654</v>
      </c>
    </row>
    <row r="265" spans="1:4">
      <c r="A265" s="22">
        <f t="shared" si="8"/>
        <v>263</v>
      </c>
      <c r="B265">
        <v>2630</v>
      </c>
      <c r="C265">
        <v>96723.527414545053</v>
      </c>
      <c r="D265" s="23">
        <f t="shared" si="9"/>
        <v>967.23527414545049</v>
      </c>
    </row>
    <row r="266" spans="1:4">
      <c r="A266" s="22">
        <f t="shared" si="8"/>
        <v>264</v>
      </c>
      <c r="B266">
        <v>2640</v>
      </c>
      <c r="C266">
        <v>96564.660951956452</v>
      </c>
      <c r="D266" s="23">
        <f t="shared" si="9"/>
        <v>965.64660951956455</v>
      </c>
    </row>
    <row r="267" spans="1:4">
      <c r="A267" s="22">
        <f t="shared" si="8"/>
        <v>265</v>
      </c>
      <c r="B267">
        <v>2650</v>
      </c>
      <c r="C267">
        <v>96405.79448936785</v>
      </c>
      <c r="D267" s="23">
        <f t="shared" si="9"/>
        <v>964.0579448936785</v>
      </c>
    </row>
    <row r="268" spans="1:4">
      <c r="A268" s="22">
        <f t="shared" si="8"/>
        <v>266</v>
      </c>
      <c r="B268">
        <v>2660</v>
      </c>
      <c r="C268">
        <v>96246.928026779249</v>
      </c>
      <c r="D268" s="23">
        <f t="shared" si="9"/>
        <v>962.46928026779244</v>
      </c>
    </row>
    <row r="269" spans="1:4">
      <c r="A269" s="22">
        <f t="shared" si="8"/>
        <v>267</v>
      </c>
      <c r="B269">
        <v>2670</v>
      </c>
      <c r="C269">
        <v>96088.061564190648</v>
      </c>
      <c r="D269" s="23">
        <f t="shared" si="9"/>
        <v>960.8806156419065</v>
      </c>
    </row>
    <row r="270" spans="1:4">
      <c r="A270" s="22">
        <f t="shared" si="8"/>
        <v>268</v>
      </c>
      <c r="B270">
        <v>2680</v>
      </c>
      <c r="C270">
        <v>95929.195101602047</v>
      </c>
      <c r="D270" s="23">
        <f t="shared" si="9"/>
        <v>959.29195101602045</v>
      </c>
    </row>
    <row r="271" spans="1:4">
      <c r="A271" s="22">
        <f t="shared" si="8"/>
        <v>269</v>
      </c>
      <c r="B271">
        <v>2690</v>
      </c>
      <c r="C271">
        <v>95770.328639013445</v>
      </c>
      <c r="D271" s="23">
        <f t="shared" si="9"/>
        <v>957.70328639013451</v>
      </c>
    </row>
    <row r="272" spans="1:4">
      <c r="A272" s="22">
        <f t="shared" si="8"/>
        <v>270</v>
      </c>
      <c r="B272">
        <v>2700</v>
      </c>
      <c r="C272">
        <v>95611.462176424844</v>
      </c>
      <c r="D272" s="23">
        <f t="shared" si="9"/>
        <v>956.11462176424845</v>
      </c>
    </row>
    <row r="273" spans="1:4">
      <c r="A273" s="22">
        <f t="shared" si="8"/>
        <v>271</v>
      </c>
      <c r="B273">
        <v>2710</v>
      </c>
      <c r="C273">
        <v>95452.595713836243</v>
      </c>
      <c r="D273" s="23">
        <f t="shared" si="9"/>
        <v>954.5259571383624</v>
      </c>
    </row>
    <row r="274" spans="1:4">
      <c r="A274" s="22">
        <f t="shared" si="8"/>
        <v>272</v>
      </c>
      <c r="B274">
        <v>2720</v>
      </c>
      <c r="C274">
        <v>95293.729251247642</v>
      </c>
      <c r="D274" s="23">
        <f t="shared" si="9"/>
        <v>952.93729251247646</v>
      </c>
    </row>
    <row r="275" spans="1:4">
      <c r="A275" s="22">
        <f t="shared" si="8"/>
        <v>273</v>
      </c>
      <c r="B275">
        <v>2730</v>
      </c>
      <c r="C275">
        <v>95134.86278865904</v>
      </c>
      <c r="D275" s="23">
        <f t="shared" si="9"/>
        <v>951.34862788659041</v>
      </c>
    </row>
    <row r="276" spans="1:4">
      <c r="A276" s="22">
        <f t="shared" si="8"/>
        <v>274</v>
      </c>
      <c r="B276">
        <v>2740</v>
      </c>
      <c r="C276">
        <v>94975.996326070439</v>
      </c>
      <c r="D276" s="23">
        <f t="shared" si="9"/>
        <v>949.75996326070435</v>
      </c>
    </row>
    <row r="277" spans="1:4">
      <c r="A277" s="22">
        <f t="shared" si="8"/>
        <v>275</v>
      </c>
      <c r="B277">
        <v>2750</v>
      </c>
      <c r="C277">
        <v>94817.129863481838</v>
      </c>
      <c r="D277" s="23">
        <f t="shared" si="9"/>
        <v>948.17129863481841</v>
      </c>
    </row>
    <row r="278" spans="1:4">
      <c r="A278" s="22">
        <f t="shared" si="8"/>
        <v>276</v>
      </c>
      <c r="B278">
        <v>2760</v>
      </c>
      <c r="C278">
        <v>94658.263400893236</v>
      </c>
      <c r="D278" s="23">
        <f t="shared" si="9"/>
        <v>946.58263400893236</v>
      </c>
    </row>
    <row r="279" spans="1:4">
      <c r="A279" s="22">
        <f t="shared" si="8"/>
        <v>277</v>
      </c>
      <c r="B279">
        <v>2770</v>
      </c>
      <c r="C279">
        <v>94499.396938304635</v>
      </c>
      <c r="D279" s="23">
        <f t="shared" si="9"/>
        <v>944.99396938304631</v>
      </c>
    </row>
    <row r="280" spans="1:4">
      <c r="A280" s="22">
        <f t="shared" si="8"/>
        <v>278</v>
      </c>
      <c r="B280">
        <v>2780</v>
      </c>
      <c r="C280">
        <v>94340.530475716034</v>
      </c>
      <c r="D280" s="23">
        <f t="shared" si="9"/>
        <v>943.40530475716037</v>
      </c>
    </row>
    <row r="281" spans="1:4">
      <c r="A281" s="22">
        <f t="shared" si="8"/>
        <v>279</v>
      </c>
      <c r="B281">
        <v>2790</v>
      </c>
      <c r="C281">
        <v>94181.664013127433</v>
      </c>
      <c r="D281" s="23">
        <f t="shared" si="9"/>
        <v>941.81664013127431</v>
      </c>
    </row>
    <row r="282" spans="1:4">
      <c r="A282" s="22">
        <f t="shared" si="8"/>
        <v>280</v>
      </c>
      <c r="B282">
        <v>2800</v>
      </c>
      <c r="C282">
        <v>94022.797550538831</v>
      </c>
      <c r="D282" s="23">
        <f t="shared" si="9"/>
        <v>940.22797550538826</v>
      </c>
    </row>
    <row r="283" spans="1:4">
      <c r="A283" s="22">
        <f t="shared" si="8"/>
        <v>281</v>
      </c>
      <c r="B283">
        <v>2810</v>
      </c>
      <c r="C283">
        <v>93863.93108795023</v>
      </c>
      <c r="D283" s="23">
        <f t="shared" si="9"/>
        <v>938.63931087950232</v>
      </c>
    </row>
    <row r="284" spans="1:4">
      <c r="A284" s="22">
        <f t="shared" si="8"/>
        <v>282</v>
      </c>
      <c r="B284">
        <v>2820</v>
      </c>
      <c r="C284">
        <v>93705.064625361629</v>
      </c>
      <c r="D284" s="23">
        <f t="shared" si="9"/>
        <v>937.05064625361626</v>
      </c>
    </row>
    <row r="285" spans="1:4">
      <c r="A285" s="22">
        <f t="shared" si="8"/>
        <v>283</v>
      </c>
      <c r="B285">
        <v>2830</v>
      </c>
      <c r="C285">
        <v>93546.198162773027</v>
      </c>
      <c r="D285" s="23">
        <f t="shared" si="9"/>
        <v>935.46198162773032</v>
      </c>
    </row>
    <row r="286" spans="1:4">
      <c r="A286" s="22">
        <f t="shared" si="8"/>
        <v>284</v>
      </c>
      <c r="B286">
        <v>2840</v>
      </c>
      <c r="C286">
        <v>93387.331700184426</v>
      </c>
      <c r="D286" s="23">
        <f t="shared" si="9"/>
        <v>933.87331700184427</v>
      </c>
    </row>
    <row r="287" spans="1:4">
      <c r="A287" s="22">
        <f t="shared" si="8"/>
        <v>285</v>
      </c>
      <c r="B287">
        <v>2850</v>
      </c>
      <c r="C287">
        <v>93228.465237595825</v>
      </c>
      <c r="D287" s="23">
        <f t="shared" si="9"/>
        <v>932.28465237595822</v>
      </c>
    </row>
    <row r="288" spans="1:4">
      <c r="A288" s="22">
        <f t="shared" si="8"/>
        <v>286</v>
      </c>
      <c r="B288">
        <v>2860</v>
      </c>
      <c r="C288">
        <v>93069.598775007224</v>
      </c>
      <c r="D288" s="23">
        <f t="shared" si="9"/>
        <v>930.69598775007228</v>
      </c>
    </row>
    <row r="289" spans="1:4">
      <c r="A289" s="22">
        <f t="shared" si="8"/>
        <v>287</v>
      </c>
      <c r="B289">
        <v>2870</v>
      </c>
      <c r="C289">
        <v>92910.732312418622</v>
      </c>
      <c r="D289" s="23">
        <f t="shared" si="9"/>
        <v>929.10732312418622</v>
      </c>
    </row>
    <row r="290" spans="1:4">
      <c r="A290" s="22">
        <f t="shared" si="8"/>
        <v>288</v>
      </c>
      <c r="B290">
        <v>2880</v>
      </c>
      <c r="C290">
        <v>92751.865849830021</v>
      </c>
      <c r="D290" s="23">
        <f t="shared" si="9"/>
        <v>927.51865849830017</v>
      </c>
    </row>
    <row r="291" spans="1:4">
      <c r="A291" s="22">
        <f t="shared" si="8"/>
        <v>289</v>
      </c>
      <c r="B291">
        <v>2890</v>
      </c>
      <c r="C291">
        <v>92592.99938724142</v>
      </c>
      <c r="D291" s="23">
        <f t="shared" si="9"/>
        <v>925.92999387241423</v>
      </c>
    </row>
    <row r="292" spans="1:4">
      <c r="A292" s="22">
        <f t="shared" si="8"/>
        <v>290</v>
      </c>
      <c r="B292">
        <v>2900</v>
      </c>
      <c r="C292">
        <v>92434.132924652818</v>
      </c>
      <c r="D292" s="23">
        <f t="shared" si="9"/>
        <v>924.34132924652818</v>
      </c>
    </row>
    <row r="293" spans="1:4">
      <c r="A293" s="22">
        <f t="shared" si="8"/>
        <v>291</v>
      </c>
      <c r="B293">
        <v>2910</v>
      </c>
      <c r="C293">
        <v>92275.266462064217</v>
      </c>
      <c r="D293" s="23">
        <f t="shared" si="9"/>
        <v>922.75266462064212</v>
      </c>
    </row>
    <row r="294" spans="1:4">
      <c r="A294" s="22">
        <f t="shared" si="8"/>
        <v>292</v>
      </c>
      <c r="B294">
        <v>2920</v>
      </c>
      <c r="C294">
        <v>92116.399999475616</v>
      </c>
      <c r="D294" s="23">
        <f t="shared" si="9"/>
        <v>921.16399999475618</v>
      </c>
    </row>
    <row r="295" spans="1:4">
      <c r="A295" s="22">
        <f t="shared" si="8"/>
        <v>293</v>
      </c>
      <c r="B295">
        <v>2930</v>
      </c>
      <c r="C295">
        <v>91957.533536887015</v>
      </c>
      <c r="D295" s="23">
        <f t="shared" si="9"/>
        <v>919.57533536887013</v>
      </c>
    </row>
    <row r="296" spans="1:4">
      <c r="A296" s="22">
        <f t="shared" si="8"/>
        <v>294</v>
      </c>
      <c r="B296">
        <v>2940</v>
      </c>
      <c r="C296">
        <v>91798.667074298413</v>
      </c>
      <c r="D296" s="23">
        <f t="shared" si="9"/>
        <v>917.98667074298419</v>
      </c>
    </row>
    <row r="297" spans="1:4">
      <c r="A297" s="22">
        <f t="shared" si="8"/>
        <v>295</v>
      </c>
      <c r="B297">
        <v>2950</v>
      </c>
      <c r="C297">
        <v>91639.800611709812</v>
      </c>
      <c r="D297" s="23">
        <f t="shared" si="9"/>
        <v>916.39800611709813</v>
      </c>
    </row>
    <row r="298" spans="1:4">
      <c r="A298" s="22">
        <f t="shared" si="8"/>
        <v>296</v>
      </c>
      <c r="B298">
        <v>2960</v>
      </c>
      <c r="C298">
        <v>91480.934149121211</v>
      </c>
      <c r="D298" s="23">
        <f t="shared" si="9"/>
        <v>914.80934149121208</v>
      </c>
    </row>
    <row r="299" spans="1:4">
      <c r="A299" s="22">
        <f t="shared" si="8"/>
        <v>297</v>
      </c>
      <c r="B299">
        <v>2970</v>
      </c>
      <c r="C299">
        <v>91322.06768653261</v>
      </c>
      <c r="D299" s="23">
        <f t="shared" si="9"/>
        <v>913.22067686532614</v>
      </c>
    </row>
    <row r="300" spans="1:4">
      <c r="A300" s="22">
        <f t="shared" si="8"/>
        <v>298</v>
      </c>
      <c r="B300">
        <v>2980</v>
      </c>
      <c r="C300">
        <v>91163.201223944008</v>
      </c>
      <c r="D300" s="23">
        <f t="shared" si="9"/>
        <v>911.63201223944009</v>
      </c>
    </row>
    <row r="301" spans="1:4">
      <c r="A301" s="22">
        <f t="shared" si="8"/>
        <v>299</v>
      </c>
      <c r="B301">
        <v>2990</v>
      </c>
      <c r="C301">
        <v>91004.334761355407</v>
      </c>
      <c r="D301" s="23">
        <f t="shared" si="9"/>
        <v>910.04334761355403</v>
      </c>
    </row>
    <row r="302" spans="1:4">
      <c r="A302" s="22">
        <f t="shared" si="8"/>
        <v>300</v>
      </c>
      <c r="B302">
        <v>3000</v>
      </c>
      <c r="C302">
        <v>90845.468298766806</v>
      </c>
      <c r="D302" s="23">
        <f t="shared" si="9"/>
        <v>908.45468298766809</v>
      </c>
    </row>
    <row r="303" spans="1:4">
      <c r="A303" s="22">
        <f t="shared" si="8"/>
        <v>301</v>
      </c>
      <c r="B303">
        <v>3010</v>
      </c>
      <c r="C303">
        <v>90686.601836178204</v>
      </c>
      <c r="D303" s="23">
        <f t="shared" si="9"/>
        <v>906.86601836178204</v>
      </c>
    </row>
    <row r="304" spans="1:4">
      <c r="A304" s="22">
        <f t="shared" si="8"/>
        <v>302</v>
      </c>
      <c r="B304">
        <v>3020</v>
      </c>
      <c r="C304">
        <v>90527.735373589603</v>
      </c>
      <c r="D304" s="23">
        <f t="shared" si="9"/>
        <v>905.27735373589599</v>
      </c>
    </row>
    <row r="305" spans="1:4">
      <c r="A305" s="22">
        <f t="shared" si="8"/>
        <v>303</v>
      </c>
      <c r="B305">
        <v>3030</v>
      </c>
      <c r="C305">
        <v>90368.868911001002</v>
      </c>
      <c r="D305" s="23">
        <f t="shared" si="9"/>
        <v>903.68868911001005</v>
      </c>
    </row>
    <row r="306" spans="1:4">
      <c r="A306" s="22">
        <f t="shared" si="8"/>
        <v>304</v>
      </c>
      <c r="B306">
        <v>3040</v>
      </c>
      <c r="C306">
        <v>90210.002448412401</v>
      </c>
      <c r="D306" s="23">
        <f t="shared" si="9"/>
        <v>902.10002448412399</v>
      </c>
    </row>
    <row r="307" spans="1:4">
      <c r="A307" s="22">
        <f t="shared" si="8"/>
        <v>305</v>
      </c>
      <c r="B307">
        <v>3050</v>
      </c>
      <c r="C307">
        <v>90051.135985823799</v>
      </c>
      <c r="D307" s="23">
        <f t="shared" si="9"/>
        <v>900.51135985823794</v>
      </c>
    </row>
    <row r="308" spans="1:4">
      <c r="A308" s="22">
        <f t="shared" si="8"/>
        <v>306</v>
      </c>
      <c r="B308">
        <v>3060</v>
      </c>
      <c r="C308">
        <v>89892.269523235198</v>
      </c>
      <c r="D308" s="23">
        <f t="shared" si="9"/>
        <v>898.922695232352</v>
      </c>
    </row>
    <row r="309" spans="1:4">
      <c r="A309" s="22">
        <f t="shared" si="8"/>
        <v>307</v>
      </c>
      <c r="B309">
        <v>3070</v>
      </c>
      <c r="C309">
        <v>89733.403060646597</v>
      </c>
      <c r="D309" s="23">
        <f t="shared" si="9"/>
        <v>897.33403060646594</v>
      </c>
    </row>
    <row r="310" spans="1:4">
      <c r="A310" s="22">
        <f t="shared" si="8"/>
        <v>308</v>
      </c>
      <c r="B310">
        <v>3080</v>
      </c>
      <c r="C310">
        <v>89574.536598057995</v>
      </c>
      <c r="D310" s="23">
        <f t="shared" si="9"/>
        <v>895.74536598058</v>
      </c>
    </row>
    <row r="311" spans="1:4">
      <c r="A311" s="22">
        <f t="shared" si="8"/>
        <v>309</v>
      </c>
      <c r="B311">
        <v>3090</v>
      </c>
      <c r="C311">
        <v>89415.670135469394</v>
      </c>
      <c r="D311" s="23">
        <f t="shared" si="9"/>
        <v>894.15670135469395</v>
      </c>
    </row>
    <row r="312" spans="1:4">
      <c r="A312" s="22">
        <f t="shared" si="8"/>
        <v>310</v>
      </c>
      <c r="B312">
        <v>3100</v>
      </c>
      <c r="C312">
        <v>89256.803672880793</v>
      </c>
      <c r="D312" s="23">
        <f t="shared" si="9"/>
        <v>892.5680367288079</v>
      </c>
    </row>
    <row r="313" spans="1:4">
      <c r="A313" s="22">
        <f t="shared" si="8"/>
        <v>311</v>
      </c>
      <c r="B313">
        <v>3110</v>
      </c>
      <c r="C313">
        <v>89097.937210292192</v>
      </c>
      <c r="D313" s="23">
        <f t="shared" si="9"/>
        <v>890.97937210292196</v>
      </c>
    </row>
    <row r="314" spans="1:4">
      <c r="A314" s="22">
        <f t="shared" si="8"/>
        <v>312</v>
      </c>
      <c r="B314">
        <v>3120</v>
      </c>
      <c r="C314">
        <v>88939.07074770359</v>
      </c>
      <c r="D314" s="23">
        <f t="shared" si="9"/>
        <v>889.3907074770359</v>
      </c>
    </row>
    <row r="315" spans="1:4">
      <c r="A315" s="22">
        <f t="shared" si="8"/>
        <v>313</v>
      </c>
      <c r="B315">
        <v>3130</v>
      </c>
      <c r="C315">
        <v>88780.204285114989</v>
      </c>
      <c r="D315" s="23">
        <f t="shared" si="9"/>
        <v>887.80204285114985</v>
      </c>
    </row>
    <row r="316" spans="1:4">
      <c r="A316" s="22">
        <f t="shared" si="8"/>
        <v>314</v>
      </c>
      <c r="B316">
        <v>3140</v>
      </c>
      <c r="C316">
        <v>88621.337822526388</v>
      </c>
      <c r="D316" s="23">
        <f t="shared" si="9"/>
        <v>886.21337822526391</v>
      </c>
    </row>
    <row r="317" spans="1:4">
      <c r="A317" s="22">
        <f t="shared" si="8"/>
        <v>315</v>
      </c>
      <c r="B317">
        <v>3150</v>
      </c>
      <c r="C317">
        <v>88462.471359937786</v>
      </c>
      <c r="D317" s="23">
        <f t="shared" si="9"/>
        <v>884.62471359937786</v>
      </c>
    </row>
    <row r="318" spans="1:4">
      <c r="A318" s="22">
        <f t="shared" si="8"/>
        <v>316</v>
      </c>
      <c r="B318">
        <v>3160</v>
      </c>
      <c r="C318">
        <v>88303.604897349185</v>
      </c>
      <c r="D318" s="23">
        <f t="shared" si="9"/>
        <v>883.0360489734918</v>
      </c>
    </row>
    <row r="319" spans="1:4">
      <c r="A319" s="22">
        <f t="shared" si="8"/>
        <v>317</v>
      </c>
      <c r="B319">
        <v>3170</v>
      </c>
      <c r="C319">
        <v>88144.738434760584</v>
      </c>
      <c r="D319" s="23">
        <f t="shared" si="9"/>
        <v>881.44738434760586</v>
      </c>
    </row>
    <row r="320" spans="1:4">
      <c r="A320" s="22">
        <f t="shared" si="8"/>
        <v>318</v>
      </c>
      <c r="B320">
        <v>3180</v>
      </c>
      <c r="C320">
        <v>87985.871972171983</v>
      </c>
      <c r="D320" s="23">
        <f t="shared" si="9"/>
        <v>879.85871972171981</v>
      </c>
    </row>
    <row r="321" spans="1:4">
      <c r="A321" s="22">
        <f t="shared" si="8"/>
        <v>319</v>
      </c>
      <c r="B321">
        <v>3190</v>
      </c>
      <c r="C321">
        <v>87827.005509583381</v>
      </c>
      <c r="D321" s="23">
        <f t="shared" si="9"/>
        <v>878.27005509583387</v>
      </c>
    </row>
    <row r="322" spans="1:4">
      <c r="A322" s="22">
        <f t="shared" si="8"/>
        <v>320</v>
      </c>
      <c r="B322">
        <v>3200</v>
      </c>
      <c r="C322">
        <v>87668.13904699478</v>
      </c>
      <c r="D322" s="23">
        <f t="shared" si="9"/>
        <v>876.68139046994781</v>
      </c>
    </row>
    <row r="323" spans="1:4">
      <c r="A323" s="22">
        <f t="shared" ref="A323:A386" si="10">B323/10</f>
        <v>321</v>
      </c>
      <c r="B323">
        <v>3210</v>
      </c>
      <c r="C323">
        <v>87509.272584406179</v>
      </c>
      <c r="D323" s="23">
        <f t="shared" ref="D323:D386" si="11">C323/100</f>
        <v>875.09272584406176</v>
      </c>
    </row>
    <row r="324" spans="1:4">
      <c r="A324" s="22">
        <f t="shared" si="10"/>
        <v>322</v>
      </c>
      <c r="B324">
        <v>3220</v>
      </c>
      <c r="C324">
        <v>87350.406121817578</v>
      </c>
      <c r="D324" s="23">
        <f t="shared" si="11"/>
        <v>873.50406121817582</v>
      </c>
    </row>
    <row r="325" spans="1:4">
      <c r="A325" s="22">
        <f t="shared" si="10"/>
        <v>323</v>
      </c>
      <c r="B325">
        <v>3230</v>
      </c>
      <c r="C325">
        <v>87191.539659228976</v>
      </c>
      <c r="D325" s="23">
        <f t="shared" si="11"/>
        <v>871.91539659228977</v>
      </c>
    </row>
    <row r="326" spans="1:4">
      <c r="A326" s="22">
        <f t="shared" si="10"/>
        <v>324</v>
      </c>
      <c r="B326">
        <v>3240</v>
      </c>
      <c r="C326">
        <v>87032.673196640375</v>
      </c>
      <c r="D326" s="23">
        <f t="shared" si="11"/>
        <v>870.32673196640371</v>
      </c>
    </row>
    <row r="327" spans="1:4">
      <c r="A327" s="22">
        <f t="shared" si="10"/>
        <v>325</v>
      </c>
      <c r="B327">
        <v>3250</v>
      </c>
      <c r="C327">
        <v>86873.806734051774</v>
      </c>
      <c r="D327" s="23">
        <f t="shared" si="11"/>
        <v>868.73806734051777</v>
      </c>
    </row>
    <row r="328" spans="1:4">
      <c r="A328" s="22">
        <f t="shared" si="10"/>
        <v>326</v>
      </c>
      <c r="B328">
        <v>3260</v>
      </c>
      <c r="C328">
        <v>86714.940271463172</v>
      </c>
      <c r="D328" s="23">
        <f t="shared" si="11"/>
        <v>867.14940271463172</v>
      </c>
    </row>
    <row r="329" spans="1:4">
      <c r="A329" s="22">
        <f t="shared" si="10"/>
        <v>327</v>
      </c>
      <c r="B329">
        <v>3270</v>
      </c>
      <c r="C329">
        <v>86556.073808874571</v>
      </c>
      <c r="D329" s="23">
        <f t="shared" si="11"/>
        <v>865.56073808874567</v>
      </c>
    </row>
    <row r="330" spans="1:4">
      <c r="A330" s="22">
        <f t="shared" si="10"/>
        <v>328</v>
      </c>
      <c r="B330">
        <v>3280</v>
      </c>
      <c r="C330">
        <v>86397.20734628597</v>
      </c>
      <c r="D330" s="23">
        <f t="shared" si="11"/>
        <v>863.97207346285973</v>
      </c>
    </row>
    <row r="331" spans="1:4">
      <c r="A331" s="22">
        <f t="shared" si="10"/>
        <v>329</v>
      </c>
      <c r="B331">
        <v>3290</v>
      </c>
      <c r="C331">
        <v>86238.340883697369</v>
      </c>
      <c r="D331" s="23">
        <f t="shared" si="11"/>
        <v>862.38340883697367</v>
      </c>
    </row>
    <row r="332" spans="1:4">
      <c r="A332" s="22">
        <f t="shared" si="10"/>
        <v>330</v>
      </c>
      <c r="B332">
        <v>3300</v>
      </c>
      <c r="C332">
        <v>86079.474421108767</v>
      </c>
      <c r="D332" s="23">
        <f t="shared" si="11"/>
        <v>860.79474421108762</v>
      </c>
    </row>
    <row r="333" spans="1:4">
      <c r="A333" s="22">
        <f t="shared" si="10"/>
        <v>331</v>
      </c>
      <c r="B333">
        <v>3310</v>
      </c>
      <c r="C333">
        <v>85920.607958520166</v>
      </c>
      <c r="D333" s="23">
        <f t="shared" si="11"/>
        <v>859.20607958520168</v>
      </c>
    </row>
    <row r="334" spans="1:4">
      <c r="A334" s="22">
        <f t="shared" si="10"/>
        <v>332</v>
      </c>
      <c r="B334">
        <v>3320</v>
      </c>
      <c r="C334">
        <v>85761.741495931565</v>
      </c>
      <c r="D334" s="23">
        <f t="shared" si="11"/>
        <v>857.61741495931562</v>
      </c>
    </row>
    <row r="335" spans="1:4">
      <c r="A335" s="22">
        <f t="shared" si="10"/>
        <v>333</v>
      </c>
      <c r="B335">
        <v>3330</v>
      </c>
      <c r="C335">
        <v>85602.875033342963</v>
      </c>
      <c r="D335" s="23">
        <f t="shared" si="11"/>
        <v>856.02875033342968</v>
      </c>
    </row>
    <row r="336" spans="1:4">
      <c r="A336" s="22">
        <f t="shared" si="10"/>
        <v>334</v>
      </c>
      <c r="B336">
        <v>3340</v>
      </c>
      <c r="C336">
        <v>85444.008570754362</v>
      </c>
      <c r="D336" s="23">
        <f t="shared" si="11"/>
        <v>854.44008570754363</v>
      </c>
    </row>
    <row r="337" spans="1:4">
      <c r="A337" s="22">
        <f t="shared" si="10"/>
        <v>335</v>
      </c>
      <c r="B337">
        <v>3350</v>
      </c>
      <c r="C337">
        <v>85285.142108165761</v>
      </c>
      <c r="D337" s="23">
        <f t="shared" si="11"/>
        <v>852.85142108165758</v>
      </c>
    </row>
    <row r="338" spans="1:4">
      <c r="A338" s="22">
        <f t="shared" si="10"/>
        <v>336</v>
      </c>
      <c r="B338">
        <v>3360</v>
      </c>
      <c r="C338">
        <v>85126.27564557716</v>
      </c>
      <c r="D338" s="23">
        <f t="shared" si="11"/>
        <v>851.26275645577164</v>
      </c>
    </row>
    <row r="339" spans="1:4">
      <c r="A339" s="22">
        <f t="shared" si="10"/>
        <v>337</v>
      </c>
      <c r="B339">
        <v>3370</v>
      </c>
      <c r="C339">
        <v>84967.409182988558</v>
      </c>
      <c r="D339" s="23">
        <f t="shared" si="11"/>
        <v>849.67409182988558</v>
      </c>
    </row>
    <row r="340" spans="1:4">
      <c r="A340" s="22">
        <f t="shared" si="10"/>
        <v>338</v>
      </c>
      <c r="B340">
        <v>3380</v>
      </c>
      <c r="C340">
        <v>84808.542720399957</v>
      </c>
      <c r="D340" s="23">
        <f t="shared" si="11"/>
        <v>848.08542720399953</v>
      </c>
    </row>
    <row r="341" spans="1:4">
      <c r="A341" s="22">
        <f t="shared" si="10"/>
        <v>339</v>
      </c>
      <c r="B341">
        <v>3390</v>
      </c>
      <c r="C341">
        <v>84649.676257811356</v>
      </c>
      <c r="D341" s="23">
        <f t="shared" si="11"/>
        <v>846.49676257811359</v>
      </c>
    </row>
    <row r="342" spans="1:4">
      <c r="A342" s="22">
        <f t="shared" si="10"/>
        <v>340</v>
      </c>
      <c r="B342">
        <v>3400</v>
      </c>
      <c r="C342">
        <v>84490.809795222754</v>
      </c>
      <c r="D342" s="23">
        <f t="shared" si="11"/>
        <v>844.90809795222754</v>
      </c>
    </row>
    <row r="343" spans="1:4">
      <c r="A343" s="22">
        <f t="shared" si="10"/>
        <v>341</v>
      </c>
      <c r="B343">
        <v>3410</v>
      </c>
      <c r="C343">
        <v>84331.943332634153</v>
      </c>
      <c r="D343" s="23">
        <f t="shared" si="11"/>
        <v>843.31943332634148</v>
      </c>
    </row>
    <row r="344" spans="1:4">
      <c r="A344" s="22">
        <f t="shared" si="10"/>
        <v>342</v>
      </c>
      <c r="B344">
        <v>3420</v>
      </c>
      <c r="C344">
        <v>84173.076870045552</v>
      </c>
      <c r="D344" s="23">
        <f t="shared" si="11"/>
        <v>841.73076870045554</v>
      </c>
    </row>
    <row r="345" spans="1:4">
      <c r="A345" s="22">
        <f t="shared" si="10"/>
        <v>343</v>
      </c>
      <c r="B345">
        <v>3430</v>
      </c>
      <c r="C345">
        <v>84014.210407456951</v>
      </c>
      <c r="D345" s="23">
        <f t="shared" si="11"/>
        <v>840.14210407456949</v>
      </c>
    </row>
    <row r="346" spans="1:4">
      <c r="A346" s="22">
        <f t="shared" si="10"/>
        <v>344</v>
      </c>
      <c r="B346">
        <v>3440</v>
      </c>
      <c r="C346">
        <v>83855.343944868349</v>
      </c>
      <c r="D346" s="23">
        <f t="shared" si="11"/>
        <v>838.55343944868355</v>
      </c>
    </row>
    <row r="347" spans="1:4">
      <c r="A347" s="22">
        <f t="shared" si="10"/>
        <v>345</v>
      </c>
      <c r="B347">
        <v>3450</v>
      </c>
      <c r="C347">
        <v>83696.477482279748</v>
      </c>
      <c r="D347" s="23">
        <f t="shared" si="11"/>
        <v>836.96477482279749</v>
      </c>
    </row>
    <row r="348" spans="1:4">
      <c r="A348" s="22">
        <f t="shared" si="10"/>
        <v>346</v>
      </c>
      <c r="B348">
        <v>3460</v>
      </c>
      <c r="C348">
        <v>83537.611019691147</v>
      </c>
      <c r="D348" s="23">
        <f t="shared" si="11"/>
        <v>835.37611019691144</v>
      </c>
    </row>
    <row r="349" spans="1:4">
      <c r="A349" s="22">
        <f t="shared" si="10"/>
        <v>347</v>
      </c>
      <c r="B349">
        <v>3470</v>
      </c>
      <c r="C349">
        <v>83378.744557102546</v>
      </c>
      <c r="D349" s="23">
        <f t="shared" si="11"/>
        <v>833.7874455710255</v>
      </c>
    </row>
    <row r="350" spans="1:4">
      <c r="A350" s="22">
        <f t="shared" si="10"/>
        <v>348</v>
      </c>
      <c r="B350">
        <v>3480</v>
      </c>
      <c r="C350">
        <v>83219.878094513944</v>
      </c>
      <c r="D350" s="23">
        <f t="shared" si="11"/>
        <v>832.19878094513945</v>
      </c>
    </row>
    <row r="351" spans="1:4">
      <c r="A351" s="22">
        <f t="shared" si="10"/>
        <v>349</v>
      </c>
      <c r="B351">
        <v>3490</v>
      </c>
      <c r="C351">
        <v>83061.011631925343</v>
      </c>
      <c r="D351" s="23">
        <f t="shared" si="11"/>
        <v>830.61011631925339</v>
      </c>
    </row>
    <row r="352" spans="1:4">
      <c r="A352" s="22">
        <f t="shared" si="10"/>
        <v>350</v>
      </c>
      <c r="B352">
        <v>3500</v>
      </c>
      <c r="C352">
        <v>82902.145169336742</v>
      </c>
      <c r="D352" s="23">
        <f t="shared" si="11"/>
        <v>829.02145169336745</v>
      </c>
    </row>
    <row r="353" spans="1:4">
      <c r="A353" s="22">
        <f t="shared" si="10"/>
        <v>351</v>
      </c>
      <c r="B353">
        <v>3510</v>
      </c>
      <c r="C353">
        <v>82743.27870674814</v>
      </c>
      <c r="D353" s="23">
        <f t="shared" si="11"/>
        <v>827.4327870674814</v>
      </c>
    </row>
    <row r="354" spans="1:4">
      <c r="A354" s="22">
        <f t="shared" si="10"/>
        <v>352</v>
      </c>
      <c r="B354">
        <v>3520</v>
      </c>
      <c r="C354">
        <v>82584.412244159539</v>
      </c>
      <c r="D354" s="23">
        <f t="shared" si="11"/>
        <v>825.84412244159535</v>
      </c>
    </row>
    <row r="355" spans="1:4">
      <c r="A355" s="22">
        <f t="shared" si="10"/>
        <v>353</v>
      </c>
      <c r="B355">
        <v>3530</v>
      </c>
      <c r="C355">
        <v>82425.545781570938</v>
      </c>
      <c r="D355" s="23">
        <f t="shared" si="11"/>
        <v>824.25545781570941</v>
      </c>
    </row>
    <row r="356" spans="1:4">
      <c r="A356" s="22">
        <f t="shared" si="10"/>
        <v>354</v>
      </c>
      <c r="B356">
        <v>3540</v>
      </c>
      <c r="C356">
        <v>82266.679318982337</v>
      </c>
      <c r="D356" s="23">
        <f t="shared" si="11"/>
        <v>822.66679318982335</v>
      </c>
    </row>
    <row r="357" spans="1:4">
      <c r="A357" s="22">
        <f t="shared" si="10"/>
        <v>355</v>
      </c>
      <c r="B357">
        <v>3550</v>
      </c>
      <c r="C357">
        <v>82107.812856393735</v>
      </c>
      <c r="D357" s="23">
        <f t="shared" si="11"/>
        <v>821.0781285639373</v>
      </c>
    </row>
    <row r="358" spans="1:4">
      <c r="A358" s="22">
        <f t="shared" si="10"/>
        <v>356</v>
      </c>
      <c r="B358">
        <v>3560</v>
      </c>
      <c r="C358">
        <v>81948.946393805134</v>
      </c>
      <c r="D358" s="23">
        <f t="shared" si="11"/>
        <v>819.48946393805136</v>
      </c>
    </row>
    <row r="359" spans="1:4">
      <c r="A359" s="22">
        <f t="shared" si="10"/>
        <v>357</v>
      </c>
      <c r="B359">
        <v>3570</v>
      </c>
      <c r="C359">
        <v>81790.079931216533</v>
      </c>
      <c r="D359" s="23">
        <f t="shared" si="11"/>
        <v>817.9007993121653</v>
      </c>
    </row>
    <row r="360" spans="1:4">
      <c r="A360" s="22">
        <f t="shared" si="10"/>
        <v>358</v>
      </c>
      <c r="B360">
        <v>3580</v>
      </c>
      <c r="C360">
        <v>81631.213468627931</v>
      </c>
      <c r="D360" s="23">
        <f t="shared" si="11"/>
        <v>816.31213468627936</v>
      </c>
    </row>
    <row r="361" spans="1:4">
      <c r="A361" s="22">
        <f t="shared" si="10"/>
        <v>359</v>
      </c>
      <c r="B361">
        <v>3590</v>
      </c>
      <c r="C361">
        <v>81472.34700603933</v>
      </c>
      <c r="D361" s="23">
        <f t="shared" si="11"/>
        <v>814.72347006039331</v>
      </c>
    </row>
    <row r="362" spans="1:4">
      <c r="A362" s="22">
        <f t="shared" si="10"/>
        <v>360</v>
      </c>
      <c r="B362">
        <v>3600</v>
      </c>
      <c r="C362">
        <v>81313.480543450729</v>
      </c>
      <c r="D362" s="23">
        <f t="shared" si="11"/>
        <v>813.13480543450726</v>
      </c>
    </row>
    <row r="363" spans="1:4">
      <c r="A363" s="22">
        <f t="shared" si="10"/>
        <v>361</v>
      </c>
      <c r="B363">
        <v>3610</v>
      </c>
      <c r="C363">
        <v>81154.614080862128</v>
      </c>
      <c r="D363" s="23">
        <f t="shared" si="11"/>
        <v>811.54614080862132</v>
      </c>
    </row>
    <row r="364" spans="1:4">
      <c r="A364" s="22">
        <f t="shared" si="10"/>
        <v>362</v>
      </c>
      <c r="B364">
        <v>3620</v>
      </c>
      <c r="C364">
        <v>80995.747618273526</v>
      </c>
      <c r="D364" s="23">
        <f t="shared" si="11"/>
        <v>809.95747618273526</v>
      </c>
    </row>
    <row r="365" spans="1:4">
      <c r="A365" s="22">
        <f t="shared" si="10"/>
        <v>363</v>
      </c>
      <c r="B365">
        <v>3630</v>
      </c>
      <c r="C365">
        <v>80836.881155684925</v>
      </c>
      <c r="D365" s="23">
        <f t="shared" si="11"/>
        <v>808.36881155684921</v>
      </c>
    </row>
    <row r="366" spans="1:4">
      <c r="A366" s="22">
        <f t="shared" si="10"/>
        <v>364</v>
      </c>
      <c r="B366">
        <v>3640</v>
      </c>
      <c r="C366">
        <v>80678.014693096324</v>
      </c>
      <c r="D366" s="23">
        <f t="shared" si="11"/>
        <v>806.78014693096327</v>
      </c>
    </row>
    <row r="367" spans="1:4">
      <c r="A367" s="22">
        <f t="shared" si="10"/>
        <v>365</v>
      </c>
      <c r="B367">
        <v>3650</v>
      </c>
      <c r="C367">
        <v>80519.148230507722</v>
      </c>
      <c r="D367" s="23">
        <f t="shared" si="11"/>
        <v>805.19148230507722</v>
      </c>
    </row>
    <row r="368" spans="1:4">
      <c r="A368" s="22">
        <f t="shared" si="10"/>
        <v>366</v>
      </c>
      <c r="B368">
        <v>3660</v>
      </c>
      <c r="C368">
        <v>80360.281767919121</v>
      </c>
      <c r="D368" s="23">
        <f t="shared" si="11"/>
        <v>803.60281767919116</v>
      </c>
    </row>
    <row r="369" spans="1:4">
      <c r="A369" s="22">
        <f t="shared" si="10"/>
        <v>367</v>
      </c>
      <c r="B369">
        <v>3670</v>
      </c>
      <c r="C369">
        <v>80201.41530533052</v>
      </c>
      <c r="D369" s="23">
        <f t="shared" si="11"/>
        <v>802.01415305330522</v>
      </c>
    </row>
    <row r="370" spans="1:4">
      <c r="A370" s="22">
        <f t="shared" si="10"/>
        <v>368</v>
      </c>
      <c r="B370">
        <v>3680</v>
      </c>
      <c r="C370">
        <v>80042.548842741919</v>
      </c>
      <c r="D370" s="23">
        <f t="shared" si="11"/>
        <v>800.42548842741917</v>
      </c>
    </row>
    <row r="371" spans="1:4">
      <c r="A371" s="22">
        <f t="shared" si="10"/>
        <v>369</v>
      </c>
      <c r="B371">
        <v>3690</v>
      </c>
      <c r="C371">
        <v>79883.682380153317</v>
      </c>
      <c r="D371" s="23">
        <f t="shared" si="11"/>
        <v>798.83682380153323</v>
      </c>
    </row>
    <row r="372" spans="1:4">
      <c r="A372" s="22">
        <f t="shared" si="10"/>
        <v>370</v>
      </c>
      <c r="B372">
        <v>3700</v>
      </c>
      <c r="C372">
        <v>79724.815917564716</v>
      </c>
      <c r="D372" s="23">
        <f t="shared" si="11"/>
        <v>797.24815917564717</v>
      </c>
    </row>
    <row r="373" spans="1:4">
      <c r="A373" s="22">
        <f t="shared" si="10"/>
        <v>371</v>
      </c>
      <c r="B373">
        <v>3710</v>
      </c>
      <c r="C373">
        <v>79565.949454976115</v>
      </c>
      <c r="D373" s="23">
        <f t="shared" si="11"/>
        <v>795.65949454976112</v>
      </c>
    </row>
    <row r="374" spans="1:4">
      <c r="A374" s="22">
        <f t="shared" si="10"/>
        <v>372</v>
      </c>
      <c r="B374">
        <v>3720</v>
      </c>
      <c r="C374">
        <v>79407.082992387514</v>
      </c>
      <c r="D374" s="23">
        <f t="shared" si="11"/>
        <v>794.07082992387518</v>
      </c>
    </row>
    <row r="375" spans="1:4">
      <c r="A375" s="22">
        <f t="shared" si="10"/>
        <v>373</v>
      </c>
      <c r="B375">
        <v>3730</v>
      </c>
      <c r="C375">
        <v>79248.216529798912</v>
      </c>
      <c r="D375" s="23">
        <f t="shared" si="11"/>
        <v>792.48216529798913</v>
      </c>
    </row>
    <row r="376" spans="1:4">
      <c r="A376" s="22">
        <f t="shared" si="10"/>
        <v>374</v>
      </c>
      <c r="B376">
        <v>3740</v>
      </c>
      <c r="C376">
        <v>79089.350067210311</v>
      </c>
      <c r="D376" s="23">
        <f t="shared" si="11"/>
        <v>790.89350067210307</v>
      </c>
    </row>
    <row r="377" spans="1:4">
      <c r="A377" s="22">
        <f t="shared" si="10"/>
        <v>375</v>
      </c>
      <c r="B377">
        <v>3750</v>
      </c>
      <c r="C377">
        <v>78930.48360462171</v>
      </c>
      <c r="D377" s="23">
        <f t="shared" si="11"/>
        <v>789.30483604621713</v>
      </c>
    </row>
    <row r="378" spans="1:4">
      <c r="A378" s="22">
        <f t="shared" si="10"/>
        <v>376</v>
      </c>
      <c r="B378">
        <v>3760</v>
      </c>
      <c r="C378">
        <v>78771.617142033108</v>
      </c>
      <c r="D378" s="23">
        <f t="shared" si="11"/>
        <v>787.71617142033108</v>
      </c>
    </row>
    <row r="379" spans="1:4">
      <c r="A379" s="22">
        <f t="shared" si="10"/>
        <v>377</v>
      </c>
      <c r="B379">
        <v>3770</v>
      </c>
      <c r="C379">
        <v>78612.750679444507</v>
      </c>
      <c r="D379" s="23">
        <f t="shared" si="11"/>
        <v>786.12750679444503</v>
      </c>
    </row>
    <row r="380" spans="1:4">
      <c r="A380" s="22">
        <f t="shared" si="10"/>
        <v>378</v>
      </c>
      <c r="B380">
        <v>3780</v>
      </c>
      <c r="C380">
        <v>78453.884216855906</v>
      </c>
      <c r="D380" s="23">
        <f t="shared" si="11"/>
        <v>784.53884216855909</v>
      </c>
    </row>
    <row r="381" spans="1:4">
      <c r="A381" s="22">
        <f t="shared" si="10"/>
        <v>379</v>
      </c>
      <c r="B381">
        <v>3790</v>
      </c>
      <c r="C381">
        <v>78295.017754267305</v>
      </c>
      <c r="D381" s="23">
        <f t="shared" si="11"/>
        <v>782.95017754267303</v>
      </c>
    </row>
    <row r="382" spans="1:4">
      <c r="A382" s="22">
        <f t="shared" si="10"/>
        <v>380</v>
      </c>
      <c r="B382">
        <v>3800</v>
      </c>
      <c r="C382">
        <v>78136.151291678703</v>
      </c>
      <c r="D382" s="23">
        <f t="shared" si="11"/>
        <v>781.36151291678698</v>
      </c>
    </row>
    <row r="383" spans="1:4">
      <c r="A383" s="22">
        <f t="shared" si="10"/>
        <v>381</v>
      </c>
      <c r="B383">
        <v>3810</v>
      </c>
      <c r="C383">
        <v>77977.284829090102</v>
      </c>
      <c r="D383" s="23">
        <f t="shared" si="11"/>
        <v>779.77284829090104</v>
      </c>
    </row>
    <row r="384" spans="1:4">
      <c r="A384" s="22">
        <f t="shared" si="10"/>
        <v>382</v>
      </c>
      <c r="B384">
        <v>3820</v>
      </c>
      <c r="C384">
        <v>77818.418366501501</v>
      </c>
      <c r="D384" s="23">
        <f t="shared" si="11"/>
        <v>778.18418366501498</v>
      </c>
    </row>
    <row r="385" spans="1:4">
      <c r="A385" s="22">
        <f t="shared" si="10"/>
        <v>383</v>
      </c>
      <c r="B385">
        <v>3830</v>
      </c>
      <c r="C385">
        <v>77659.551903912899</v>
      </c>
      <c r="D385" s="23">
        <f t="shared" si="11"/>
        <v>776.59551903912904</v>
      </c>
    </row>
    <row r="386" spans="1:4">
      <c r="A386" s="22">
        <f t="shared" si="10"/>
        <v>384</v>
      </c>
      <c r="B386">
        <v>3840</v>
      </c>
      <c r="C386">
        <v>77500.685441324298</v>
      </c>
      <c r="D386" s="23">
        <f t="shared" si="11"/>
        <v>775.00685441324299</v>
      </c>
    </row>
    <row r="387" spans="1:4">
      <c r="A387" s="22">
        <f t="shared" ref="A387:A450" si="12">B387/10</f>
        <v>385</v>
      </c>
      <c r="B387">
        <v>3850</v>
      </c>
      <c r="C387">
        <v>77341.818978735697</v>
      </c>
      <c r="D387" s="23">
        <f t="shared" ref="D387:D450" si="13">C387/100</f>
        <v>773.41818978735694</v>
      </c>
    </row>
    <row r="388" spans="1:4">
      <c r="A388" s="22">
        <f t="shared" si="12"/>
        <v>386</v>
      </c>
      <c r="B388">
        <v>3860</v>
      </c>
      <c r="C388">
        <v>77182.952516147096</v>
      </c>
      <c r="D388" s="23">
        <f t="shared" si="13"/>
        <v>771.829525161471</v>
      </c>
    </row>
    <row r="389" spans="1:4">
      <c r="A389" s="22">
        <f t="shared" si="12"/>
        <v>387</v>
      </c>
      <c r="B389">
        <v>3870</v>
      </c>
      <c r="C389">
        <v>77024.086053558494</v>
      </c>
      <c r="D389" s="23">
        <f t="shared" si="13"/>
        <v>770.24086053558494</v>
      </c>
    </row>
    <row r="390" spans="1:4">
      <c r="A390" s="22">
        <f t="shared" si="12"/>
        <v>388</v>
      </c>
      <c r="B390">
        <v>3880</v>
      </c>
      <c r="C390">
        <v>76865.219590969893</v>
      </c>
      <c r="D390" s="23">
        <f t="shared" si="13"/>
        <v>768.65219590969889</v>
      </c>
    </row>
    <row r="391" spans="1:4">
      <c r="A391" s="22">
        <f t="shared" si="12"/>
        <v>389</v>
      </c>
      <c r="B391">
        <v>3890</v>
      </c>
      <c r="C391">
        <v>76706.353128381292</v>
      </c>
      <c r="D391" s="23">
        <f t="shared" si="13"/>
        <v>767.06353128381295</v>
      </c>
    </row>
    <row r="392" spans="1:4">
      <c r="A392" s="22">
        <f t="shared" si="12"/>
        <v>390</v>
      </c>
      <c r="B392">
        <v>3900</v>
      </c>
      <c r="C392">
        <v>76547.48666579269</v>
      </c>
      <c r="D392" s="23">
        <f t="shared" si="13"/>
        <v>765.4748666579269</v>
      </c>
    </row>
    <row r="393" spans="1:4">
      <c r="A393" s="22">
        <f t="shared" si="12"/>
        <v>391</v>
      </c>
      <c r="B393">
        <v>3910</v>
      </c>
      <c r="C393">
        <v>76388.620203204089</v>
      </c>
      <c r="D393" s="23">
        <f t="shared" si="13"/>
        <v>763.88620203204084</v>
      </c>
    </row>
    <row r="394" spans="1:4">
      <c r="A394" s="22">
        <f t="shared" si="12"/>
        <v>392</v>
      </c>
      <c r="B394">
        <v>3920</v>
      </c>
      <c r="C394">
        <v>76229.753740615488</v>
      </c>
      <c r="D394" s="23">
        <f t="shared" si="13"/>
        <v>762.2975374061549</v>
      </c>
    </row>
    <row r="395" spans="1:4">
      <c r="A395" s="22">
        <f t="shared" si="12"/>
        <v>393</v>
      </c>
      <c r="B395">
        <v>3930</v>
      </c>
      <c r="C395">
        <v>76070.887278026887</v>
      </c>
      <c r="D395" s="23">
        <f t="shared" si="13"/>
        <v>760.70887278026885</v>
      </c>
    </row>
    <row r="396" spans="1:4">
      <c r="A396" s="22">
        <f t="shared" si="12"/>
        <v>394</v>
      </c>
      <c r="B396">
        <v>3940</v>
      </c>
      <c r="C396">
        <v>75912.020815438285</v>
      </c>
      <c r="D396" s="23">
        <f t="shared" si="13"/>
        <v>759.12020815438291</v>
      </c>
    </row>
    <row r="397" spans="1:4">
      <c r="A397" s="22">
        <f t="shared" si="12"/>
        <v>395</v>
      </c>
      <c r="B397">
        <v>3950</v>
      </c>
      <c r="C397">
        <v>75753.154352849684</v>
      </c>
      <c r="D397" s="23">
        <f t="shared" si="13"/>
        <v>757.53154352849685</v>
      </c>
    </row>
    <row r="398" spans="1:4">
      <c r="A398" s="22">
        <f t="shared" si="12"/>
        <v>396</v>
      </c>
      <c r="B398">
        <v>3960</v>
      </c>
      <c r="C398">
        <v>75594.287890261083</v>
      </c>
      <c r="D398" s="23">
        <f t="shared" si="13"/>
        <v>755.9428789026108</v>
      </c>
    </row>
    <row r="399" spans="1:4">
      <c r="A399" s="22">
        <f t="shared" si="12"/>
        <v>397</v>
      </c>
      <c r="B399">
        <v>3970</v>
      </c>
      <c r="C399">
        <v>75435.421427672482</v>
      </c>
      <c r="D399" s="23">
        <f t="shared" si="13"/>
        <v>754.35421427672486</v>
      </c>
    </row>
    <row r="400" spans="1:4">
      <c r="A400" s="22">
        <f t="shared" si="12"/>
        <v>398</v>
      </c>
      <c r="B400">
        <v>3980</v>
      </c>
      <c r="C400">
        <v>75276.55496508388</v>
      </c>
      <c r="D400" s="23">
        <f t="shared" si="13"/>
        <v>752.76554965083881</v>
      </c>
    </row>
    <row r="401" spans="1:4">
      <c r="A401" s="22">
        <f t="shared" si="12"/>
        <v>399</v>
      </c>
      <c r="B401">
        <v>3990</v>
      </c>
      <c r="C401">
        <v>75117.688502495279</v>
      </c>
      <c r="D401" s="23">
        <f t="shared" si="13"/>
        <v>751.17688502495275</v>
      </c>
    </row>
    <row r="402" spans="1:4">
      <c r="A402" s="22">
        <f t="shared" si="12"/>
        <v>400</v>
      </c>
      <c r="B402">
        <v>4000</v>
      </c>
      <c r="C402">
        <v>74958.822039906678</v>
      </c>
      <c r="D402" s="23">
        <f t="shared" si="13"/>
        <v>749.58822039906681</v>
      </c>
    </row>
    <row r="403" spans="1:4">
      <c r="A403" s="22">
        <f t="shared" si="12"/>
        <v>401</v>
      </c>
      <c r="B403">
        <v>4010</v>
      </c>
      <c r="C403">
        <v>74799.955577318076</v>
      </c>
      <c r="D403" s="23">
        <f t="shared" si="13"/>
        <v>747.99955577318076</v>
      </c>
    </row>
    <row r="404" spans="1:4">
      <c r="A404" s="22">
        <f t="shared" si="12"/>
        <v>402</v>
      </c>
      <c r="B404">
        <v>4020</v>
      </c>
      <c r="C404">
        <v>74641.089114729475</v>
      </c>
      <c r="D404" s="23">
        <f t="shared" si="13"/>
        <v>746.41089114729471</v>
      </c>
    </row>
    <row r="405" spans="1:4">
      <c r="A405" s="22">
        <f t="shared" si="12"/>
        <v>403</v>
      </c>
      <c r="B405">
        <v>4030</v>
      </c>
      <c r="C405">
        <v>74482.222652140874</v>
      </c>
      <c r="D405" s="23">
        <f t="shared" si="13"/>
        <v>744.82222652140877</v>
      </c>
    </row>
    <row r="406" spans="1:4">
      <c r="A406" s="22">
        <f t="shared" si="12"/>
        <v>404</v>
      </c>
      <c r="B406">
        <v>4040</v>
      </c>
      <c r="C406">
        <v>74323.356189552273</v>
      </c>
      <c r="D406" s="23">
        <f t="shared" si="13"/>
        <v>743.23356189552271</v>
      </c>
    </row>
    <row r="407" spans="1:4">
      <c r="A407" s="22">
        <f t="shared" si="12"/>
        <v>405</v>
      </c>
      <c r="B407">
        <v>4050</v>
      </c>
      <c r="C407">
        <v>74164.489726963671</v>
      </c>
      <c r="D407" s="23">
        <f t="shared" si="13"/>
        <v>741.64489726963666</v>
      </c>
    </row>
    <row r="408" spans="1:4">
      <c r="A408" s="22">
        <f t="shared" si="12"/>
        <v>406</v>
      </c>
      <c r="B408">
        <v>4060</v>
      </c>
      <c r="C408">
        <v>74005.62326437507</v>
      </c>
      <c r="D408" s="23">
        <f t="shared" si="13"/>
        <v>740.05623264375072</v>
      </c>
    </row>
    <row r="409" spans="1:4">
      <c r="A409" s="22">
        <f t="shared" si="12"/>
        <v>407</v>
      </c>
      <c r="B409">
        <v>4070</v>
      </c>
      <c r="C409">
        <v>73846.756801786469</v>
      </c>
      <c r="D409" s="23">
        <f t="shared" si="13"/>
        <v>738.46756801786466</v>
      </c>
    </row>
    <row r="410" spans="1:4">
      <c r="A410" s="22">
        <f t="shared" si="12"/>
        <v>408</v>
      </c>
      <c r="B410">
        <v>4080</v>
      </c>
      <c r="C410">
        <v>73687.890339197867</v>
      </c>
      <c r="D410" s="23">
        <f t="shared" si="13"/>
        <v>736.87890339197872</v>
      </c>
    </row>
    <row r="411" spans="1:4">
      <c r="A411" s="22">
        <f t="shared" si="12"/>
        <v>409</v>
      </c>
      <c r="B411">
        <v>4090</v>
      </c>
      <c r="C411">
        <v>73529.023876609266</v>
      </c>
      <c r="D411" s="23">
        <f t="shared" si="13"/>
        <v>735.29023876609267</v>
      </c>
    </row>
    <row r="412" spans="1:4">
      <c r="A412" s="22">
        <f t="shared" si="12"/>
        <v>410</v>
      </c>
      <c r="B412">
        <v>4100</v>
      </c>
      <c r="C412">
        <v>73370.157414020665</v>
      </c>
      <c r="D412" s="23">
        <f t="shared" si="13"/>
        <v>733.70157414020662</v>
      </c>
    </row>
    <row r="413" spans="1:4">
      <c r="A413" s="22">
        <f t="shared" si="12"/>
        <v>411</v>
      </c>
      <c r="B413">
        <v>4110</v>
      </c>
      <c r="C413">
        <v>73211.290951432064</v>
      </c>
      <c r="D413" s="23">
        <f t="shared" si="13"/>
        <v>732.11290951432068</v>
      </c>
    </row>
    <row r="414" spans="1:4">
      <c r="A414" s="22">
        <f t="shared" si="12"/>
        <v>412</v>
      </c>
      <c r="B414">
        <v>4120</v>
      </c>
      <c r="C414">
        <v>73052.424488843462</v>
      </c>
      <c r="D414" s="23">
        <f t="shared" si="13"/>
        <v>730.52424488843462</v>
      </c>
    </row>
    <row r="415" spans="1:4">
      <c r="A415" s="22">
        <f t="shared" si="12"/>
        <v>413</v>
      </c>
      <c r="B415">
        <v>4130</v>
      </c>
      <c r="C415">
        <v>72893.558026254861</v>
      </c>
      <c r="D415" s="23">
        <f t="shared" si="13"/>
        <v>728.93558026254857</v>
      </c>
    </row>
    <row r="416" spans="1:4">
      <c r="A416" s="22">
        <f t="shared" si="12"/>
        <v>414</v>
      </c>
      <c r="B416">
        <v>4140</v>
      </c>
      <c r="C416">
        <v>72734.69156366626</v>
      </c>
      <c r="D416" s="23">
        <f t="shared" si="13"/>
        <v>727.34691563666263</v>
      </c>
    </row>
    <row r="417" spans="1:4">
      <c r="A417" s="22">
        <f t="shared" si="12"/>
        <v>415</v>
      </c>
      <c r="B417">
        <v>4150</v>
      </c>
      <c r="C417">
        <v>72575.825101077658</v>
      </c>
      <c r="D417" s="23">
        <f t="shared" si="13"/>
        <v>725.75825101077658</v>
      </c>
    </row>
    <row r="418" spans="1:4">
      <c r="A418" s="22">
        <f t="shared" si="12"/>
        <v>416</v>
      </c>
      <c r="B418">
        <v>4160</v>
      </c>
      <c r="C418">
        <v>72416.958638489057</v>
      </c>
      <c r="D418" s="23">
        <f t="shared" si="13"/>
        <v>724.16958638489052</v>
      </c>
    </row>
    <row r="419" spans="1:4">
      <c r="A419" s="22">
        <f t="shared" si="12"/>
        <v>417</v>
      </c>
      <c r="B419">
        <v>4170</v>
      </c>
      <c r="C419">
        <v>72258.092175900456</v>
      </c>
      <c r="D419" s="23">
        <f t="shared" si="13"/>
        <v>722.58092175900458</v>
      </c>
    </row>
    <row r="420" spans="1:4">
      <c r="A420" s="22">
        <f t="shared" si="12"/>
        <v>418</v>
      </c>
      <c r="B420">
        <v>4180</v>
      </c>
      <c r="C420">
        <v>72099.225713311855</v>
      </c>
      <c r="D420" s="23">
        <f t="shared" si="13"/>
        <v>720.99225713311853</v>
      </c>
    </row>
    <row r="421" spans="1:4">
      <c r="A421" s="22">
        <f t="shared" si="12"/>
        <v>419</v>
      </c>
      <c r="B421">
        <v>4190</v>
      </c>
      <c r="C421">
        <v>71940.359250723253</v>
      </c>
      <c r="D421" s="23">
        <f t="shared" si="13"/>
        <v>719.40359250723259</v>
      </c>
    </row>
    <row r="422" spans="1:4">
      <c r="A422" s="22">
        <f t="shared" si="12"/>
        <v>420</v>
      </c>
      <c r="B422">
        <v>4200</v>
      </c>
      <c r="C422">
        <v>71781.492788134652</v>
      </c>
      <c r="D422" s="23">
        <f t="shared" si="13"/>
        <v>717.81492788134653</v>
      </c>
    </row>
    <row r="423" spans="1:4">
      <c r="A423" s="22">
        <f t="shared" si="12"/>
        <v>421</v>
      </c>
      <c r="B423">
        <v>4210</v>
      </c>
      <c r="C423">
        <v>71622.626325546051</v>
      </c>
      <c r="D423" s="23">
        <f t="shared" si="13"/>
        <v>716.22626325546048</v>
      </c>
    </row>
    <row r="424" spans="1:4">
      <c r="A424" s="22">
        <f t="shared" si="12"/>
        <v>422</v>
      </c>
      <c r="B424">
        <v>4220</v>
      </c>
      <c r="C424">
        <v>71463.75986295745</v>
      </c>
      <c r="D424" s="23">
        <f t="shared" si="13"/>
        <v>714.63759862957454</v>
      </c>
    </row>
    <row r="425" spans="1:4">
      <c r="A425" s="22">
        <f t="shared" si="12"/>
        <v>423</v>
      </c>
      <c r="B425">
        <v>4230</v>
      </c>
      <c r="C425">
        <v>71304.893400368848</v>
      </c>
      <c r="D425" s="23">
        <f t="shared" si="13"/>
        <v>713.04893400368849</v>
      </c>
    </row>
    <row r="426" spans="1:4">
      <c r="A426" s="22">
        <f t="shared" si="12"/>
        <v>424</v>
      </c>
      <c r="B426">
        <v>4240</v>
      </c>
      <c r="C426">
        <v>71146.026937780247</v>
      </c>
      <c r="D426" s="23">
        <f t="shared" si="13"/>
        <v>711.46026937780243</v>
      </c>
    </row>
    <row r="427" spans="1:4">
      <c r="A427" s="22">
        <f t="shared" si="12"/>
        <v>425</v>
      </c>
      <c r="B427">
        <v>4250</v>
      </c>
      <c r="C427">
        <v>70987.160475191646</v>
      </c>
      <c r="D427" s="23">
        <f t="shared" si="13"/>
        <v>709.87160475191649</v>
      </c>
    </row>
    <row r="428" spans="1:4">
      <c r="A428" s="22">
        <f t="shared" si="12"/>
        <v>426</v>
      </c>
      <c r="B428">
        <v>4260</v>
      </c>
      <c r="C428">
        <v>70828.294012603044</v>
      </c>
      <c r="D428" s="23">
        <f t="shared" si="13"/>
        <v>708.28294012603044</v>
      </c>
    </row>
    <row r="429" spans="1:4">
      <c r="A429" s="22">
        <f t="shared" si="12"/>
        <v>427</v>
      </c>
      <c r="B429">
        <v>4270</v>
      </c>
      <c r="C429">
        <v>70669.427550014443</v>
      </c>
      <c r="D429" s="23">
        <f t="shared" si="13"/>
        <v>706.69427550014439</v>
      </c>
    </row>
    <row r="430" spans="1:4">
      <c r="A430" s="22">
        <f t="shared" si="12"/>
        <v>428</v>
      </c>
      <c r="B430">
        <v>4280</v>
      </c>
      <c r="C430">
        <v>70510.561087425842</v>
      </c>
      <c r="D430" s="23">
        <f t="shared" si="13"/>
        <v>705.10561087425845</v>
      </c>
    </row>
    <row r="431" spans="1:4">
      <c r="A431" s="22">
        <f t="shared" si="12"/>
        <v>429</v>
      </c>
      <c r="B431">
        <v>4290</v>
      </c>
      <c r="C431">
        <v>70351.694624837241</v>
      </c>
      <c r="D431" s="23">
        <f t="shared" si="13"/>
        <v>703.51694624837239</v>
      </c>
    </row>
    <row r="432" spans="1:4">
      <c r="A432" s="22">
        <f t="shared" si="12"/>
        <v>430</v>
      </c>
      <c r="B432">
        <v>4300</v>
      </c>
      <c r="C432">
        <v>70192.828162248639</v>
      </c>
      <c r="D432" s="23">
        <f t="shared" si="13"/>
        <v>701.92828162248634</v>
      </c>
    </row>
    <row r="433" spans="1:4">
      <c r="A433" s="22">
        <f t="shared" si="12"/>
        <v>431</v>
      </c>
      <c r="B433">
        <v>4310</v>
      </c>
      <c r="C433">
        <v>70033.961699660038</v>
      </c>
      <c r="D433" s="23">
        <f t="shared" si="13"/>
        <v>700.3396169966004</v>
      </c>
    </row>
    <row r="434" spans="1:4">
      <c r="A434" s="22">
        <f t="shared" si="12"/>
        <v>432</v>
      </c>
      <c r="B434">
        <v>4320</v>
      </c>
      <c r="C434">
        <v>69875.095237071437</v>
      </c>
      <c r="D434" s="23">
        <f t="shared" si="13"/>
        <v>698.75095237071434</v>
      </c>
    </row>
    <row r="435" spans="1:4">
      <c r="A435" s="22">
        <f t="shared" si="12"/>
        <v>433</v>
      </c>
      <c r="B435">
        <v>4330</v>
      </c>
      <c r="C435">
        <v>69716.228774482835</v>
      </c>
      <c r="D435" s="23">
        <f t="shared" si="13"/>
        <v>697.1622877448284</v>
      </c>
    </row>
    <row r="436" spans="1:4">
      <c r="A436" s="22">
        <f t="shared" si="12"/>
        <v>434</v>
      </c>
      <c r="B436">
        <v>4340</v>
      </c>
      <c r="C436">
        <v>69557.362311894234</v>
      </c>
      <c r="D436" s="23">
        <f t="shared" si="13"/>
        <v>695.57362311894235</v>
      </c>
    </row>
    <row r="437" spans="1:4">
      <c r="A437" s="22">
        <f t="shared" si="12"/>
        <v>435</v>
      </c>
      <c r="B437">
        <v>4350</v>
      </c>
      <c r="C437">
        <v>69398.495849305633</v>
      </c>
      <c r="D437" s="23">
        <f t="shared" si="13"/>
        <v>693.9849584930563</v>
      </c>
    </row>
    <row r="438" spans="1:4">
      <c r="A438" s="22">
        <f t="shared" si="12"/>
        <v>436</v>
      </c>
      <c r="B438">
        <v>4360</v>
      </c>
      <c r="C438">
        <v>69239.629386717032</v>
      </c>
      <c r="D438" s="23">
        <f t="shared" si="13"/>
        <v>692.39629386717036</v>
      </c>
    </row>
    <row r="439" spans="1:4">
      <c r="A439" s="22">
        <f t="shared" si="12"/>
        <v>437</v>
      </c>
      <c r="B439">
        <v>4370</v>
      </c>
      <c r="C439">
        <v>69080.76292412843</v>
      </c>
      <c r="D439" s="23">
        <f t="shared" si="13"/>
        <v>690.8076292412843</v>
      </c>
    </row>
    <row r="440" spans="1:4">
      <c r="A440" s="22">
        <f t="shared" si="12"/>
        <v>438</v>
      </c>
      <c r="B440">
        <v>4380</v>
      </c>
      <c r="C440">
        <v>68921.896461539829</v>
      </c>
      <c r="D440" s="23">
        <f t="shared" si="13"/>
        <v>689.21896461539825</v>
      </c>
    </row>
    <row r="441" spans="1:4">
      <c r="A441" s="22">
        <f t="shared" si="12"/>
        <v>439</v>
      </c>
      <c r="B441">
        <v>4390</v>
      </c>
      <c r="C441">
        <v>68763.029998951228</v>
      </c>
      <c r="D441" s="23">
        <f t="shared" si="13"/>
        <v>687.63029998951231</v>
      </c>
    </row>
    <row r="442" spans="1:4">
      <c r="A442" s="22">
        <f t="shared" si="12"/>
        <v>440</v>
      </c>
      <c r="B442">
        <v>4400</v>
      </c>
      <c r="C442">
        <v>68604.163536362626</v>
      </c>
      <c r="D442" s="23">
        <f t="shared" si="13"/>
        <v>686.04163536362626</v>
      </c>
    </row>
    <row r="443" spans="1:4">
      <c r="A443" s="22">
        <f t="shared" si="12"/>
        <v>441</v>
      </c>
      <c r="B443">
        <v>4410</v>
      </c>
      <c r="C443">
        <v>68445.297073774025</v>
      </c>
      <c r="D443" s="23">
        <f t="shared" si="13"/>
        <v>684.4529707377402</v>
      </c>
    </row>
    <row r="444" spans="1:4">
      <c r="A444" s="22">
        <f t="shared" si="12"/>
        <v>442</v>
      </c>
      <c r="B444">
        <v>4420</v>
      </c>
      <c r="C444">
        <v>68286.430611185424</v>
      </c>
      <c r="D444" s="23">
        <f t="shared" si="13"/>
        <v>682.86430611185426</v>
      </c>
    </row>
    <row r="445" spans="1:4">
      <c r="A445" s="22">
        <f t="shared" si="12"/>
        <v>443</v>
      </c>
      <c r="B445">
        <v>4430</v>
      </c>
      <c r="C445">
        <v>68127.564148596823</v>
      </c>
      <c r="D445" s="23">
        <f t="shared" si="13"/>
        <v>681.27564148596821</v>
      </c>
    </row>
    <row r="446" spans="1:4">
      <c r="A446" s="22">
        <f t="shared" si="12"/>
        <v>444</v>
      </c>
      <c r="B446">
        <v>4440</v>
      </c>
      <c r="C446">
        <v>67968.697686008221</v>
      </c>
      <c r="D446" s="23">
        <f t="shared" si="13"/>
        <v>679.68697686008227</v>
      </c>
    </row>
    <row r="447" spans="1:4">
      <c r="A447" s="22">
        <f t="shared" si="12"/>
        <v>445</v>
      </c>
      <c r="B447">
        <v>4450</v>
      </c>
      <c r="C447">
        <v>67809.83122341962</v>
      </c>
      <c r="D447" s="23">
        <f t="shared" si="13"/>
        <v>678.09831223419621</v>
      </c>
    </row>
    <row r="448" spans="1:4">
      <c r="A448" s="22">
        <f t="shared" si="12"/>
        <v>446</v>
      </c>
      <c r="B448">
        <v>4460</v>
      </c>
      <c r="C448">
        <v>67650.964760831019</v>
      </c>
      <c r="D448" s="23">
        <f t="shared" si="13"/>
        <v>676.50964760831016</v>
      </c>
    </row>
    <row r="449" spans="1:4">
      <c r="A449" s="22">
        <f t="shared" si="12"/>
        <v>447</v>
      </c>
      <c r="B449">
        <v>4470</v>
      </c>
      <c r="C449">
        <v>67492.098298242418</v>
      </c>
      <c r="D449" s="23">
        <f t="shared" si="13"/>
        <v>674.92098298242422</v>
      </c>
    </row>
    <row r="450" spans="1:4">
      <c r="A450" s="22">
        <f t="shared" si="12"/>
        <v>448</v>
      </c>
      <c r="B450">
        <v>4480</v>
      </c>
      <c r="C450">
        <v>67333.231835653816</v>
      </c>
      <c r="D450" s="23">
        <f t="shared" si="13"/>
        <v>673.33231835653817</v>
      </c>
    </row>
    <row r="451" spans="1:4">
      <c r="A451" s="22">
        <f t="shared" ref="A451:A514" si="14">B451/10</f>
        <v>449</v>
      </c>
      <c r="B451">
        <v>4490</v>
      </c>
      <c r="C451">
        <v>67174.365373065215</v>
      </c>
      <c r="D451" s="23">
        <f t="shared" ref="D451:D514" si="15">C451/100</f>
        <v>671.74365373065211</v>
      </c>
    </row>
    <row r="452" spans="1:4">
      <c r="A452" s="22">
        <f t="shared" si="14"/>
        <v>450</v>
      </c>
      <c r="B452">
        <v>4500</v>
      </c>
      <c r="C452">
        <v>67015.498910476614</v>
      </c>
      <c r="D452" s="23">
        <f t="shared" si="15"/>
        <v>670.15498910476617</v>
      </c>
    </row>
    <row r="453" spans="1:4">
      <c r="A453" s="22">
        <f t="shared" si="14"/>
        <v>451</v>
      </c>
      <c r="B453">
        <v>4510</v>
      </c>
      <c r="C453">
        <v>66856.632447888012</v>
      </c>
      <c r="D453" s="23">
        <f t="shared" si="15"/>
        <v>668.56632447888012</v>
      </c>
    </row>
    <row r="454" spans="1:4">
      <c r="A454" s="22">
        <f t="shared" si="14"/>
        <v>452</v>
      </c>
      <c r="B454">
        <v>4520</v>
      </c>
      <c r="C454">
        <v>66697.765985299411</v>
      </c>
      <c r="D454" s="23">
        <f t="shared" si="15"/>
        <v>666.97765985299407</v>
      </c>
    </row>
    <row r="455" spans="1:4">
      <c r="A455" s="22">
        <f t="shared" si="14"/>
        <v>453</v>
      </c>
      <c r="B455">
        <v>4530</v>
      </c>
      <c r="C455">
        <v>66538.89952271081</v>
      </c>
      <c r="D455" s="23">
        <f t="shared" si="15"/>
        <v>665.38899522710813</v>
      </c>
    </row>
    <row r="456" spans="1:4">
      <c r="A456" s="22">
        <f t="shared" si="14"/>
        <v>454</v>
      </c>
      <c r="B456">
        <v>4540</v>
      </c>
      <c r="C456">
        <v>66380.033060122209</v>
      </c>
      <c r="D456" s="23">
        <f t="shared" si="15"/>
        <v>663.80033060122207</v>
      </c>
    </row>
    <row r="457" spans="1:4">
      <c r="A457" s="22">
        <f t="shared" si="14"/>
        <v>455</v>
      </c>
      <c r="B457">
        <v>4550</v>
      </c>
      <c r="C457">
        <v>66221.166597533607</v>
      </c>
      <c r="D457" s="23">
        <f t="shared" si="15"/>
        <v>662.21166597533602</v>
      </c>
    </row>
    <row r="458" spans="1:4">
      <c r="A458" s="22">
        <f t="shared" si="14"/>
        <v>456</v>
      </c>
      <c r="B458">
        <v>4560</v>
      </c>
      <c r="C458">
        <v>66062.300134945006</v>
      </c>
      <c r="D458" s="23">
        <f t="shared" si="15"/>
        <v>660.62300134945008</v>
      </c>
    </row>
    <row r="459" spans="1:4">
      <c r="A459" s="22">
        <f t="shared" si="14"/>
        <v>457</v>
      </c>
      <c r="B459">
        <v>4570</v>
      </c>
      <c r="C459">
        <v>65903.433672356405</v>
      </c>
      <c r="D459" s="23">
        <f t="shared" si="15"/>
        <v>659.03433672356402</v>
      </c>
    </row>
    <row r="460" spans="1:4">
      <c r="A460" s="22">
        <f t="shared" si="14"/>
        <v>458</v>
      </c>
      <c r="B460">
        <v>4580</v>
      </c>
      <c r="C460">
        <v>65744.567209767803</v>
      </c>
      <c r="D460" s="23">
        <f t="shared" si="15"/>
        <v>657.44567209767808</v>
      </c>
    </row>
    <row r="461" spans="1:4">
      <c r="A461" s="22">
        <f t="shared" si="14"/>
        <v>459</v>
      </c>
      <c r="B461">
        <v>4590</v>
      </c>
      <c r="C461">
        <v>65585.700747179202</v>
      </c>
      <c r="D461" s="23">
        <f t="shared" si="15"/>
        <v>655.85700747179203</v>
      </c>
    </row>
    <row r="462" spans="1:4">
      <c r="A462" s="22">
        <f t="shared" si="14"/>
        <v>460</v>
      </c>
      <c r="B462">
        <v>4600</v>
      </c>
      <c r="C462">
        <v>65426.834284590601</v>
      </c>
      <c r="D462" s="23">
        <f t="shared" si="15"/>
        <v>654.26834284590598</v>
      </c>
    </row>
    <row r="463" spans="1:4">
      <c r="A463" s="22">
        <f t="shared" si="14"/>
        <v>461</v>
      </c>
      <c r="B463">
        <v>4610</v>
      </c>
      <c r="C463">
        <v>65267.967822002</v>
      </c>
      <c r="D463" s="23">
        <f t="shared" si="15"/>
        <v>652.67967822002004</v>
      </c>
    </row>
    <row r="464" spans="1:4">
      <c r="A464" s="22">
        <f t="shared" si="14"/>
        <v>462</v>
      </c>
      <c r="B464">
        <v>4620</v>
      </c>
      <c r="C464">
        <v>65109.101359413398</v>
      </c>
      <c r="D464" s="23">
        <f t="shared" si="15"/>
        <v>651.09101359413398</v>
      </c>
    </row>
    <row r="465" spans="1:4">
      <c r="A465" s="22">
        <f t="shared" si="14"/>
        <v>463</v>
      </c>
      <c r="B465">
        <v>4630</v>
      </c>
      <c r="C465">
        <v>64950.234896824797</v>
      </c>
      <c r="D465" s="23">
        <f t="shared" si="15"/>
        <v>649.50234896824793</v>
      </c>
    </row>
    <row r="466" spans="1:4">
      <c r="A466" s="22">
        <f t="shared" si="14"/>
        <v>464</v>
      </c>
      <c r="B466">
        <v>4640</v>
      </c>
      <c r="C466">
        <v>64791.368434236196</v>
      </c>
      <c r="D466" s="23">
        <f t="shared" si="15"/>
        <v>647.91368434236199</v>
      </c>
    </row>
    <row r="467" spans="1:4">
      <c r="A467" s="22">
        <f t="shared" si="14"/>
        <v>465</v>
      </c>
      <c r="B467">
        <v>4650</v>
      </c>
      <c r="C467">
        <v>64632.501971647594</v>
      </c>
      <c r="D467" s="23">
        <f t="shared" si="15"/>
        <v>646.32501971647594</v>
      </c>
    </row>
    <row r="468" spans="1:4">
      <c r="A468" s="22">
        <f t="shared" si="14"/>
        <v>466</v>
      </c>
      <c r="B468">
        <v>4660</v>
      </c>
      <c r="C468">
        <v>64473.635509058993</v>
      </c>
      <c r="D468" s="23">
        <f t="shared" si="15"/>
        <v>644.73635509058988</v>
      </c>
    </row>
    <row r="469" spans="1:4">
      <c r="A469" s="22">
        <f t="shared" si="14"/>
        <v>467</v>
      </c>
      <c r="B469">
        <v>4670</v>
      </c>
      <c r="C469">
        <v>64314.769046470392</v>
      </c>
      <c r="D469" s="23">
        <f t="shared" si="15"/>
        <v>643.14769046470394</v>
      </c>
    </row>
    <row r="470" spans="1:4">
      <c r="A470" s="22">
        <f t="shared" si="14"/>
        <v>468</v>
      </c>
      <c r="B470">
        <v>4680</v>
      </c>
      <c r="C470">
        <v>64155.902583881791</v>
      </c>
      <c r="D470" s="23">
        <f t="shared" si="15"/>
        <v>641.55902583881789</v>
      </c>
    </row>
    <row r="471" spans="1:4">
      <c r="A471" s="22">
        <f t="shared" si="14"/>
        <v>469</v>
      </c>
      <c r="B471">
        <v>4690</v>
      </c>
      <c r="C471">
        <v>63997.036121293189</v>
      </c>
      <c r="D471" s="23">
        <f t="shared" si="15"/>
        <v>639.97036121293195</v>
      </c>
    </row>
    <row r="472" spans="1:4">
      <c r="A472" s="22">
        <f t="shared" si="14"/>
        <v>470</v>
      </c>
      <c r="B472">
        <v>4700</v>
      </c>
      <c r="C472">
        <v>63838.169658704588</v>
      </c>
      <c r="D472" s="23">
        <f t="shared" si="15"/>
        <v>638.38169658704589</v>
      </c>
    </row>
    <row r="473" spans="1:4">
      <c r="A473" s="22">
        <f>B473/10</f>
        <v>471</v>
      </c>
      <c r="B473">
        <v>4710</v>
      </c>
      <c r="C473">
        <v>63679.303196115987</v>
      </c>
      <c r="D473" s="23">
        <f t="shared" si="15"/>
        <v>636.79303196115984</v>
      </c>
    </row>
    <row r="474" spans="1:4">
      <c r="A474" s="22">
        <f>B474/10</f>
        <v>472</v>
      </c>
      <c r="B474">
        <v>4720</v>
      </c>
      <c r="C474">
        <v>63520.436733527386</v>
      </c>
      <c r="D474" s="23">
        <f t="shared" si="15"/>
        <v>635.2043673352739</v>
      </c>
    </row>
    <row r="475" spans="1:4">
      <c r="A475" s="22">
        <f t="shared" si="14"/>
        <v>473</v>
      </c>
      <c r="B475">
        <v>4730</v>
      </c>
      <c r="C475">
        <v>63361.570270938784</v>
      </c>
      <c r="D475" s="23">
        <f t="shared" si="15"/>
        <v>633.61570270938785</v>
      </c>
    </row>
    <row r="476" spans="1:4">
      <c r="A476" s="22">
        <f t="shared" si="14"/>
        <v>474</v>
      </c>
      <c r="B476">
        <v>4740</v>
      </c>
      <c r="C476">
        <v>63202.703808350183</v>
      </c>
      <c r="D476" s="23">
        <f t="shared" si="15"/>
        <v>632.02703808350179</v>
      </c>
    </row>
    <row r="477" spans="1:4">
      <c r="A477" s="22">
        <f t="shared" si="14"/>
        <v>475</v>
      </c>
      <c r="B477">
        <v>4750</v>
      </c>
      <c r="C477">
        <v>63043.837345761582</v>
      </c>
      <c r="D477" s="23">
        <f t="shared" si="15"/>
        <v>630.43837345761585</v>
      </c>
    </row>
    <row r="478" spans="1:4">
      <c r="A478" s="22">
        <f t="shared" si="14"/>
        <v>476</v>
      </c>
      <c r="B478">
        <v>4760</v>
      </c>
      <c r="C478">
        <v>62884.97088317298</v>
      </c>
      <c r="D478" s="23">
        <f t="shared" si="15"/>
        <v>628.8497088317298</v>
      </c>
    </row>
    <row r="479" spans="1:4">
      <c r="A479" s="22">
        <f t="shared" si="14"/>
        <v>477</v>
      </c>
      <c r="B479">
        <v>4770</v>
      </c>
      <c r="C479">
        <v>62726.104420584379</v>
      </c>
      <c r="D479" s="23">
        <f t="shared" si="15"/>
        <v>627.26104420584375</v>
      </c>
    </row>
    <row r="480" spans="1:4">
      <c r="A480" s="22">
        <f t="shared" si="14"/>
        <v>478</v>
      </c>
      <c r="B480">
        <v>4780</v>
      </c>
      <c r="C480">
        <v>62567.237957995778</v>
      </c>
      <c r="D480" s="23">
        <f t="shared" si="15"/>
        <v>625.67237957995781</v>
      </c>
    </row>
    <row r="481" spans="1:4">
      <c r="A481" s="22">
        <f t="shared" si="14"/>
        <v>479</v>
      </c>
      <c r="B481">
        <v>4790</v>
      </c>
      <c r="C481">
        <v>62408.371495407177</v>
      </c>
      <c r="D481" s="23">
        <f t="shared" si="15"/>
        <v>624.08371495407175</v>
      </c>
    </row>
    <row r="482" spans="1:4">
      <c r="A482" s="22">
        <f t="shared" si="14"/>
        <v>480</v>
      </c>
      <c r="B482">
        <v>4800</v>
      </c>
      <c r="C482">
        <v>62249.505032818575</v>
      </c>
      <c r="D482" s="23">
        <f t="shared" si="15"/>
        <v>622.4950503281857</v>
      </c>
    </row>
    <row r="483" spans="1:4">
      <c r="A483" s="22">
        <f t="shared" si="14"/>
        <v>481</v>
      </c>
      <c r="B483">
        <v>4810</v>
      </c>
      <c r="C483">
        <v>62090.638570229974</v>
      </c>
      <c r="D483" s="23">
        <f t="shared" si="15"/>
        <v>620.90638570229976</v>
      </c>
    </row>
    <row r="484" spans="1:4">
      <c r="A484" s="22">
        <f t="shared" si="14"/>
        <v>482</v>
      </c>
      <c r="B484">
        <v>4820</v>
      </c>
      <c r="C484">
        <v>61931.772107641373</v>
      </c>
      <c r="D484" s="23">
        <f t="shared" si="15"/>
        <v>619.3177210764137</v>
      </c>
    </row>
    <row r="485" spans="1:4">
      <c r="A485" s="22">
        <f t="shared" si="14"/>
        <v>483</v>
      </c>
      <c r="B485">
        <v>4830</v>
      </c>
      <c r="C485">
        <v>61772.905645052771</v>
      </c>
      <c r="D485" s="23">
        <f t="shared" si="15"/>
        <v>617.72905645052776</v>
      </c>
    </row>
    <row r="486" spans="1:4">
      <c r="A486" s="22">
        <f t="shared" si="14"/>
        <v>484</v>
      </c>
      <c r="B486">
        <v>4840</v>
      </c>
      <c r="C486">
        <v>61614.03918246417</v>
      </c>
      <c r="D486" s="23">
        <f t="shared" si="15"/>
        <v>616.14039182464171</v>
      </c>
    </row>
    <row r="487" spans="1:4">
      <c r="A487" s="22">
        <f t="shared" si="14"/>
        <v>485</v>
      </c>
      <c r="B487">
        <v>4850</v>
      </c>
      <c r="C487">
        <v>61455.172719875569</v>
      </c>
      <c r="D487" s="23">
        <f t="shared" si="15"/>
        <v>614.55172719875566</v>
      </c>
    </row>
    <row r="488" spans="1:4">
      <c r="A488" s="22">
        <f t="shared" si="14"/>
        <v>486</v>
      </c>
      <c r="B488">
        <v>4860</v>
      </c>
      <c r="C488">
        <v>61296.306257286968</v>
      </c>
      <c r="D488" s="23">
        <f t="shared" si="15"/>
        <v>612.96306257286972</v>
      </c>
    </row>
    <row r="489" spans="1:4">
      <c r="A489" s="22">
        <f t="shared" si="14"/>
        <v>487</v>
      </c>
      <c r="B489">
        <v>4870</v>
      </c>
      <c r="C489">
        <v>61137.439794698366</v>
      </c>
      <c r="D489" s="23">
        <f t="shared" si="15"/>
        <v>611.37439794698366</v>
      </c>
    </row>
    <row r="490" spans="1:4">
      <c r="A490" s="22">
        <f t="shared" si="14"/>
        <v>488</v>
      </c>
      <c r="B490">
        <v>4880</v>
      </c>
      <c r="C490">
        <v>60978.573332109765</v>
      </c>
      <c r="D490" s="23">
        <f t="shared" si="15"/>
        <v>609.78573332109761</v>
      </c>
    </row>
    <row r="491" spans="1:4">
      <c r="A491" s="22">
        <f t="shared" si="14"/>
        <v>489</v>
      </c>
      <c r="B491">
        <v>4890</v>
      </c>
      <c r="C491">
        <v>60819.706869521164</v>
      </c>
      <c r="D491" s="23">
        <f t="shared" si="15"/>
        <v>608.19706869521167</v>
      </c>
    </row>
    <row r="492" spans="1:4">
      <c r="A492" s="22">
        <f t="shared" si="14"/>
        <v>490</v>
      </c>
      <c r="B492">
        <v>4900</v>
      </c>
      <c r="C492">
        <v>60660.840406932562</v>
      </c>
      <c r="D492" s="23">
        <f t="shared" si="15"/>
        <v>606.60840406932562</v>
      </c>
    </row>
    <row r="493" spans="1:4">
      <c r="A493" s="22">
        <f t="shared" si="14"/>
        <v>491</v>
      </c>
      <c r="B493">
        <v>4910</v>
      </c>
      <c r="C493">
        <v>60501.973944343961</v>
      </c>
      <c r="D493" s="23">
        <f t="shared" si="15"/>
        <v>605.01973944343956</v>
      </c>
    </row>
    <row r="494" spans="1:4">
      <c r="A494" s="22">
        <f t="shared" si="14"/>
        <v>492</v>
      </c>
      <c r="B494">
        <v>4920</v>
      </c>
      <c r="C494">
        <v>60343.10748175536</v>
      </c>
      <c r="D494" s="23">
        <f t="shared" si="15"/>
        <v>603.43107481755362</v>
      </c>
    </row>
    <row r="495" spans="1:4">
      <c r="A495" s="22">
        <f t="shared" si="14"/>
        <v>493</v>
      </c>
      <c r="B495">
        <v>4930</v>
      </c>
      <c r="C495">
        <v>60184.241019166759</v>
      </c>
      <c r="D495" s="23">
        <f t="shared" si="15"/>
        <v>601.84241019166757</v>
      </c>
    </row>
    <row r="496" spans="1:4">
      <c r="A496" s="22">
        <f t="shared" si="14"/>
        <v>494</v>
      </c>
      <c r="B496">
        <v>4940</v>
      </c>
      <c r="C496">
        <v>60025.374556578157</v>
      </c>
      <c r="D496" s="23">
        <f t="shared" si="15"/>
        <v>600.25374556578163</v>
      </c>
    </row>
    <row r="497" spans="1:4">
      <c r="A497" s="22">
        <f t="shared" si="14"/>
        <v>495</v>
      </c>
      <c r="B497">
        <v>4950</v>
      </c>
      <c r="C497">
        <v>59866.508093989556</v>
      </c>
      <c r="D497" s="23">
        <f t="shared" si="15"/>
        <v>598.66508093989557</v>
      </c>
    </row>
    <row r="498" spans="1:4">
      <c r="A498" s="22">
        <f t="shared" si="14"/>
        <v>496</v>
      </c>
      <c r="B498">
        <v>4960</v>
      </c>
      <c r="C498">
        <v>59707.641631400955</v>
      </c>
      <c r="D498" s="23">
        <f t="shared" si="15"/>
        <v>597.07641631400952</v>
      </c>
    </row>
    <row r="499" spans="1:4">
      <c r="A499" s="22">
        <f t="shared" si="14"/>
        <v>497</v>
      </c>
      <c r="B499">
        <v>4970</v>
      </c>
      <c r="C499">
        <v>59548.775168812354</v>
      </c>
      <c r="D499" s="23">
        <f t="shared" si="15"/>
        <v>595.48775168812358</v>
      </c>
    </row>
    <row r="500" spans="1:4">
      <c r="A500" s="22">
        <f t="shared" si="14"/>
        <v>498</v>
      </c>
      <c r="B500">
        <v>4980</v>
      </c>
      <c r="C500">
        <v>59389.908706223752</v>
      </c>
      <c r="D500" s="23">
        <f t="shared" si="15"/>
        <v>593.89908706223753</v>
      </c>
    </row>
    <row r="501" spans="1:4">
      <c r="A501" s="22">
        <f t="shared" si="14"/>
        <v>499</v>
      </c>
      <c r="B501">
        <v>4990</v>
      </c>
      <c r="C501">
        <v>59231.042243635151</v>
      </c>
      <c r="D501" s="23">
        <f t="shared" si="15"/>
        <v>592.31042243635147</v>
      </c>
    </row>
    <row r="502" spans="1:4">
      <c r="A502" s="22">
        <f t="shared" si="14"/>
        <v>500</v>
      </c>
      <c r="B502">
        <v>5000</v>
      </c>
      <c r="C502">
        <v>59072.17578104655</v>
      </c>
      <c r="D502" s="23">
        <f t="shared" si="15"/>
        <v>590.72175781046553</v>
      </c>
    </row>
    <row r="503" spans="1:4">
      <c r="A503" s="22">
        <f t="shared" si="14"/>
        <v>501</v>
      </c>
      <c r="B503">
        <v>5010</v>
      </c>
      <c r="C503">
        <v>58913.309318457948</v>
      </c>
      <c r="D503" s="23">
        <f t="shared" si="15"/>
        <v>589.13309318457948</v>
      </c>
    </row>
    <row r="504" spans="1:4">
      <c r="A504" s="22">
        <f t="shared" si="14"/>
        <v>502</v>
      </c>
      <c r="B504">
        <v>5020</v>
      </c>
      <c r="C504">
        <v>58754.442855869347</v>
      </c>
      <c r="D504" s="23">
        <f t="shared" si="15"/>
        <v>587.54442855869343</v>
      </c>
    </row>
    <row r="505" spans="1:4">
      <c r="A505" s="22">
        <f t="shared" si="14"/>
        <v>503</v>
      </c>
      <c r="B505">
        <v>5030</v>
      </c>
      <c r="C505">
        <v>58595.576393280746</v>
      </c>
      <c r="D505" s="23">
        <f t="shared" si="15"/>
        <v>585.95576393280749</v>
      </c>
    </row>
    <row r="506" spans="1:4">
      <c r="A506" s="22">
        <f t="shared" si="14"/>
        <v>504</v>
      </c>
      <c r="B506">
        <v>5040</v>
      </c>
      <c r="C506">
        <v>58436.709930692145</v>
      </c>
      <c r="D506" s="23">
        <f t="shared" si="15"/>
        <v>584.36709930692143</v>
      </c>
    </row>
    <row r="507" spans="1:4">
      <c r="A507" s="22">
        <f t="shared" si="14"/>
        <v>505</v>
      </c>
      <c r="B507">
        <v>5050</v>
      </c>
      <c r="C507">
        <v>58277.843468103543</v>
      </c>
      <c r="D507" s="23">
        <f t="shared" si="15"/>
        <v>582.77843468103538</v>
      </c>
    </row>
    <row r="508" spans="1:4">
      <c r="A508" s="22">
        <f t="shared" si="14"/>
        <v>506</v>
      </c>
      <c r="B508">
        <v>5060</v>
      </c>
      <c r="C508">
        <v>58118.977005514942</v>
      </c>
      <c r="D508" s="23">
        <f t="shared" si="15"/>
        <v>581.18977005514944</v>
      </c>
    </row>
    <row r="509" spans="1:4">
      <c r="A509" s="22">
        <f t="shared" si="14"/>
        <v>507</v>
      </c>
      <c r="B509">
        <v>5070</v>
      </c>
      <c r="C509">
        <v>57960.110542926341</v>
      </c>
      <c r="D509" s="23">
        <f t="shared" si="15"/>
        <v>579.60110542926338</v>
      </c>
    </row>
    <row r="510" spans="1:4">
      <c r="A510" s="22">
        <f t="shared" si="14"/>
        <v>508</v>
      </c>
      <c r="B510">
        <v>5080</v>
      </c>
      <c r="C510">
        <v>57801.244080337739</v>
      </c>
      <c r="D510" s="23">
        <f t="shared" si="15"/>
        <v>578.01244080337744</v>
      </c>
    </row>
    <row r="511" spans="1:4">
      <c r="A511" s="22">
        <f t="shared" si="14"/>
        <v>509</v>
      </c>
      <c r="B511">
        <v>5090</v>
      </c>
      <c r="C511">
        <v>57642.377617749138</v>
      </c>
      <c r="D511" s="23">
        <f t="shared" si="15"/>
        <v>576.42377617749139</v>
      </c>
    </row>
    <row r="512" spans="1:4">
      <c r="A512" s="22">
        <f t="shared" si="14"/>
        <v>510</v>
      </c>
      <c r="B512">
        <v>5100</v>
      </c>
      <c r="C512">
        <v>57483.511155160537</v>
      </c>
      <c r="D512" s="23">
        <f t="shared" si="15"/>
        <v>574.83511155160534</v>
      </c>
    </row>
    <row r="513" spans="1:4">
      <c r="A513" s="22">
        <f t="shared" si="14"/>
        <v>511</v>
      </c>
      <c r="B513">
        <v>5110</v>
      </c>
      <c r="C513">
        <v>57324.644692571936</v>
      </c>
      <c r="D513" s="23">
        <f t="shared" si="15"/>
        <v>573.2464469257194</v>
      </c>
    </row>
    <row r="514" spans="1:4">
      <c r="A514" s="22">
        <f t="shared" si="14"/>
        <v>512</v>
      </c>
      <c r="B514">
        <v>5120</v>
      </c>
      <c r="C514">
        <v>57165.778229983334</v>
      </c>
      <c r="D514" s="23">
        <f t="shared" si="15"/>
        <v>571.65778229983334</v>
      </c>
    </row>
    <row r="515" spans="1:4">
      <c r="A515" s="22">
        <f t="shared" ref="A515:A578" si="16">B515/10</f>
        <v>513</v>
      </c>
      <c r="B515">
        <v>5130</v>
      </c>
      <c r="C515">
        <v>57006.911767394733</v>
      </c>
      <c r="D515" s="23">
        <f t="shared" ref="D515:D578" si="17">C515/100</f>
        <v>570.06911767394729</v>
      </c>
    </row>
    <row r="516" spans="1:4">
      <c r="A516" s="22">
        <f t="shared" si="16"/>
        <v>514</v>
      </c>
      <c r="B516">
        <v>5140</v>
      </c>
      <c r="C516">
        <v>56848.045304806132</v>
      </c>
      <c r="D516" s="23">
        <f t="shared" si="17"/>
        <v>568.48045304806135</v>
      </c>
    </row>
    <row r="517" spans="1:4">
      <c r="A517" s="22">
        <f t="shared" si="16"/>
        <v>515</v>
      </c>
      <c r="B517">
        <v>5150</v>
      </c>
      <c r="C517">
        <v>56689.17884221753</v>
      </c>
      <c r="D517" s="23">
        <f t="shared" si="17"/>
        <v>566.8917884221753</v>
      </c>
    </row>
    <row r="518" spans="1:4">
      <c r="A518" s="22">
        <f t="shared" si="16"/>
        <v>516</v>
      </c>
      <c r="B518">
        <v>5160</v>
      </c>
      <c r="C518">
        <v>56530.312379628929</v>
      </c>
      <c r="D518" s="23">
        <f t="shared" si="17"/>
        <v>565.30312379628924</v>
      </c>
    </row>
    <row r="519" spans="1:4">
      <c r="A519" s="22">
        <f t="shared" si="16"/>
        <v>517</v>
      </c>
      <c r="B519">
        <v>5170</v>
      </c>
      <c r="C519">
        <v>56371.445917040328</v>
      </c>
      <c r="D519" s="23">
        <f t="shared" si="17"/>
        <v>563.7144591704033</v>
      </c>
    </row>
    <row r="520" spans="1:4">
      <c r="A520" s="22">
        <f t="shared" si="16"/>
        <v>518</v>
      </c>
      <c r="B520">
        <v>5180</v>
      </c>
      <c r="C520">
        <v>56212.579454451727</v>
      </c>
      <c r="D520" s="23">
        <f t="shared" si="17"/>
        <v>562.12579454451725</v>
      </c>
    </row>
    <row r="521" spans="1:4">
      <c r="A521" s="22">
        <f t="shared" si="16"/>
        <v>519</v>
      </c>
      <c r="B521">
        <v>5190</v>
      </c>
      <c r="C521">
        <v>56053.712991863125</v>
      </c>
      <c r="D521" s="23">
        <f t="shared" si="17"/>
        <v>560.53712991863131</v>
      </c>
    </row>
    <row r="522" spans="1:4">
      <c r="A522" s="22">
        <f t="shared" si="16"/>
        <v>520</v>
      </c>
      <c r="B522">
        <v>5200</v>
      </c>
      <c r="C522">
        <v>55894.846529274524</v>
      </c>
      <c r="D522" s="23">
        <f t="shared" si="17"/>
        <v>558.94846529274525</v>
      </c>
    </row>
    <row r="523" spans="1:4">
      <c r="A523" s="22">
        <f t="shared" si="16"/>
        <v>521</v>
      </c>
      <c r="B523">
        <v>5210</v>
      </c>
      <c r="C523">
        <v>55735.980066685923</v>
      </c>
      <c r="D523" s="23">
        <f t="shared" si="17"/>
        <v>557.3598006668592</v>
      </c>
    </row>
    <row r="524" spans="1:4">
      <c r="A524" s="22">
        <f t="shared" si="16"/>
        <v>522</v>
      </c>
      <c r="B524">
        <v>5220</v>
      </c>
      <c r="C524">
        <v>55577.113604097322</v>
      </c>
      <c r="D524" s="23">
        <f t="shared" si="17"/>
        <v>555.77113604097326</v>
      </c>
    </row>
    <row r="525" spans="1:4">
      <c r="A525" s="22">
        <f t="shared" si="16"/>
        <v>523</v>
      </c>
      <c r="B525">
        <v>5230</v>
      </c>
      <c r="C525">
        <v>55418.24714150872</v>
      </c>
      <c r="D525" s="23">
        <f t="shared" si="17"/>
        <v>554.18247141508721</v>
      </c>
    </row>
    <row r="526" spans="1:4">
      <c r="A526" s="22">
        <f t="shared" si="16"/>
        <v>524</v>
      </c>
      <c r="B526">
        <v>5240</v>
      </c>
      <c r="C526">
        <v>55259.380678920119</v>
      </c>
      <c r="D526" s="23">
        <f t="shared" si="17"/>
        <v>552.59380678920115</v>
      </c>
    </row>
    <row r="527" spans="1:4">
      <c r="A527" s="22">
        <f t="shared" si="16"/>
        <v>525</v>
      </c>
      <c r="B527">
        <v>5250</v>
      </c>
      <c r="C527">
        <v>55100.514216331518</v>
      </c>
      <c r="D527" s="23">
        <f t="shared" si="17"/>
        <v>551.00514216331521</v>
      </c>
    </row>
    <row r="528" spans="1:4">
      <c r="A528" s="22">
        <f t="shared" si="16"/>
        <v>526</v>
      </c>
      <c r="B528">
        <v>5260</v>
      </c>
      <c r="C528">
        <v>54941.647753742916</v>
      </c>
      <c r="D528" s="23">
        <f t="shared" si="17"/>
        <v>549.41647753742916</v>
      </c>
    </row>
    <row r="529" spans="1:4">
      <c r="A529" s="22">
        <f t="shared" si="16"/>
        <v>527</v>
      </c>
      <c r="B529">
        <v>5270</v>
      </c>
      <c r="C529">
        <v>54782.781291154315</v>
      </c>
      <c r="D529" s="23">
        <f t="shared" si="17"/>
        <v>547.82781291154311</v>
      </c>
    </row>
    <row r="530" spans="1:4">
      <c r="A530" s="22">
        <f t="shared" si="16"/>
        <v>528</v>
      </c>
      <c r="B530">
        <v>5280</v>
      </c>
      <c r="C530">
        <v>54623.914828565714</v>
      </c>
      <c r="D530" s="23">
        <f t="shared" si="17"/>
        <v>546.23914828565717</v>
      </c>
    </row>
    <row r="531" spans="1:4">
      <c r="A531" s="22">
        <f t="shared" si="16"/>
        <v>529</v>
      </c>
      <c r="B531">
        <v>5290</v>
      </c>
      <c r="C531">
        <v>54465.048365977113</v>
      </c>
      <c r="D531" s="23">
        <f t="shared" si="17"/>
        <v>544.65048365977111</v>
      </c>
    </row>
    <row r="532" spans="1:4">
      <c r="A532" s="22">
        <f t="shared" si="16"/>
        <v>530</v>
      </c>
      <c r="B532">
        <v>5300</v>
      </c>
      <c r="C532">
        <v>54306.181903388511</v>
      </c>
      <c r="D532" s="23">
        <f t="shared" si="17"/>
        <v>543.06181903388506</v>
      </c>
    </row>
    <row r="533" spans="1:4">
      <c r="A533" s="22">
        <f t="shared" si="16"/>
        <v>531</v>
      </c>
      <c r="B533">
        <v>5310</v>
      </c>
      <c r="C533">
        <v>54147.31544079991</v>
      </c>
      <c r="D533" s="23">
        <f t="shared" si="17"/>
        <v>541.47315440799912</v>
      </c>
    </row>
    <row r="534" spans="1:4">
      <c r="A534" s="22">
        <f t="shared" si="16"/>
        <v>532</v>
      </c>
      <c r="B534">
        <v>5320</v>
      </c>
      <c r="C534">
        <v>53988.448978211309</v>
      </c>
      <c r="D534" s="23">
        <f t="shared" si="17"/>
        <v>539.88448978211306</v>
      </c>
    </row>
    <row r="535" spans="1:4">
      <c r="A535" s="22">
        <f t="shared" si="16"/>
        <v>533</v>
      </c>
      <c r="B535">
        <v>5330</v>
      </c>
      <c r="C535">
        <v>53829.582515622707</v>
      </c>
      <c r="D535" s="23">
        <f t="shared" si="17"/>
        <v>538.29582515622712</v>
      </c>
    </row>
    <row r="536" spans="1:4">
      <c r="A536" s="22">
        <f t="shared" si="16"/>
        <v>534</v>
      </c>
      <c r="B536">
        <v>5340</v>
      </c>
      <c r="C536">
        <v>53670.716053034106</v>
      </c>
      <c r="D536" s="23">
        <f t="shared" si="17"/>
        <v>536.70716053034107</v>
      </c>
    </row>
    <row r="537" spans="1:4">
      <c r="A537" s="22">
        <f t="shared" si="16"/>
        <v>535</v>
      </c>
      <c r="B537">
        <v>5350</v>
      </c>
      <c r="C537">
        <v>53511.849590445505</v>
      </c>
      <c r="D537" s="23">
        <f t="shared" si="17"/>
        <v>535.11849590445502</v>
      </c>
    </row>
    <row r="538" spans="1:4">
      <c r="A538" s="22">
        <f t="shared" si="16"/>
        <v>536</v>
      </c>
      <c r="B538">
        <v>5360</v>
      </c>
      <c r="C538">
        <v>53352.983127856904</v>
      </c>
      <c r="D538" s="23">
        <f t="shared" si="17"/>
        <v>533.52983127856908</v>
      </c>
    </row>
    <row r="539" spans="1:4">
      <c r="A539" s="22">
        <f t="shared" si="16"/>
        <v>537</v>
      </c>
      <c r="B539">
        <v>5370</v>
      </c>
      <c r="C539">
        <v>53194.116665268302</v>
      </c>
      <c r="D539" s="23">
        <f t="shared" si="17"/>
        <v>531.94116665268302</v>
      </c>
    </row>
    <row r="540" spans="1:4">
      <c r="A540" s="22">
        <f t="shared" si="16"/>
        <v>538</v>
      </c>
      <c r="B540">
        <v>5380</v>
      </c>
      <c r="C540">
        <v>53035.250202679701</v>
      </c>
      <c r="D540" s="23">
        <f t="shared" si="17"/>
        <v>530.35250202679697</v>
      </c>
    </row>
    <row r="541" spans="1:4">
      <c r="A541" s="22">
        <f t="shared" si="16"/>
        <v>539</v>
      </c>
      <c r="B541">
        <v>5390</v>
      </c>
      <c r="C541">
        <v>52876.3837400911</v>
      </c>
      <c r="D541" s="23">
        <f t="shared" si="17"/>
        <v>528.76383740091103</v>
      </c>
    </row>
    <row r="542" spans="1:4">
      <c r="A542" s="22">
        <f t="shared" si="16"/>
        <v>540</v>
      </c>
      <c r="B542">
        <v>5400</v>
      </c>
      <c r="C542">
        <v>52717.517277502498</v>
      </c>
      <c r="D542" s="23">
        <f t="shared" si="17"/>
        <v>527.17517277502498</v>
      </c>
    </row>
    <row r="543" spans="1:4">
      <c r="A543" s="22">
        <f t="shared" si="16"/>
        <v>541</v>
      </c>
      <c r="B543">
        <v>5410</v>
      </c>
      <c r="C543">
        <v>52558.650814913897</v>
      </c>
      <c r="D543" s="23">
        <f t="shared" si="17"/>
        <v>525.58650814913892</v>
      </c>
    </row>
    <row r="544" spans="1:4">
      <c r="A544" s="22">
        <f t="shared" si="16"/>
        <v>542</v>
      </c>
      <c r="B544">
        <v>5420</v>
      </c>
      <c r="C544">
        <v>52399.784352325296</v>
      </c>
      <c r="D544" s="23">
        <f t="shared" si="17"/>
        <v>523.99784352325298</v>
      </c>
    </row>
    <row r="545" spans="1:4">
      <c r="A545" s="22">
        <f t="shared" si="16"/>
        <v>543</v>
      </c>
      <c r="B545">
        <v>5430</v>
      </c>
      <c r="C545">
        <v>52240.917889736695</v>
      </c>
      <c r="D545" s="23">
        <f t="shared" si="17"/>
        <v>522.40917889736693</v>
      </c>
    </row>
    <row r="546" spans="1:4">
      <c r="A546" s="22">
        <f t="shared" si="16"/>
        <v>544</v>
      </c>
      <c r="B546">
        <v>5440</v>
      </c>
      <c r="C546">
        <v>52082.051427148093</v>
      </c>
      <c r="D546" s="23">
        <f t="shared" si="17"/>
        <v>520.82051427148099</v>
      </c>
    </row>
    <row r="547" spans="1:4">
      <c r="A547" s="22">
        <f t="shared" si="16"/>
        <v>545</v>
      </c>
      <c r="B547">
        <v>5450</v>
      </c>
      <c r="C547">
        <v>51923.184964559492</v>
      </c>
      <c r="D547" s="23">
        <f t="shared" si="17"/>
        <v>519.23184964559493</v>
      </c>
    </row>
    <row r="548" spans="1:4">
      <c r="A548" s="22">
        <f t="shared" si="16"/>
        <v>546</v>
      </c>
      <c r="B548">
        <v>5460</v>
      </c>
      <c r="C548">
        <v>51764.318501970891</v>
      </c>
      <c r="D548" s="23">
        <f t="shared" si="17"/>
        <v>517.64318501970888</v>
      </c>
    </row>
    <row r="549" spans="1:4">
      <c r="A549" s="22">
        <f t="shared" si="16"/>
        <v>547</v>
      </c>
      <c r="B549">
        <v>5470</v>
      </c>
      <c r="C549">
        <v>51605.45203938229</v>
      </c>
      <c r="D549" s="23">
        <f t="shared" si="17"/>
        <v>516.05452039382294</v>
      </c>
    </row>
    <row r="550" spans="1:4">
      <c r="A550" s="22">
        <f t="shared" si="16"/>
        <v>548</v>
      </c>
      <c r="B550">
        <v>5480</v>
      </c>
      <c r="C550">
        <v>51446.585576793688</v>
      </c>
      <c r="D550" s="23">
        <f t="shared" si="17"/>
        <v>514.46585576793689</v>
      </c>
    </row>
    <row r="551" spans="1:4">
      <c r="A551" s="22">
        <f t="shared" si="16"/>
        <v>549</v>
      </c>
      <c r="B551">
        <v>5490</v>
      </c>
      <c r="C551">
        <v>51287.719114205087</v>
      </c>
      <c r="D551" s="23">
        <f t="shared" si="17"/>
        <v>512.87719114205083</v>
      </c>
    </row>
    <row r="552" spans="1:4">
      <c r="A552" s="22">
        <f t="shared" si="16"/>
        <v>550</v>
      </c>
      <c r="B552">
        <v>5500</v>
      </c>
      <c r="C552">
        <v>51128.852651616486</v>
      </c>
      <c r="D552" s="23">
        <f t="shared" si="17"/>
        <v>511.28852651616484</v>
      </c>
    </row>
    <row r="553" spans="1:4">
      <c r="A553" s="22">
        <f t="shared" si="16"/>
        <v>551</v>
      </c>
      <c r="B553">
        <v>5510</v>
      </c>
      <c r="C553">
        <v>50969.986189027884</v>
      </c>
      <c r="D553" s="23">
        <f t="shared" si="17"/>
        <v>509.69986189027884</v>
      </c>
    </row>
    <row r="554" spans="1:4">
      <c r="A554" s="22">
        <f t="shared" si="16"/>
        <v>552</v>
      </c>
      <c r="B554">
        <v>5520</v>
      </c>
      <c r="C554">
        <v>50811.119726439283</v>
      </c>
      <c r="D554" s="23">
        <f t="shared" si="17"/>
        <v>508.11119726439284</v>
      </c>
    </row>
    <row r="555" spans="1:4">
      <c r="A555" s="22">
        <f t="shared" si="16"/>
        <v>553</v>
      </c>
      <c r="B555">
        <v>5530</v>
      </c>
      <c r="C555">
        <v>50652.253263850682</v>
      </c>
      <c r="D555" s="23">
        <f t="shared" si="17"/>
        <v>506.52253263850685</v>
      </c>
    </row>
    <row r="556" spans="1:4">
      <c r="A556" s="22">
        <f t="shared" si="16"/>
        <v>554</v>
      </c>
      <c r="B556">
        <v>5540</v>
      </c>
      <c r="C556">
        <v>50493.386801262081</v>
      </c>
      <c r="D556" s="23">
        <f t="shared" si="17"/>
        <v>504.93386801262079</v>
      </c>
    </row>
    <row r="557" spans="1:4">
      <c r="A557" s="22">
        <f t="shared" si="16"/>
        <v>555</v>
      </c>
      <c r="B557">
        <v>5550</v>
      </c>
      <c r="C557">
        <v>50334.520338673479</v>
      </c>
      <c r="D557" s="23">
        <f t="shared" si="17"/>
        <v>503.3452033867348</v>
      </c>
    </row>
    <row r="558" spans="1:4">
      <c r="A558" s="22">
        <f t="shared" si="16"/>
        <v>556</v>
      </c>
      <c r="B558">
        <v>5560</v>
      </c>
      <c r="C558">
        <v>50175.653876084878</v>
      </c>
      <c r="D558" s="23">
        <f t="shared" si="17"/>
        <v>501.7565387608488</v>
      </c>
    </row>
    <row r="559" spans="1:4">
      <c r="A559" s="22">
        <f t="shared" si="16"/>
        <v>557</v>
      </c>
      <c r="B559">
        <v>5570</v>
      </c>
      <c r="C559">
        <v>50016.787413496277</v>
      </c>
      <c r="D559" s="23">
        <f t="shared" si="17"/>
        <v>500.16787413496274</v>
      </c>
    </row>
    <row r="560" spans="1:4">
      <c r="A560" s="22">
        <f t="shared" si="16"/>
        <v>558</v>
      </c>
      <c r="B560">
        <v>5580</v>
      </c>
      <c r="C560">
        <v>49857.920950907675</v>
      </c>
      <c r="D560" s="23">
        <f t="shared" si="17"/>
        <v>498.57920950907675</v>
      </c>
    </row>
    <row r="561" spans="1:4">
      <c r="A561" s="22">
        <f t="shared" si="16"/>
        <v>559</v>
      </c>
      <c r="B561">
        <v>5590</v>
      </c>
      <c r="C561">
        <v>49699.054488319074</v>
      </c>
      <c r="D561" s="23">
        <f t="shared" si="17"/>
        <v>496.99054488319075</v>
      </c>
    </row>
    <row r="562" spans="1:4">
      <c r="A562" s="22">
        <f t="shared" si="16"/>
        <v>560</v>
      </c>
      <c r="B562">
        <v>5600</v>
      </c>
      <c r="C562">
        <v>49540.188025730473</v>
      </c>
      <c r="D562" s="23">
        <f t="shared" si="17"/>
        <v>495.40188025730475</v>
      </c>
    </row>
    <row r="563" spans="1:4">
      <c r="A563" s="22">
        <f t="shared" si="16"/>
        <v>561</v>
      </c>
      <c r="B563">
        <v>5610</v>
      </c>
      <c r="C563">
        <v>49381.321563141872</v>
      </c>
      <c r="D563" s="23">
        <f t="shared" si="17"/>
        <v>493.8132156314187</v>
      </c>
    </row>
    <row r="564" spans="1:4">
      <c r="A564" s="22">
        <f t="shared" si="16"/>
        <v>562</v>
      </c>
      <c r="B564">
        <v>5620</v>
      </c>
      <c r="C564">
        <v>49222.45510055327</v>
      </c>
      <c r="D564" s="23">
        <f t="shared" si="17"/>
        <v>492.2245510055327</v>
      </c>
    </row>
    <row r="565" spans="1:4">
      <c r="A565" s="22">
        <f t="shared" si="16"/>
        <v>563</v>
      </c>
      <c r="B565">
        <v>5630</v>
      </c>
      <c r="C565">
        <v>49063.588637964669</v>
      </c>
      <c r="D565" s="23">
        <f t="shared" si="17"/>
        <v>490.63588637964671</v>
      </c>
    </row>
    <row r="566" spans="1:4">
      <c r="A566" s="22">
        <f t="shared" si="16"/>
        <v>564</v>
      </c>
      <c r="B566">
        <v>5640</v>
      </c>
      <c r="C566">
        <v>48904.722175376068</v>
      </c>
      <c r="D566" s="23">
        <f t="shared" si="17"/>
        <v>489.04722175376065</v>
      </c>
    </row>
    <row r="567" spans="1:4">
      <c r="A567" s="22">
        <f t="shared" si="16"/>
        <v>565</v>
      </c>
      <c r="B567">
        <v>5650</v>
      </c>
      <c r="C567">
        <v>48745.855712787466</v>
      </c>
      <c r="D567" s="23">
        <f t="shared" si="17"/>
        <v>487.45855712787466</v>
      </c>
    </row>
    <row r="568" spans="1:4">
      <c r="A568" s="22">
        <f t="shared" si="16"/>
        <v>566</v>
      </c>
      <c r="B568">
        <v>5660</v>
      </c>
      <c r="C568">
        <v>48586.989250198865</v>
      </c>
      <c r="D568" s="23">
        <f t="shared" si="17"/>
        <v>485.86989250198866</v>
      </c>
    </row>
    <row r="569" spans="1:4">
      <c r="A569" s="22">
        <f t="shared" si="16"/>
        <v>567</v>
      </c>
      <c r="B569">
        <v>5670</v>
      </c>
      <c r="C569">
        <v>48428.122787610264</v>
      </c>
      <c r="D569" s="23">
        <f t="shared" si="17"/>
        <v>484.28122787610266</v>
      </c>
    </row>
    <row r="570" spans="1:4">
      <c r="A570" s="22">
        <f t="shared" si="16"/>
        <v>568</v>
      </c>
      <c r="B570">
        <v>5680</v>
      </c>
      <c r="C570">
        <v>48269.256325021663</v>
      </c>
      <c r="D570" s="23">
        <f t="shared" si="17"/>
        <v>482.69256325021661</v>
      </c>
    </row>
    <row r="571" spans="1:4">
      <c r="A571" s="22">
        <f t="shared" si="16"/>
        <v>569</v>
      </c>
      <c r="B571">
        <v>5690</v>
      </c>
      <c r="C571">
        <v>48110.389862433061</v>
      </c>
      <c r="D571" s="23">
        <f t="shared" si="17"/>
        <v>481.10389862433061</v>
      </c>
    </row>
    <row r="572" spans="1:4">
      <c r="A572" s="22">
        <f t="shared" si="16"/>
        <v>570</v>
      </c>
      <c r="B572">
        <v>5700</v>
      </c>
      <c r="C572">
        <v>47951.52339984446</v>
      </c>
      <c r="D572" s="23">
        <f t="shared" si="17"/>
        <v>479.51523399844461</v>
      </c>
    </row>
    <row r="573" spans="1:4">
      <c r="A573" s="22">
        <f t="shared" si="16"/>
        <v>571</v>
      </c>
      <c r="B573">
        <v>5710</v>
      </c>
      <c r="C573">
        <v>47792.656937255859</v>
      </c>
      <c r="D573" s="23">
        <f t="shared" si="17"/>
        <v>477.92656937255856</v>
      </c>
    </row>
    <row r="574" spans="1:4">
      <c r="A574" s="22">
        <f t="shared" si="16"/>
        <v>572</v>
      </c>
      <c r="B574">
        <v>5720</v>
      </c>
      <c r="C574">
        <v>47633.790474667258</v>
      </c>
      <c r="D574" s="23">
        <f t="shared" si="17"/>
        <v>476.33790474667256</v>
      </c>
    </row>
    <row r="575" spans="1:4">
      <c r="A575" s="22">
        <f t="shared" si="16"/>
        <v>573</v>
      </c>
      <c r="B575">
        <v>5730</v>
      </c>
      <c r="C575">
        <v>47474.924012078656</v>
      </c>
      <c r="D575" s="23">
        <f t="shared" si="17"/>
        <v>474.74924012078657</v>
      </c>
    </row>
    <row r="576" spans="1:4">
      <c r="A576" s="22">
        <f t="shared" si="16"/>
        <v>574</v>
      </c>
      <c r="B576">
        <v>5740</v>
      </c>
      <c r="C576">
        <v>47316.057549490055</v>
      </c>
      <c r="D576" s="23">
        <f t="shared" si="17"/>
        <v>473.16057549490057</v>
      </c>
    </row>
    <row r="577" spans="1:4">
      <c r="A577" s="22">
        <f t="shared" si="16"/>
        <v>575</v>
      </c>
      <c r="B577">
        <v>5750</v>
      </c>
      <c r="C577">
        <v>47157.191086901454</v>
      </c>
      <c r="D577" s="23">
        <f t="shared" si="17"/>
        <v>471.57191086901452</v>
      </c>
    </row>
    <row r="578" spans="1:4">
      <c r="A578" s="22">
        <f t="shared" si="16"/>
        <v>576</v>
      </c>
      <c r="B578">
        <v>5760</v>
      </c>
      <c r="C578">
        <v>46998.324624312852</v>
      </c>
      <c r="D578" s="23">
        <f t="shared" si="17"/>
        <v>469.98324624312852</v>
      </c>
    </row>
    <row r="579" spans="1:4">
      <c r="A579" s="22">
        <f t="shared" ref="A579:A642" si="18">B579/10</f>
        <v>577</v>
      </c>
      <c r="B579">
        <v>5770</v>
      </c>
      <c r="C579">
        <v>46839.458161724251</v>
      </c>
      <c r="D579" s="23">
        <f t="shared" ref="D579:D600" si="19">C579/100</f>
        <v>468.39458161724252</v>
      </c>
    </row>
    <row r="580" spans="1:4">
      <c r="A580" s="22">
        <f t="shared" si="18"/>
        <v>578</v>
      </c>
      <c r="B580">
        <v>5780</v>
      </c>
      <c r="C580">
        <v>46680.59169913565</v>
      </c>
      <c r="D580" s="23">
        <f t="shared" si="19"/>
        <v>466.80591699135653</v>
      </c>
    </row>
    <row r="581" spans="1:4">
      <c r="A581" s="22">
        <f t="shared" si="18"/>
        <v>579</v>
      </c>
      <c r="B581">
        <v>5790</v>
      </c>
      <c r="C581">
        <v>46521.725236547049</v>
      </c>
      <c r="D581" s="23">
        <f t="shared" si="19"/>
        <v>465.21725236547047</v>
      </c>
    </row>
    <row r="582" spans="1:4">
      <c r="A582" s="22">
        <f t="shared" si="18"/>
        <v>580</v>
      </c>
      <c r="B582">
        <v>5800</v>
      </c>
      <c r="C582">
        <v>46362.858773958447</v>
      </c>
      <c r="D582" s="23">
        <f t="shared" si="19"/>
        <v>463.62858773958448</v>
      </c>
    </row>
    <row r="583" spans="1:4">
      <c r="A583" s="22">
        <f t="shared" si="18"/>
        <v>581</v>
      </c>
      <c r="B583">
        <v>5810</v>
      </c>
      <c r="C583">
        <v>46203.992311369846</v>
      </c>
      <c r="D583" s="23">
        <f t="shared" si="19"/>
        <v>462.03992311369848</v>
      </c>
    </row>
    <row r="584" spans="1:4">
      <c r="A584" s="22">
        <f t="shared" si="18"/>
        <v>582</v>
      </c>
      <c r="B584">
        <v>5820</v>
      </c>
      <c r="C584">
        <v>46045.125848781245</v>
      </c>
      <c r="D584" s="23">
        <f t="shared" si="19"/>
        <v>460.45125848781242</v>
      </c>
    </row>
    <row r="585" spans="1:4">
      <c r="A585" s="22">
        <f t="shared" si="18"/>
        <v>583</v>
      </c>
      <c r="B585">
        <v>5830</v>
      </c>
      <c r="C585">
        <v>45886.259386192643</v>
      </c>
      <c r="D585" s="23">
        <f t="shared" si="19"/>
        <v>458.86259386192643</v>
      </c>
    </row>
    <row r="586" spans="1:4">
      <c r="A586" s="22">
        <f t="shared" si="18"/>
        <v>584</v>
      </c>
      <c r="B586">
        <v>5840</v>
      </c>
      <c r="C586">
        <v>45727.392923604042</v>
      </c>
      <c r="D586" s="23">
        <f t="shared" si="19"/>
        <v>457.27392923604043</v>
      </c>
    </row>
    <row r="587" spans="1:4">
      <c r="A587" s="22">
        <f t="shared" si="18"/>
        <v>585</v>
      </c>
      <c r="B587">
        <v>5850</v>
      </c>
      <c r="C587">
        <v>45568.526461015441</v>
      </c>
      <c r="D587" s="23">
        <f t="shared" si="19"/>
        <v>455.68526461015443</v>
      </c>
    </row>
    <row r="588" spans="1:4">
      <c r="A588" s="22">
        <f t="shared" si="18"/>
        <v>586</v>
      </c>
      <c r="B588">
        <v>5860</v>
      </c>
      <c r="C588">
        <v>45409.65999842684</v>
      </c>
      <c r="D588" s="23">
        <f t="shared" si="19"/>
        <v>454.09659998426838</v>
      </c>
    </row>
    <row r="589" spans="1:4">
      <c r="A589" s="22">
        <f t="shared" si="18"/>
        <v>587</v>
      </c>
      <c r="B589">
        <v>5870</v>
      </c>
      <c r="C589">
        <v>45250.793535838238</v>
      </c>
      <c r="D589" s="23">
        <f t="shared" si="19"/>
        <v>452.50793535838238</v>
      </c>
    </row>
    <row r="590" spans="1:4">
      <c r="A590" s="22">
        <f t="shared" si="18"/>
        <v>588</v>
      </c>
      <c r="B590">
        <v>5880</v>
      </c>
      <c r="C590">
        <v>45091.927073249637</v>
      </c>
      <c r="D590" s="23">
        <f t="shared" si="19"/>
        <v>450.91927073249639</v>
      </c>
    </row>
    <row r="591" spans="1:4">
      <c r="A591" s="22">
        <f t="shared" si="18"/>
        <v>589</v>
      </c>
      <c r="B591">
        <v>5890</v>
      </c>
      <c r="C591">
        <v>44933.060610661036</v>
      </c>
      <c r="D591" s="23">
        <f t="shared" si="19"/>
        <v>449.33060610661033</v>
      </c>
    </row>
    <row r="592" spans="1:4">
      <c r="A592" s="22">
        <f t="shared" si="18"/>
        <v>590</v>
      </c>
      <c r="B592">
        <v>5900</v>
      </c>
      <c r="C592">
        <v>44774.194148072434</v>
      </c>
      <c r="D592" s="23">
        <f t="shared" si="19"/>
        <v>447.74194148072434</v>
      </c>
    </row>
    <row r="593" spans="1:4">
      <c r="A593" s="22">
        <f t="shared" si="18"/>
        <v>591</v>
      </c>
      <c r="B593">
        <v>5910</v>
      </c>
      <c r="C593">
        <v>44615.327685483833</v>
      </c>
      <c r="D593" s="23">
        <f t="shared" si="19"/>
        <v>446.15327685483834</v>
      </c>
    </row>
    <row r="594" spans="1:4">
      <c r="A594" s="22">
        <f t="shared" si="18"/>
        <v>592</v>
      </c>
      <c r="B594">
        <v>5920</v>
      </c>
      <c r="C594">
        <v>44456.461222895232</v>
      </c>
      <c r="D594" s="23">
        <f t="shared" si="19"/>
        <v>444.56461222895234</v>
      </c>
    </row>
    <row r="595" spans="1:4">
      <c r="A595" s="22">
        <f t="shared" si="18"/>
        <v>593</v>
      </c>
      <c r="B595">
        <v>5930</v>
      </c>
      <c r="C595">
        <v>44297.594760306631</v>
      </c>
      <c r="D595" s="23">
        <f t="shared" si="19"/>
        <v>442.97594760306629</v>
      </c>
    </row>
    <row r="596" spans="1:4">
      <c r="A596" s="22">
        <f t="shared" si="18"/>
        <v>594</v>
      </c>
      <c r="B596">
        <v>5940</v>
      </c>
      <c r="C596">
        <v>44138.728297718029</v>
      </c>
      <c r="D596" s="23">
        <f t="shared" si="19"/>
        <v>441.38728297718029</v>
      </c>
    </row>
    <row r="597" spans="1:4">
      <c r="A597" s="22">
        <f t="shared" si="18"/>
        <v>595</v>
      </c>
      <c r="B597">
        <v>5950</v>
      </c>
      <c r="C597">
        <v>43979.861835129428</v>
      </c>
      <c r="D597" s="23">
        <f t="shared" si="19"/>
        <v>439.79861835129429</v>
      </c>
    </row>
    <row r="598" spans="1:4">
      <c r="A598" s="22">
        <f t="shared" si="18"/>
        <v>596</v>
      </c>
      <c r="B598">
        <v>5960</v>
      </c>
      <c r="C598">
        <v>43820.995372540827</v>
      </c>
      <c r="D598" s="23">
        <f t="shared" si="19"/>
        <v>438.20995372540824</v>
      </c>
    </row>
    <row r="599" spans="1:4">
      <c r="A599" s="22">
        <f t="shared" si="18"/>
        <v>597</v>
      </c>
      <c r="B599">
        <v>5970</v>
      </c>
      <c r="C599">
        <v>43662.128909952226</v>
      </c>
      <c r="D599" s="23">
        <f t="shared" si="19"/>
        <v>436.62128909952224</v>
      </c>
    </row>
    <row r="600" spans="1:4">
      <c r="A600" s="22">
        <f t="shared" si="18"/>
        <v>598</v>
      </c>
      <c r="B600">
        <v>5980</v>
      </c>
      <c r="C600">
        <v>43503.262447363624</v>
      </c>
      <c r="D600" s="23">
        <f t="shared" si="19"/>
        <v>435.03262447363625</v>
      </c>
    </row>
    <row r="601" spans="1:4">
      <c r="A601" s="22">
        <f t="shared" si="18"/>
        <v>599</v>
      </c>
      <c r="B601">
        <v>5990</v>
      </c>
      <c r="C601">
        <v>43344.395984775023</v>
      </c>
      <c r="D601" s="23">
        <f t="shared" ref="D601:D642" si="20">C601/100</f>
        <v>433.44395984775025</v>
      </c>
    </row>
    <row r="602" spans="1:4">
      <c r="A602" s="22">
        <f t="shared" si="18"/>
        <v>600</v>
      </c>
      <c r="B602">
        <v>6000</v>
      </c>
      <c r="C602">
        <v>43185.529522186422</v>
      </c>
      <c r="D602" s="23">
        <f t="shared" si="20"/>
        <v>431.8552952218642</v>
      </c>
    </row>
    <row r="603" spans="1:4">
      <c r="A603" s="22">
        <f t="shared" si="18"/>
        <v>601</v>
      </c>
      <c r="B603">
        <v>6010</v>
      </c>
      <c r="C603">
        <v>43026.66305959782</v>
      </c>
      <c r="D603" s="23">
        <f t="shared" si="20"/>
        <v>430.2666305959782</v>
      </c>
    </row>
    <row r="604" spans="1:4">
      <c r="A604" s="22">
        <f t="shared" si="18"/>
        <v>602</v>
      </c>
      <c r="B604">
        <v>6020</v>
      </c>
      <c r="C604">
        <v>42867.796597009219</v>
      </c>
      <c r="D604" s="23">
        <f t="shared" si="20"/>
        <v>428.6779659700922</v>
      </c>
    </row>
    <row r="605" spans="1:4">
      <c r="A605" s="22">
        <f t="shared" si="18"/>
        <v>603</v>
      </c>
      <c r="B605">
        <v>6030</v>
      </c>
      <c r="C605">
        <v>42708.930134420618</v>
      </c>
      <c r="D605" s="23">
        <f t="shared" si="20"/>
        <v>427.08930134420621</v>
      </c>
    </row>
    <row r="606" spans="1:4">
      <c r="A606" s="22">
        <f t="shared" si="18"/>
        <v>604</v>
      </c>
      <c r="B606">
        <v>6040</v>
      </c>
      <c r="C606">
        <v>42550.063671832017</v>
      </c>
      <c r="D606" s="23">
        <f t="shared" si="20"/>
        <v>425.50063671832015</v>
      </c>
    </row>
    <row r="607" spans="1:4">
      <c r="A607" s="22">
        <f t="shared" si="18"/>
        <v>605</v>
      </c>
      <c r="B607">
        <v>6050</v>
      </c>
      <c r="C607">
        <v>42391.197209243415</v>
      </c>
      <c r="D607" s="23">
        <f t="shared" si="20"/>
        <v>423.91197209243416</v>
      </c>
    </row>
    <row r="608" spans="1:4">
      <c r="A608" s="22">
        <f t="shared" si="18"/>
        <v>606</v>
      </c>
      <c r="B608">
        <v>6060</v>
      </c>
      <c r="C608">
        <v>42232.330746654814</v>
      </c>
      <c r="D608" s="23">
        <f t="shared" si="20"/>
        <v>422.32330746654816</v>
      </c>
    </row>
    <row r="609" spans="1:4">
      <c r="A609" s="22">
        <f t="shared" si="18"/>
        <v>607</v>
      </c>
      <c r="B609">
        <v>6070</v>
      </c>
      <c r="C609">
        <v>42073.464284066213</v>
      </c>
      <c r="D609" s="23">
        <f t="shared" si="20"/>
        <v>420.7346428406621</v>
      </c>
    </row>
    <row r="610" spans="1:4">
      <c r="A610" s="22">
        <f t="shared" si="18"/>
        <v>608</v>
      </c>
      <c r="B610">
        <v>6080</v>
      </c>
      <c r="C610">
        <v>41914.597821477611</v>
      </c>
      <c r="D610" s="23">
        <f t="shared" si="20"/>
        <v>419.14597821477611</v>
      </c>
    </row>
    <row r="611" spans="1:4">
      <c r="A611" s="22">
        <f t="shared" si="18"/>
        <v>609</v>
      </c>
      <c r="B611">
        <v>6090</v>
      </c>
      <c r="C611">
        <v>41755.73135888901</v>
      </c>
      <c r="D611" s="23">
        <f t="shared" si="20"/>
        <v>417.55731358889011</v>
      </c>
    </row>
    <row r="612" spans="1:4">
      <c r="A612" s="22">
        <f t="shared" si="18"/>
        <v>610</v>
      </c>
      <c r="B612">
        <v>6100</v>
      </c>
      <c r="C612">
        <v>41596.864896300409</v>
      </c>
      <c r="D612" s="23">
        <f t="shared" si="20"/>
        <v>415.96864896300411</v>
      </c>
    </row>
    <row r="613" spans="1:4">
      <c r="A613" s="22">
        <f t="shared" si="18"/>
        <v>611</v>
      </c>
      <c r="B613">
        <v>6110</v>
      </c>
      <c r="C613">
        <v>41437.998433711808</v>
      </c>
      <c r="D613" s="23">
        <f t="shared" si="20"/>
        <v>414.37998433711806</v>
      </c>
    </row>
    <row r="614" spans="1:4">
      <c r="A614" s="22">
        <f t="shared" si="18"/>
        <v>612</v>
      </c>
      <c r="B614">
        <v>6120</v>
      </c>
      <c r="C614">
        <v>41279.131971123206</v>
      </c>
      <c r="D614" s="23">
        <f t="shared" si="20"/>
        <v>412.79131971123206</v>
      </c>
    </row>
    <row r="615" spans="1:4">
      <c r="A615" s="22">
        <f t="shared" si="18"/>
        <v>613</v>
      </c>
      <c r="B615">
        <v>6130</v>
      </c>
      <c r="C615">
        <v>41120.265508534605</v>
      </c>
      <c r="D615" s="23">
        <f t="shared" si="20"/>
        <v>411.20265508534607</v>
      </c>
    </row>
    <row r="616" spans="1:4">
      <c r="A616" s="22">
        <f t="shared" si="18"/>
        <v>614</v>
      </c>
      <c r="B616">
        <v>6140</v>
      </c>
      <c r="C616">
        <v>40961.399045946004</v>
      </c>
      <c r="D616" s="23">
        <f t="shared" si="20"/>
        <v>409.61399045946001</v>
      </c>
    </row>
    <row r="617" spans="1:4">
      <c r="A617" s="22">
        <f t="shared" si="18"/>
        <v>615</v>
      </c>
      <c r="B617">
        <v>6150</v>
      </c>
      <c r="C617">
        <v>40802.532583357402</v>
      </c>
      <c r="D617" s="23">
        <f t="shared" si="20"/>
        <v>408.02532583357402</v>
      </c>
    </row>
    <row r="618" spans="1:4">
      <c r="A618" s="22">
        <f t="shared" si="18"/>
        <v>616</v>
      </c>
      <c r="B618">
        <v>6160</v>
      </c>
      <c r="C618">
        <v>40643.666120768801</v>
      </c>
      <c r="D618" s="23">
        <f t="shared" si="20"/>
        <v>406.43666120768802</v>
      </c>
    </row>
    <row r="619" spans="1:4">
      <c r="A619" s="22">
        <f t="shared" si="18"/>
        <v>617</v>
      </c>
      <c r="B619">
        <v>6170</v>
      </c>
      <c r="C619">
        <v>40484.7996581802</v>
      </c>
      <c r="D619" s="23">
        <f t="shared" si="20"/>
        <v>404.84799658180202</v>
      </c>
    </row>
    <row r="620" spans="1:4">
      <c r="A620" s="22">
        <f t="shared" si="18"/>
        <v>618</v>
      </c>
      <c r="B620">
        <v>6180</v>
      </c>
      <c r="C620">
        <v>40325.933195591599</v>
      </c>
      <c r="D620" s="23">
        <f t="shared" si="20"/>
        <v>403.25933195591597</v>
      </c>
    </row>
    <row r="621" spans="1:4">
      <c r="A621" s="22">
        <f t="shared" si="18"/>
        <v>619</v>
      </c>
      <c r="B621">
        <v>6190</v>
      </c>
      <c r="C621">
        <v>40167.066733002997</v>
      </c>
      <c r="D621" s="23">
        <f t="shared" si="20"/>
        <v>401.67066733002997</v>
      </c>
    </row>
    <row r="622" spans="1:4">
      <c r="A622" s="22">
        <f t="shared" si="18"/>
        <v>620</v>
      </c>
      <c r="B622">
        <v>6200</v>
      </c>
      <c r="C622">
        <v>40008.200270414396</v>
      </c>
      <c r="D622" s="23">
        <f t="shared" si="20"/>
        <v>400.08200270414397</v>
      </c>
    </row>
    <row r="623" spans="1:4">
      <c r="A623" s="22">
        <f t="shared" si="18"/>
        <v>621</v>
      </c>
      <c r="B623">
        <v>6210</v>
      </c>
      <c r="C623">
        <v>39849.333807825795</v>
      </c>
      <c r="D623" s="23">
        <f t="shared" si="20"/>
        <v>398.49333807825792</v>
      </c>
    </row>
    <row r="624" spans="1:4">
      <c r="A624" s="22">
        <f t="shared" si="18"/>
        <v>622</v>
      </c>
      <c r="B624">
        <v>6220</v>
      </c>
      <c r="C624">
        <v>39690.467345237194</v>
      </c>
      <c r="D624" s="23">
        <f t="shared" si="20"/>
        <v>396.90467345237192</v>
      </c>
    </row>
    <row r="625" spans="1:4">
      <c r="A625" s="22">
        <f t="shared" si="18"/>
        <v>623</v>
      </c>
      <c r="B625">
        <v>6230</v>
      </c>
      <c r="C625">
        <v>39531.600882648592</v>
      </c>
      <c r="D625" s="23">
        <f t="shared" si="20"/>
        <v>395.31600882648593</v>
      </c>
    </row>
    <row r="626" spans="1:4">
      <c r="A626" s="22">
        <f t="shared" si="18"/>
        <v>624</v>
      </c>
      <c r="B626">
        <v>6240</v>
      </c>
      <c r="C626">
        <v>39372.734420059991</v>
      </c>
      <c r="D626" s="23">
        <f t="shared" si="20"/>
        <v>393.72734420059993</v>
      </c>
    </row>
    <row r="627" spans="1:4">
      <c r="A627" s="22">
        <f t="shared" si="18"/>
        <v>625</v>
      </c>
      <c r="B627">
        <v>6250</v>
      </c>
      <c r="C627">
        <v>39213.86795747139</v>
      </c>
      <c r="D627" s="23">
        <f t="shared" si="20"/>
        <v>392.13867957471388</v>
      </c>
    </row>
    <row r="628" spans="1:4">
      <c r="A628" s="22">
        <f t="shared" si="18"/>
        <v>626</v>
      </c>
      <c r="B628">
        <v>6260</v>
      </c>
      <c r="C628">
        <v>39055.001494882788</v>
      </c>
      <c r="D628" s="23">
        <f t="shared" si="20"/>
        <v>390.55001494882788</v>
      </c>
    </row>
    <row r="629" spans="1:4">
      <c r="A629" s="22">
        <f t="shared" si="18"/>
        <v>627</v>
      </c>
      <c r="B629">
        <v>6270</v>
      </c>
      <c r="C629">
        <v>38896.135032294187</v>
      </c>
      <c r="D629" s="23">
        <f t="shared" si="20"/>
        <v>388.96135032294188</v>
      </c>
    </row>
    <row r="630" spans="1:4">
      <c r="A630" s="22">
        <f t="shared" si="18"/>
        <v>628</v>
      </c>
      <c r="B630">
        <v>6280</v>
      </c>
      <c r="C630">
        <v>38737.268569705586</v>
      </c>
      <c r="D630" s="23">
        <f t="shared" si="20"/>
        <v>387.37268569705589</v>
      </c>
    </row>
    <row r="631" spans="1:4">
      <c r="A631" s="22">
        <f t="shared" si="18"/>
        <v>629</v>
      </c>
      <c r="B631">
        <v>6290</v>
      </c>
      <c r="C631">
        <v>38578.402107116985</v>
      </c>
      <c r="D631" s="23">
        <f t="shared" si="20"/>
        <v>385.78402107116983</v>
      </c>
    </row>
    <row r="632" spans="1:4">
      <c r="A632" s="22">
        <f t="shared" si="18"/>
        <v>630</v>
      </c>
      <c r="B632">
        <v>6300</v>
      </c>
      <c r="C632">
        <v>38419.535644528383</v>
      </c>
      <c r="D632" s="23">
        <f t="shared" si="20"/>
        <v>384.19535644528384</v>
      </c>
    </row>
    <row r="633" spans="1:4">
      <c r="A633" s="22">
        <f t="shared" si="18"/>
        <v>631</v>
      </c>
      <c r="B633">
        <v>6310</v>
      </c>
      <c r="C633">
        <v>38260.669181939782</v>
      </c>
      <c r="D633" s="23">
        <f t="shared" si="20"/>
        <v>382.60669181939784</v>
      </c>
    </row>
    <row r="634" spans="1:4">
      <c r="A634" s="22">
        <f t="shared" si="18"/>
        <v>632</v>
      </c>
      <c r="B634">
        <v>6320</v>
      </c>
      <c r="C634">
        <v>38101.802719351181</v>
      </c>
      <c r="D634" s="23">
        <f t="shared" si="20"/>
        <v>381.01802719351178</v>
      </c>
    </row>
    <row r="635" spans="1:4">
      <c r="A635" s="22">
        <f t="shared" si="18"/>
        <v>633</v>
      </c>
      <c r="B635">
        <v>6330</v>
      </c>
      <c r="C635">
        <v>37942.936256762579</v>
      </c>
      <c r="D635" s="23">
        <f t="shared" si="20"/>
        <v>379.42936256762579</v>
      </c>
    </row>
    <row r="636" spans="1:4">
      <c r="A636" s="22">
        <f t="shared" si="18"/>
        <v>634</v>
      </c>
      <c r="B636">
        <v>6340</v>
      </c>
      <c r="C636">
        <v>37784.069794173978</v>
      </c>
      <c r="D636" s="23">
        <f t="shared" si="20"/>
        <v>377.84069794173979</v>
      </c>
    </row>
    <row r="637" spans="1:4">
      <c r="A637" s="22">
        <f t="shared" si="18"/>
        <v>635</v>
      </c>
      <c r="B637">
        <v>6350</v>
      </c>
      <c r="C637">
        <v>37625.203331585377</v>
      </c>
      <c r="D637" s="23">
        <f t="shared" si="20"/>
        <v>376.25203331585379</v>
      </c>
    </row>
    <row r="638" spans="1:4">
      <c r="A638" s="22">
        <f t="shared" si="18"/>
        <v>636</v>
      </c>
      <c r="B638">
        <v>6360</v>
      </c>
      <c r="C638">
        <v>37466.336868996776</v>
      </c>
      <c r="D638" s="23">
        <f t="shared" si="20"/>
        <v>374.66336868996774</v>
      </c>
    </row>
    <row r="639" spans="1:4">
      <c r="A639" s="22">
        <f t="shared" si="18"/>
        <v>637</v>
      </c>
      <c r="B639">
        <v>6370</v>
      </c>
      <c r="C639">
        <v>37307.470406408174</v>
      </c>
      <c r="D639" s="23">
        <f t="shared" si="20"/>
        <v>373.07470406408174</v>
      </c>
    </row>
    <row r="640" spans="1:4">
      <c r="A640" s="22">
        <f t="shared" si="18"/>
        <v>638</v>
      </c>
      <c r="B640">
        <v>6380</v>
      </c>
      <c r="C640">
        <v>37148.603943819573</v>
      </c>
      <c r="D640" s="23">
        <f t="shared" si="20"/>
        <v>371.48603943819575</v>
      </c>
    </row>
    <row r="641" spans="1:4">
      <c r="A641" s="22">
        <f t="shared" si="18"/>
        <v>639</v>
      </c>
      <c r="B641">
        <v>6390</v>
      </c>
      <c r="C641">
        <v>36989.737481230972</v>
      </c>
      <c r="D641" s="23">
        <f t="shared" si="20"/>
        <v>369.89737481230969</v>
      </c>
    </row>
    <row r="642" spans="1:4">
      <c r="A642" s="22">
        <f t="shared" si="18"/>
        <v>640</v>
      </c>
      <c r="B642">
        <v>6400</v>
      </c>
      <c r="C642">
        <v>36830.87101864237</v>
      </c>
      <c r="D642" s="23">
        <f t="shared" si="20"/>
        <v>368.3087101864237</v>
      </c>
    </row>
    <row r="643" spans="1:4">
      <c r="A643" s="22">
        <f t="shared" ref="A643:A706" si="21">B643/10</f>
        <v>641</v>
      </c>
      <c r="B643">
        <v>6410</v>
      </c>
      <c r="C643">
        <v>36672.004556053769</v>
      </c>
      <c r="D643" s="23">
        <f t="shared" ref="D643:D706" si="22">C643/100</f>
        <v>366.7200455605377</v>
      </c>
    </row>
    <row r="644" spans="1:4">
      <c r="A644" s="22">
        <f t="shared" si="21"/>
        <v>642</v>
      </c>
      <c r="B644">
        <v>6420</v>
      </c>
      <c r="C644">
        <v>36513.138093465168</v>
      </c>
      <c r="D644" s="23">
        <f t="shared" si="22"/>
        <v>365.1313809346517</v>
      </c>
    </row>
    <row r="645" spans="1:4">
      <c r="A645" s="22">
        <f t="shared" si="21"/>
        <v>643</v>
      </c>
      <c r="B645">
        <v>6430</v>
      </c>
      <c r="C645">
        <v>36354.271630876567</v>
      </c>
      <c r="D645" s="23">
        <f t="shared" si="22"/>
        <v>363.54271630876565</v>
      </c>
    </row>
    <row r="646" spans="1:4">
      <c r="A646" s="22">
        <f t="shared" si="21"/>
        <v>644</v>
      </c>
      <c r="B646">
        <v>6440</v>
      </c>
      <c r="C646">
        <v>36195.405168287965</v>
      </c>
      <c r="D646" s="23">
        <f t="shared" si="22"/>
        <v>361.95405168287965</v>
      </c>
    </row>
    <row r="647" spans="1:4">
      <c r="A647" s="22">
        <f t="shared" si="21"/>
        <v>645</v>
      </c>
      <c r="B647">
        <v>6450</v>
      </c>
      <c r="C647">
        <v>36036.538705699364</v>
      </c>
      <c r="D647" s="23">
        <f t="shared" si="22"/>
        <v>360.36538705699365</v>
      </c>
    </row>
    <row r="648" spans="1:4">
      <c r="A648" s="22">
        <f t="shared" si="21"/>
        <v>646</v>
      </c>
      <c r="B648">
        <v>6460</v>
      </c>
      <c r="C648">
        <v>35877.672243110763</v>
      </c>
      <c r="D648" s="23">
        <f t="shared" si="22"/>
        <v>358.7767224311076</v>
      </c>
    </row>
    <row r="649" spans="1:4">
      <c r="A649" s="22">
        <f t="shared" si="21"/>
        <v>647</v>
      </c>
      <c r="B649">
        <v>6470</v>
      </c>
      <c r="C649">
        <v>35718.805780522162</v>
      </c>
      <c r="D649" s="23">
        <f t="shared" si="22"/>
        <v>357.1880578052216</v>
      </c>
    </row>
    <row r="650" spans="1:4">
      <c r="A650" s="22">
        <f t="shared" si="21"/>
        <v>648</v>
      </c>
      <c r="B650">
        <v>6480</v>
      </c>
      <c r="C650">
        <v>35559.93931793356</v>
      </c>
      <c r="D650" s="23">
        <f t="shared" si="22"/>
        <v>355.59939317933561</v>
      </c>
    </row>
    <row r="651" spans="1:4">
      <c r="A651" s="22">
        <f t="shared" si="21"/>
        <v>649</v>
      </c>
      <c r="B651">
        <v>6490</v>
      </c>
      <c r="C651">
        <v>35401.072855344959</v>
      </c>
      <c r="D651" s="23">
        <f t="shared" si="22"/>
        <v>354.01072855344961</v>
      </c>
    </row>
    <row r="652" spans="1:4">
      <c r="A652" s="22">
        <f t="shared" si="21"/>
        <v>650</v>
      </c>
      <c r="B652">
        <v>6500</v>
      </c>
      <c r="C652">
        <v>35242.206392756358</v>
      </c>
      <c r="D652" s="23">
        <f t="shared" si="22"/>
        <v>352.42206392756356</v>
      </c>
    </row>
    <row r="653" spans="1:4">
      <c r="A653" s="22">
        <f t="shared" si="21"/>
        <v>651</v>
      </c>
      <c r="B653">
        <v>6510</v>
      </c>
      <c r="C653">
        <v>35083.339930167756</v>
      </c>
      <c r="D653" s="23">
        <f t="shared" si="22"/>
        <v>350.83339930167756</v>
      </c>
    </row>
    <row r="654" spans="1:4">
      <c r="A654" s="22">
        <f t="shared" si="21"/>
        <v>652</v>
      </c>
      <c r="B654">
        <v>6520</v>
      </c>
      <c r="C654">
        <v>34924.473467579155</v>
      </c>
      <c r="D654" s="23">
        <f t="shared" si="22"/>
        <v>349.24473467579156</v>
      </c>
    </row>
    <row r="655" spans="1:4">
      <c r="A655" s="22">
        <f t="shared" si="21"/>
        <v>653</v>
      </c>
      <c r="B655">
        <v>6530</v>
      </c>
      <c r="C655">
        <v>34765.607004990554</v>
      </c>
      <c r="D655" s="23">
        <f t="shared" si="22"/>
        <v>347.65607004990557</v>
      </c>
    </row>
    <row r="656" spans="1:4">
      <c r="A656" s="22">
        <f t="shared" si="21"/>
        <v>654</v>
      </c>
      <c r="B656">
        <v>6540</v>
      </c>
      <c r="C656">
        <v>34606.740542401953</v>
      </c>
      <c r="D656" s="23">
        <f t="shared" si="22"/>
        <v>346.06740542401951</v>
      </c>
    </row>
    <row r="657" spans="1:4">
      <c r="A657" s="22">
        <f t="shared" si="21"/>
        <v>655</v>
      </c>
      <c r="B657">
        <v>6550</v>
      </c>
      <c r="C657">
        <v>34447.874079813351</v>
      </c>
      <c r="D657" s="23">
        <f t="shared" si="22"/>
        <v>344.47874079813351</v>
      </c>
    </row>
    <row r="658" spans="1:4">
      <c r="A658" s="22">
        <f t="shared" si="21"/>
        <v>656</v>
      </c>
      <c r="B658">
        <v>6560</v>
      </c>
      <c r="C658">
        <v>34289.00761722475</v>
      </c>
      <c r="D658" s="23">
        <f t="shared" si="22"/>
        <v>342.89007617224752</v>
      </c>
    </row>
    <row r="659" spans="1:4">
      <c r="A659" s="22">
        <f t="shared" si="21"/>
        <v>657</v>
      </c>
      <c r="B659">
        <v>6570</v>
      </c>
      <c r="C659">
        <v>34130.141154636149</v>
      </c>
      <c r="D659" s="23">
        <f t="shared" si="22"/>
        <v>341.30141154636146</v>
      </c>
    </row>
    <row r="660" spans="1:4">
      <c r="A660" s="22">
        <f t="shared" si="21"/>
        <v>658</v>
      </c>
      <c r="B660">
        <v>6580</v>
      </c>
      <c r="C660">
        <v>33971.274692047547</v>
      </c>
      <c r="D660" s="23">
        <f t="shared" si="22"/>
        <v>339.71274692047547</v>
      </c>
    </row>
    <row r="661" spans="1:4">
      <c r="A661" s="22">
        <f t="shared" si="21"/>
        <v>659</v>
      </c>
      <c r="B661">
        <v>6590</v>
      </c>
      <c r="C661">
        <v>33812.408229458946</v>
      </c>
      <c r="D661" s="23">
        <f t="shared" si="22"/>
        <v>338.12408229458947</v>
      </c>
    </row>
    <row r="662" spans="1:4">
      <c r="A662" s="22">
        <f t="shared" si="21"/>
        <v>660</v>
      </c>
      <c r="B662">
        <v>6600</v>
      </c>
      <c r="C662">
        <v>33653.541766870345</v>
      </c>
      <c r="D662" s="23">
        <f t="shared" si="22"/>
        <v>336.53541766870347</v>
      </c>
    </row>
    <row r="663" spans="1:4">
      <c r="A663" s="22">
        <f t="shared" si="21"/>
        <v>661</v>
      </c>
      <c r="B663">
        <v>6610</v>
      </c>
      <c r="C663">
        <v>33494.675304281744</v>
      </c>
      <c r="D663" s="23">
        <f t="shared" si="22"/>
        <v>334.94675304281742</v>
      </c>
    </row>
    <row r="664" spans="1:4">
      <c r="A664" s="22">
        <f t="shared" si="21"/>
        <v>662</v>
      </c>
      <c r="B664">
        <v>6620</v>
      </c>
      <c r="C664">
        <v>33335.808841693142</v>
      </c>
      <c r="D664" s="23">
        <f t="shared" si="22"/>
        <v>333.35808841693142</v>
      </c>
    </row>
    <row r="665" spans="1:4">
      <c r="A665" s="22">
        <f t="shared" si="21"/>
        <v>663</v>
      </c>
      <c r="B665">
        <v>6630</v>
      </c>
      <c r="C665">
        <v>33176.942379104541</v>
      </c>
      <c r="D665" s="23">
        <f t="shared" si="22"/>
        <v>331.76942379104543</v>
      </c>
    </row>
    <row r="666" spans="1:4">
      <c r="A666" s="22">
        <f t="shared" si="21"/>
        <v>664</v>
      </c>
      <c r="B666">
        <v>6640</v>
      </c>
      <c r="C666">
        <v>33018.07591651594</v>
      </c>
      <c r="D666" s="23">
        <f t="shared" si="22"/>
        <v>330.18075916515937</v>
      </c>
    </row>
    <row r="667" spans="1:4">
      <c r="A667" s="22">
        <f t="shared" si="21"/>
        <v>665</v>
      </c>
      <c r="B667">
        <v>6650</v>
      </c>
      <c r="C667">
        <v>32859.209453927338</v>
      </c>
      <c r="D667" s="23">
        <f t="shared" si="22"/>
        <v>328.59209453927338</v>
      </c>
    </row>
    <row r="668" spans="1:4">
      <c r="A668" s="22">
        <f t="shared" si="21"/>
        <v>666</v>
      </c>
      <c r="B668">
        <v>6660</v>
      </c>
      <c r="C668">
        <v>32700.342991338737</v>
      </c>
      <c r="D668" s="23">
        <f t="shared" si="22"/>
        <v>327.00342991338738</v>
      </c>
    </row>
    <row r="669" spans="1:4">
      <c r="A669" s="22">
        <f t="shared" si="21"/>
        <v>667</v>
      </c>
      <c r="B669">
        <v>6670</v>
      </c>
      <c r="C669">
        <v>32541.476528750136</v>
      </c>
      <c r="D669" s="23">
        <f t="shared" si="22"/>
        <v>325.41476528750138</v>
      </c>
    </row>
    <row r="670" spans="1:4">
      <c r="A670" s="22">
        <f t="shared" si="21"/>
        <v>668</v>
      </c>
      <c r="B670">
        <v>6680</v>
      </c>
      <c r="C670">
        <v>32382.610066161535</v>
      </c>
      <c r="D670" s="23">
        <f t="shared" si="22"/>
        <v>323.82610066161533</v>
      </c>
    </row>
    <row r="671" spans="1:4">
      <c r="A671" s="22">
        <f t="shared" si="21"/>
        <v>669</v>
      </c>
      <c r="B671">
        <v>6690</v>
      </c>
      <c r="C671">
        <v>32223.743603572933</v>
      </c>
      <c r="D671" s="23">
        <f t="shared" si="22"/>
        <v>322.23743603572933</v>
      </c>
    </row>
    <row r="672" spans="1:4">
      <c r="A672" s="22">
        <f t="shared" si="21"/>
        <v>670</v>
      </c>
      <c r="B672">
        <v>6700</v>
      </c>
      <c r="C672">
        <v>32064.877140984332</v>
      </c>
      <c r="D672" s="23">
        <f t="shared" si="22"/>
        <v>320.64877140984333</v>
      </c>
    </row>
    <row r="673" spans="1:4">
      <c r="A673" s="22">
        <f t="shared" si="21"/>
        <v>671</v>
      </c>
      <c r="B673">
        <v>6710</v>
      </c>
      <c r="C673">
        <v>31906.010678395731</v>
      </c>
      <c r="D673" s="23">
        <f t="shared" si="22"/>
        <v>319.06010678395728</v>
      </c>
    </row>
    <row r="674" spans="1:4">
      <c r="A674" s="22">
        <f t="shared" si="21"/>
        <v>672</v>
      </c>
      <c r="B674">
        <v>6720</v>
      </c>
      <c r="C674">
        <v>31747.14421580713</v>
      </c>
      <c r="D674" s="23">
        <f t="shared" si="22"/>
        <v>317.47144215807128</v>
      </c>
    </row>
    <row r="675" spans="1:4">
      <c r="A675" s="22">
        <f t="shared" si="21"/>
        <v>673</v>
      </c>
      <c r="B675">
        <v>6730</v>
      </c>
      <c r="C675">
        <v>31588.277753218528</v>
      </c>
      <c r="D675" s="23">
        <f t="shared" si="22"/>
        <v>315.88277753218529</v>
      </c>
    </row>
    <row r="676" spans="1:4">
      <c r="A676" s="22">
        <f t="shared" si="21"/>
        <v>674</v>
      </c>
      <c r="B676">
        <v>6740</v>
      </c>
      <c r="C676">
        <v>31429.411290629927</v>
      </c>
      <c r="D676" s="23">
        <f t="shared" si="22"/>
        <v>314.29411290629929</v>
      </c>
    </row>
    <row r="677" spans="1:4">
      <c r="A677" s="22">
        <f t="shared" si="21"/>
        <v>675</v>
      </c>
      <c r="B677">
        <v>6750</v>
      </c>
      <c r="C677">
        <v>31270.544828041326</v>
      </c>
      <c r="D677" s="23">
        <f t="shared" si="22"/>
        <v>312.70544828041324</v>
      </c>
    </row>
    <row r="678" spans="1:4">
      <c r="A678" s="22">
        <f t="shared" si="21"/>
        <v>676</v>
      </c>
      <c r="B678">
        <v>6760</v>
      </c>
      <c r="C678">
        <v>31111.678365452724</v>
      </c>
      <c r="D678" s="23">
        <f t="shared" si="22"/>
        <v>311.11678365452724</v>
      </c>
    </row>
    <row r="679" spans="1:4">
      <c r="A679" s="22">
        <f t="shared" si="21"/>
        <v>677</v>
      </c>
      <c r="B679">
        <v>6770</v>
      </c>
      <c r="C679">
        <v>30952.811902864123</v>
      </c>
      <c r="D679" s="23">
        <f t="shared" si="22"/>
        <v>309.52811902864124</v>
      </c>
    </row>
    <row r="680" spans="1:4">
      <c r="A680" s="22">
        <f t="shared" si="21"/>
        <v>678</v>
      </c>
      <c r="B680">
        <v>6780</v>
      </c>
      <c r="C680">
        <v>30793.945440275522</v>
      </c>
      <c r="D680" s="23">
        <f t="shared" si="22"/>
        <v>307.93945440275525</v>
      </c>
    </row>
    <row r="681" spans="1:4">
      <c r="A681" s="22">
        <f t="shared" si="21"/>
        <v>679</v>
      </c>
      <c r="B681">
        <v>6790</v>
      </c>
      <c r="C681">
        <v>30635.078977686921</v>
      </c>
      <c r="D681" s="23">
        <f t="shared" si="22"/>
        <v>306.35078977686919</v>
      </c>
    </row>
    <row r="682" spans="1:4">
      <c r="A682" s="22">
        <f t="shared" si="21"/>
        <v>680</v>
      </c>
      <c r="B682">
        <v>6800</v>
      </c>
      <c r="C682">
        <v>30476.212515098319</v>
      </c>
      <c r="D682" s="23">
        <f t="shared" si="22"/>
        <v>304.76212515098319</v>
      </c>
    </row>
    <row r="683" spans="1:4">
      <c r="A683" s="22">
        <f t="shared" si="21"/>
        <v>681</v>
      </c>
      <c r="B683">
        <v>6810</v>
      </c>
      <c r="C683">
        <v>30317.346052509718</v>
      </c>
      <c r="D683" s="23">
        <f t="shared" si="22"/>
        <v>303.1734605250972</v>
      </c>
    </row>
    <row r="684" spans="1:4">
      <c r="A684" s="22">
        <f t="shared" si="21"/>
        <v>682</v>
      </c>
      <c r="B684">
        <v>6820</v>
      </c>
      <c r="C684">
        <v>30158.479589921117</v>
      </c>
      <c r="D684" s="23">
        <f t="shared" si="22"/>
        <v>301.58479589921114</v>
      </c>
    </row>
    <row r="685" spans="1:4">
      <c r="A685" s="22">
        <f t="shared" si="21"/>
        <v>683</v>
      </c>
      <c r="B685">
        <v>6830</v>
      </c>
      <c r="C685">
        <v>29999.613127332515</v>
      </c>
      <c r="D685" s="23">
        <f t="shared" si="22"/>
        <v>299.99613127332515</v>
      </c>
    </row>
    <row r="686" spans="1:4">
      <c r="A686" s="22">
        <f t="shared" si="21"/>
        <v>684</v>
      </c>
      <c r="B686">
        <v>6840</v>
      </c>
      <c r="C686">
        <v>29840.746664743914</v>
      </c>
      <c r="D686" s="23">
        <f t="shared" si="22"/>
        <v>298.40746664743915</v>
      </c>
    </row>
    <row r="687" spans="1:4">
      <c r="A687" s="22">
        <f t="shared" si="21"/>
        <v>685</v>
      </c>
      <c r="B687">
        <v>6850</v>
      </c>
      <c r="C687">
        <v>29681.880202155313</v>
      </c>
      <c r="D687" s="23">
        <f t="shared" si="22"/>
        <v>296.81880202155315</v>
      </c>
    </row>
    <row r="688" spans="1:4">
      <c r="A688" s="22">
        <f t="shared" si="21"/>
        <v>686</v>
      </c>
      <c r="B688">
        <v>6860</v>
      </c>
      <c r="C688">
        <v>29523.013739566712</v>
      </c>
      <c r="D688" s="23">
        <f t="shared" si="22"/>
        <v>295.2301373956671</v>
      </c>
    </row>
    <row r="689" spans="1:4">
      <c r="A689" s="22">
        <f t="shared" si="21"/>
        <v>687</v>
      </c>
      <c r="B689">
        <v>6870</v>
      </c>
      <c r="C689">
        <v>29364.14727697811</v>
      </c>
      <c r="D689" s="23">
        <f t="shared" si="22"/>
        <v>293.6414727697811</v>
      </c>
    </row>
    <row r="690" spans="1:4">
      <c r="A690" s="22">
        <f t="shared" si="21"/>
        <v>688</v>
      </c>
      <c r="B690">
        <v>6880</v>
      </c>
      <c r="C690">
        <v>29205.280814389509</v>
      </c>
      <c r="D690" s="23">
        <f t="shared" si="22"/>
        <v>292.05280814389511</v>
      </c>
    </row>
    <row r="691" spans="1:4">
      <c r="A691" s="22">
        <f t="shared" si="21"/>
        <v>689</v>
      </c>
      <c r="B691">
        <v>6890</v>
      </c>
      <c r="C691">
        <v>29046.414351800908</v>
      </c>
      <c r="D691" s="23">
        <f t="shared" si="22"/>
        <v>290.46414351800905</v>
      </c>
    </row>
    <row r="692" spans="1:4">
      <c r="A692" s="22">
        <f t="shared" si="21"/>
        <v>690</v>
      </c>
      <c r="B692">
        <v>6900</v>
      </c>
      <c r="C692">
        <v>28887.547889212306</v>
      </c>
      <c r="D692" s="23">
        <f t="shared" si="22"/>
        <v>288.87547889212306</v>
      </c>
    </row>
    <row r="693" spans="1:4">
      <c r="A693" s="22">
        <f t="shared" si="21"/>
        <v>691</v>
      </c>
      <c r="B693">
        <v>6910</v>
      </c>
      <c r="C693">
        <v>28728.681426623705</v>
      </c>
      <c r="D693" s="23">
        <f t="shared" si="22"/>
        <v>287.28681426623706</v>
      </c>
    </row>
    <row r="694" spans="1:4">
      <c r="A694" s="22">
        <f t="shared" si="21"/>
        <v>692</v>
      </c>
      <c r="B694">
        <v>6920</v>
      </c>
      <c r="C694">
        <v>28569.814964035104</v>
      </c>
      <c r="D694" s="23">
        <f t="shared" si="22"/>
        <v>285.69814964035106</v>
      </c>
    </row>
    <row r="695" spans="1:4">
      <c r="A695" s="22">
        <f t="shared" si="21"/>
        <v>693</v>
      </c>
      <c r="B695">
        <v>6930</v>
      </c>
      <c r="C695">
        <v>28410.948501446503</v>
      </c>
      <c r="D695" s="23">
        <f t="shared" si="22"/>
        <v>284.10948501446501</v>
      </c>
    </row>
    <row r="696" spans="1:4">
      <c r="A696" s="22">
        <f t="shared" si="21"/>
        <v>694</v>
      </c>
      <c r="B696">
        <v>6940</v>
      </c>
      <c r="C696">
        <v>28252.082038857901</v>
      </c>
      <c r="D696" s="23">
        <f t="shared" si="22"/>
        <v>282.52082038857901</v>
      </c>
    </row>
    <row r="697" spans="1:4">
      <c r="A697" s="22">
        <f t="shared" si="21"/>
        <v>695</v>
      </c>
      <c r="B697">
        <v>6950</v>
      </c>
      <c r="C697">
        <v>28093.2155762693</v>
      </c>
      <c r="D697" s="23">
        <f t="shared" si="22"/>
        <v>280.93215576269301</v>
      </c>
    </row>
    <row r="698" spans="1:4">
      <c r="A698" s="22">
        <f t="shared" si="21"/>
        <v>696</v>
      </c>
      <c r="B698">
        <v>6960</v>
      </c>
      <c r="C698">
        <v>27934.349113680699</v>
      </c>
      <c r="D698" s="23">
        <f t="shared" si="22"/>
        <v>279.34349113680696</v>
      </c>
    </row>
    <row r="699" spans="1:4">
      <c r="A699" s="22">
        <f t="shared" si="21"/>
        <v>697</v>
      </c>
      <c r="B699">
        <v>6970</v>
      </c>
      <c r="C699">
        <v>27775.482651092098</v>
      </c>
      <c r="D699" s="23">
        <f t="shared" si="22"/>
        <v>277.75482651092096</v>
      </c>
    </row>
    <row r="700" spans="1:4">
      <c r="A700" s="22">
        <f t="shared" si="21"/>
        <v>698</v>
      </c>
      <c r="B700">
        <v>6980</v>
      </c>
      <c r="C700">
        <v>27616.616188503496</v>
      </c>
      <c r="D700" s="23">
        <f t="shared" si="22"/>
        <v>276.16616188503497</v>
      </c>
    </row>
    <row r="701" spans="1:4">
      <c r="A701" s="22">
        <f t="shared" si="21"/>
        <v>699</v>
      </c>
      <c r="B701">
        <v>6990</v>
      </c>
      <c r="C701">
        <v>27457.749725914895</v>
      </c>
      <c r="D701" s="23">
        <f t="shared" si="22"/>
        <v>274.57749725914897</v>
      </c>
    </row>
    <row r="702" spans="1:4">
      <c r="A702" s="22">
        <f t="shared" si="21"/>
        <v>700</v>
      </c>
      <c r="B702">
        <v>7000</v>
      </c>
      <c r="C702">
        <v>27298.883263326294</v>
      </c>
      <c r="D702" s="23">
        <f t="shared" si="22"/>
        <v>272.98883263326292</v>
      </c>
    </row>
    <row r="703" spans="1:4">
      <c r="A703" s="22">
        <f t="shared" si="21"/>
        <v>701</v>
      </c>
      <c r="B703">
        <v>7010</v>
      </c>
      <c r="C703">
        <v>27140.016800737692</v>
      </c>
      <c r="D703" s="23">
        <f t="shared" si="22"/>
        <v>271.40016800737692</v>
      </c>
    </row>
    <row r="704" spans="1:4">
      <c r="A704" s="22">
        <f t="shared" si="21"/>
        <v>702</v>
      </c>
      <c r="B704">
        <v>7020</v>
      </c>
      <c r="C704">
        <v>26981.150338149091</v>
      </c>
      <c r="D704" s="23">
        <f t="shared" si="22"/>
        <v>269.81150338149092</v>
      </c>
    </row>
    <row r="705" spans="1:4">
      <c r="A705" s="22">
        <f t="shared" si="21"/>
        <v>703</v>
      </c>
      <c r="B705">
        <v>7030</v>
      </c>
      <c r="C705">
        <v>26822.28387556049</v>
      </c>
      <c r="D705" s="23">
        <f t="shared" si="22"/>
        <v>268.22283875560493</v>
      </c>
    </row>
    <row r="706" spans="1:4">
      <c r="A706" s="22">
        <f t="shared" si="21"/>
        <v>704</v>
      </c>
      <c r="B706">
        <v>7040</v>
      </c>
      <c r="C706">
        <v>26663.417412971889</v>
      </c>
      <c r="D706" s="23">
        <f t="shared" si="22"/>
        <v>266.63417412971887</v>
      </c>
    </row>
    <row r="707" spans="1:4">
      <c r="A707" s="22">
        <f t="shared" ref="A707:A770" si="23">B707/10</f>
        <v>705</v>
      </c>
      <c r="B707">
        <v>7050</v>
      </c>
      <c r="C707">
        <v>26504.550950383287</v>
      </c>
      <c r="D707" s="23">
        <f t="shared" ref="D707:D770" si="24">C707/100</f>
        <v>265.04550950383287</v>
      </c>
    </row>
    <row r="708" spans="1:4">
      <c r="A708" s="22">
        <f t="shared" si="23"/>
        <v>706</v>
      </c>
      <c r="B708">
        <v>7060</v>
      </c>
      <c r="C708">
        <v>26345.684487794686</v>
      </c>
      <c r="D708" s="23">
        <f t="shared" si="24"/>
        <v>263.45684487794688</v>
      </c>
    </row>
    <row r="709" spans="1:4">
      <c r="A709" s="22">
        <f t="shared" si="23"/>
        <v>707</v>
      </c>
      <c r="B709">
        <v>7070</v>
      </c>
      <c r="C709">
        <v>26186.818025206085</v>
      </c>
      <c r="D709" s="23">
        <f t="shared" si="24"/>
        <v>261.86818025206082</v>
      </c>
    </row>
    <row r="710" spans="1:4">
      <c r="A710" s="22">
        <f t="shared" si="23"/>
        <v>708</v>
      </c>
      <c r="B710">
        <v>7080</v>
      </c>
      <c r="C710">
        <v>26027.951562617483</v>
      </c>
      <c r="D710" s="23">
        <f t="shared" si="24"/>
        <v>260.27951562617483</v>
      </c>
    </row>
    <row r="711" spans="1:4">
      <c r="A711" s="22">
        <f t="shared" si="23"/>
        <v>709</v>
      </c>
      <c r="B711">
        <v>7090</v>
      </c>
      <c r="C711">
        <v>25869.085100028882</v>
      </c>
      <c r="D711" s="23">
        <f t="shared" si="24"/>
        <v>258.69085100028883</v>
      </c>
    </row>
    <row r="712" spans="1:4">
      <c r="A712" s="22">
        <f t="shared" si="23"/>
        <v>710</v>
      </c>
      <c r="B712">
        <v>7100</v>
      </c>
      <c r="C712">
        <v>25710.218637440281</v>
      </c>
      <c r="D712" s="23">
        <f t="shared" si="24"/>
        <v>257.10218637440283</v>
      </c>
    </row>
    <row r="713" spans="1:4">
      <c r="A713" s="22">
        <f t="shared" si="23"/>
        <v>711</v>
      </c>
      <c r="B713">
        <v>7110</v>
      </c>
      <c r="C713">
        <v>25551.35217485168</v>
      </c>
      <c r="D713" s="23">
        <f t="shared" si="24"/>
        <v>255.51352174851681</v>
      </c>
    </row>
    <row r="714" spans="1:4">
      <c r="A714" s="22">
        <f t="shared" si="23"/>
        <v>712</v>
      </c>
      <c r="B714">
        <v>7120</v>
      </c>
      <c r="C714">
        <v>25392.485712263078</v>
      </c>
      <c r="D714" s="23">
        <f t="shared" si="24"/>
        <v>253.92485712263078</v>
      </c>
    </row>
    <row r="715" spans="1:4">
      <c r="A715" s="22">
        <f t="shared" si="23"/>
        <v>713</v>
      </c>
      <c r="B715">
        <v>7130</v>
      </c>
      <c r="C715">
        <v>25233.619249674477</v>
      </c>
      <c r="D715" s="23">
        <f t="shared" si="24"/>
        <v>252.33619249674476</v>
      </c>
    </row>
    <row r="716" spans="1:4">
      <c r="A716" s="22">
        <f t="shared" si="23"/>
        <v>714</v>
      </c>
      <c r="B716">
        <v>7140</v>
      </c>
      <c r="C716">
        <v>25074.752787085876</v>
      </c>
      <c r="D716" s="23">
        <f t="shared" si="24"/>
        <v>250.74752787085876</v>
      </c>
    </row>
    <row r="717" spans="1:4">
      <c r="A717" s="22">
        <f t="shared" si="23"/>
        <v>715</v>
      </c>
      <c r="B717">
        <v>7150</v>
      </c>
      <c r="C717">
        <v>24915.886324497274</v>
      </c>
      <c r="D717" s="23">
        <f t="shared" si="24"/>
        <v>249.15886324497274</v>
      </c>
    </row>
    <row r="718" spans="1:4">
      <c r="A718" s="22">
        <f t="shared" si="23"/>
        <v>716</v>
      </c>
      <c r="B718">
        <v>7160</v>
      </c>
      <c r="C718">
        <v>24757.019861908673</v>
      </c>
      <c r="D718" s="23">
        <f t="shared" si="24"/>
        <v>247.57019861908674</v>
      </c>
    </row>
    <row r="719" spans="1:4">
      <c r="A719" s="22">
        <f t="shared" si="23"/>
        <v>717</v>
      </c>
      <c r="B719">
        <v>7170</v>
      </c>
      <c r="C719">
        <v>24598.153399320072</v>
      </c>
      <c r="D719" s="23">
        <f t="shared" si="24"/>
        <v>245.98153399320071</v>
      </c>
    </row>
    <row r="720" spans="1:4">
      <c r="A720" s="22">
        <f t="shared" si="23"/>
        <v>718</v>
      </c>
      <c r="B720">
        <v>7180</v>
      </c>
      <c r="C720">
        <v>24439.286936731471</v>
      </c>
      <c r="D720" s="23">
        <f t="shared" si="24"/>
        <v>244.39286936731472</v>
      </c>
    </row>
    <row r="721" spans="1:4">
      <c r="A721" s="22">
        <f t="shared" si="23"/>
        <v>719</v>
      </c>
      <c r="B721">
        <v>7190</v>
      </c>
      <c r="C721">
        <v>24280.420474142869</v>
      </c>
      <c r="D721" s="23">
        <f t="shared" si="24"/>
        <v>242.80420474142869</v>
      </c>
    </row>
    <row r="722" spans="1:4">
      <c r="A722" s="22">
        <f t="shared" si="23"/>
        <v>720</v>
      </c>
      <c r="B722">
        <v>7200</v>
      </c>
      <c r="C722">
        <v>24121.554011554268</v>
      </c>
      <c r="D722" s="23">
        <f t="shared" si="24"/>
        <v>241.21554011554269</v>
      </c>
    </row>
    <row r="723" spans="1:4">
      <c r="A723" s="22">
        <f t="shared" si="23"/>
        <v>721</v>
      </c>
      <c r="B723">
        <v>7210</v>
      </c>
      <c r="C723">
        <v>23962.687548965667</v>
      </c>
      <c r="D723" s="23">
        <f t="shared" si="24"/>
        <v>239.62687548965667</v>
      </c>
    </row>
    <row r="724" spans="1:4">
      <c r="A724" s="22">
        <f t="shared" si="23"/>
        <v>722</v>
      </c>
      <c r="B724">
        <v>7220</v>
      </c>
      <c r="C724">
        <v>23803.821086377066</v>
      </c>
      <c r="D724" s="23">
        <f t="shared" si="24"/>
        <v>238.03821086377064</v>
      </c>
    </row>
    <row r="725" spans="1:4">
      <c r="A725" s="22">
        <f t="shared" si="23"/>
        <v>723</v>
      </c>
      <c r="B725">
        <v>7230</v>
      </c>
      <c r="C725">
        <v>23644.954623788464</v>
      </c>
      <c r="D725" s="23">
        <f t="shared" si="24"/>
        <v>236.44954623788465</v>
      </c>
    </row>
    <row r="726" spans="1:4">
      <c r="A726" s="22">
        <f t="shared" si="23"/>
        <v>724</v>
      </c>
      <c r="B726">
        <v>7240</v>
      </c>
      <c r="C726">
        <v>23486.088161199863</v>
      </c>
      <c r="D726" s="23">
        <f t="shared" si="24"/>
        <v>234.86088161199862</v>
      </c>
    </row>
    <row r="727" spans="1:4">
      <c r="A727" s="22">
        <f t="shared" si="23"/>
        <v>725</v>
      </c>
      <c r="B727">
        <v>7250</v>
      </c>
      <c r="C727">
        <v>23327.221698611262</v>
      </c>
      <c r="D727" s="23">
        <f t="shared" si="24"/>
        <v>233.27221698611262</v>
      </c>
    </row>
    <row r="728" spans="1:4">
      <c r="A728" s="22">
        <f t="shared" si="23"/>
        <v>726</v>
      </c>
      <c r="B728">
        <v>7260</v>
      </c>
      <c r="C728">
        <v>23168.35523602266</v>
      </c>
      <c r="D728" s="23">
        <f t="shared" si="24"/>
        <v>231.6835523602266</v>
      </c>
    </row>
    <row r="729" spans="1:4">
      <c r="A729" s="22">
        <f t="shared" si="23"/>
        <v>727</v>
      </c>
      <c r="B729">
        <v>7270</v>
      </c>
      <c r="C729">
        <v>23009.488773434059</v>
      </c>
      <c r="D729" s="23">
        <f t="shared" si="24"/>
        <v>230.0948877343406</v>
      </c>
    </row>
    <row r="730" spans="1:4">
      <c r="A730" s="22">
        <f t="shared" si="23"/>
        <v>728</v>
      </c>
      <c r="B730">
        <v>7280</v>
      </c>
      <c r="C730">
        <v>22850.622310845458</v>
      </c>
      <c r="D730" s="23">
        <f t="shared" si="24"/>
        <v>228.50622310845458</v>
      </c>
    </row>
    <row r="731" spans="1:4">
      <c r="A731" s="22">
        <f t="shared" si="23"/>
        <v>729</v>
      </c>
      <c r="B731">
        <v>7290</v>
      </c>
      <c r="C731">
        <v>22691.755848256857</v>
      </c>
      <c r="D731" s="23">
        <f t="shared" si="24"/>
        <v>226.91755848256855</v>
      </c>
    </row>
    <row r="732" spans="1:4">
      <c r="A732" s="22">
        <f t="shared" si="23"/>
        <v>730</v>
      </c>
      <c r="B732">
        <v>7300</v>
      </c>
      <c r="C732">
        <v>22532.889385668255</v>
      </c>
      <c r="D732" s="23">
        <f t="shared" si="24"/>
        <v>225.32889385668255</v>
      </c>
    </row>
    <row r="733" spans="1:4">
      <c r="A733" s="22">
        <f t="shared" si="23"/>
        <v>731</v>
      </c>
      <c r="B733">
        <v>7310</v>
      </c>
      <c r="C733">
        <v>22374.022923079654</v>
      </c>
      <c r="D733" s="23">
        <f t="shared" si="24"/>
        <v>223.74022923079653</v>
      </c>
    </row>
    <row r="734" spans="1:4">
      <c r="A734" s="22">
        <f t="shared" si="23"/>
        <v>732</v>
      </c>
      <c r="B734">
        <v>7320</v>
      </c>
      <c r="C734">
        <v>22215.156460491053</v>
      </c>
      <c r="D734" s="23">
        <f t="shared" si="24"/>
        <v>222.15156460491053</v>
      </c>
    </row>
    <row r="735" spans="1:4">
      <c r="A735" s="22">
        <f t="shared" si="23"/>
        <v>733</v>
      </c>
      <c r="B735">
        <v>7330</v>
      </c>
      <c r="C735">
        <v>22056.289997902451</v>
      </c>
      <c r="D735" s="23">
        <f t="shared" si="24"/>
        <v>220.56289997902451</v>
      </c>
    </row>
    <row r="736" spans="1:4">
      <c r="A736" s="22">
        <f t="shared" si="23"/>
        <v>734</v>
      </c>
      <c r="B736">
        <v>7340</v>
      </c>
      <c r="C736">
        <v>21897.42353531385</v>
      </c>
      <c r="D736" s="23">
        <f t="shared" si="24"/>
        <v>218.97423535313851</v>
      </c>
    </row>
    <row r="737" spans="1:4">
      <c r="A737" s="22">
        <f t="shared" si="23"/>
        <v>735</v>
      </c>
      <c r="B737">
        <v>7350</v>
      </c>
      <c r="C737">
        <v>21738.557072725249</v>
      </c>
      <c r="D737" s="23">
        <f t="shared" si="24"/>
        <v>217.38557072725249</v>
      </c>
    </row>
    <row r="738" spans="1:4">
      <c r="A738" s="22">
        <f t="shared" si="23"/>
        <v>736</v>
      </c>
      <c r="B738">
        <v>7360</v>
      </c>
      <c r="C738">
        <v>21579.690610136648</v>
      </c>
      <c r="D738" s="23">
        <f t="shared" si="24"/>
        <v>215.79690610136649</v>
      </c>
    </row>
    <row r="739" spans="1:4">
      <c r="A739" s="22">
        <f t="shared" si="23"/>
        <v>737</v>
      </c>
      <c r="B739">
        <v>7370</v>
      </c>
      <c r="C739">
        <v>21420.824147548046</v>
      </c>
      <c r="D739" s="23">
        <f t="shared" si="24"/>
        <v>214.20824147548046</v>
      </c>
    </row>
    <row r="740" spans="1:4">
      <c r="A740" s="22">
        <f t="shared" si="23"/>
        <v>738</v>
      </c>
      <c r="B740">
        <v>7380</v>
      </c>
      <c r="C740">
        <v>21261.957684959445</v>
      </c>
      <c r="D740" s="23">
        <f t="shared" si="24"/>
        <v>212.61957684959444</v>
      </c>
    </row>
    <row r="741" spans="1:4">
      <c r="A741" s="22">
        <f t="shared" si="23"/>
        <v>739</v>
      </c>
      <c r="B741">
        <v>7390</v>
      </c>
      <c r="C741">
        <v>21103.091222370844</v>
      </c>
      <c r="D741" s="23">
        <f t="shared" si="24"/>
        <v>211.03091222370844</v>
      </c>
    </row>
    <row r="742" spans="1:4">
      <c r="A742" s="22">
        <f t="shared" si="23"/>
        <v>740</v>
      </c>
      <c r="B742">
        <v>7400</v>
      </c>
      <c r="C742">
        <v>20944.224759782242</v>
      </c>
      <c r="D742" s="23">
        <f t="shared" si="24"/>
        <v>209.44224759782242</v>
      </c>
    </row>
    <row r="743" spans="1:4">
      <c r="A743" s="22">
        <f t="shared" si="23"/>
        <v>741</v>
      </c>
      <c r="B743">
        <v>7410</v>
      </c>
      <c r="C743">
        <v>20785.358297193641</v>
      </c>
      <c r="D743" s="23">
        <f t="shared" si="24"/>
        <v>207.85358297193642</v>
      </c>
    </row>
    <row r="744" spans="1:4">
      <c r="A744" s="22">
        <f t="shared" si="23"/>
        <v>742</v>
      </c>
      <c r="B744">
        <v>7420</v>
      </c>
      <c r="C744">
        <v>20626.49183460504</v>
      </c>
      <c r="D744" s="23">
        <f t="shared" si="24"/>
        <v>206.26491834605039</v>
      </c>
    </row>
    <row r="745" spans="1:4">
      <c r="A745" s="22">
        <f t="shared" si="23"/>
        <v>743</v>
      </c>
      <c r="B745">
        <v>7430</v>
      </c>
      <c r="C745">
        <v>20467.625372016439</v>
      </c>
      <c r="D745" s="23">
        <f t="shared" si="24"/>
        <v>204.6762537201644</v>
      </c>
    </row>
    <row r="746" spans="1:4">
      <c r="A746" s="22">
        <f t="shared" si="23"/>
        <v>744</v>
      </c>
      <c r="B746">
        <v>7440</v>
      </c>
      <c r="C746">
        <v>20308.758909427837</v>
      </c>
      <c r="D746" s="23">
        <f t="shared" si="24"/>
        <v>203.08758909427837</v>
      </c>
    </row>
    <row r="747" spans="1:4">
      <c r="A747" s="22">
        <f t="shared" si="23"/>
        <v>745</v>
      </c>
      <c r="B747">
        <v>7450</v>
      </c>
      <c r="C747">
        <v>20149.892446839236</v>
      </c>
      <c r="D747" s="23">
        <f t="shared" si="24"/>
        <v>201.49892446839237</v>
      </c>
    </row>
    <row r="748" spans="1:4">
      <c r="A748" s="22">
        <f t="shared" si="23"/>
        <v>746</v>
      </c>
      <c r="B748">
        <v>7460</v>
      </c>
      <c r="C748">
        <v>19991.025984250635</v>
      </c>
      <c r="D748" s="23">
        <f t="shared" si="24"/>
        <v>199.91025984250635</v>
      </c>
    </row>
    <row r="749" spans="1:4">
      <c r="A749" s="22">
        <f t="shared" si="23"/>
        <v>747</v>
      </c>
      <c r="B749">
        <v>7470</v>
      </c>
      <c r="C749">
        <v>19832.159521662034</v>
      </c>
      <c r="D749" s="23">
        <f t="shared" si="24"/>
        <v>198.32159521662032</v>
      </c>
    </row>
    <row r="750" spans="1:4">
      <c r="A750" s="22">
        <f t="shared" si="23"/>
        <v>748</v>
      </c>
      <c r="B750">
        <v>7480</v>
      </c>
      <c r="C750">
        <v>19673.293059073432</v>
      </c>
      <c r="D750" s="23">
        <f t="shared" si="24"/>
        <v>196.73293059073433</v>
      </c>
    </row>
    <row r="751" spans="1:4">
      <c r="A751" s="22">
        <f t="shared" si="23"/>
        <v>749</v>
      </c>
      <c r="B751">
        <v>7490</v>
      </c>
      <c r="C751">
        <v>19514.426596484831</v>
      </c>
      <c r="D751" s="23">
        <f t="shared" si="24"/>
        <v>195.1442659648483</v>
      </c>
    </row>
    <row r="752" spans="1:4">
      <c r="A752" s="22">
        <f t="shared" si="23"/>
        <v>750</v>
      </c>
      <c r="B752">
        <v>7500</v>
      </c>
      <c r="C752">
        <v>19355.56013389623</v>
      </c>
      <c r="D752" s="23">
        <f t="shared" si="24"/>
        <v>193.5556013389623</v>
      </c>
    </row>
    <row r="753" spans="1:4">
      <c r="A753" s="22">
        <f t="shared" si="23"/>
        <v>751</v>
      </c>
      <c r="B753">
        <v>7510</v>
      </c>
      <c r="C753">
        <v>19196.693671307628</v>
      </c>
      <c r="D753" s="23">
        <f t="shared" si="24"/>
        <v>191.96693671307628</v>
      </c>
    </row>
    <row r="754" spans="1:4">
      <c r="A754" s="22">
        <f t="shared" si="23"/>
        <v>752</v>
      </c>
      <c r="B754">
        <v>7520</v>
      </c>
      <c r="C754">
        <v>19037.827208719027</v>
      </c>
      <c r="D754" s="23">
        <f t="shared" si="24"/>
        <v>190.37827208719028</v>
      </c>
    </row>
    <row r="755" spans="1:4">
      <c r="A755" s="22">
        <f t="shared" si="23"/>
        <v>753</v>
      </c>
      <c r="B755">
        <v>7530</v>
      </c>
      <c r="C755">
        <v>18878.960746130426</v>
      </c>
      <c r="D755" s="23">
        <f t="shared" si="24"/>
        <v>188.78960746130426</v>
      </c>
    </row>
    <row r="756" spans="1:4">
      <c r="A756" s="22">
        <f t="shared" si="23"/>
        <v>754</v>
      </c>
      <c r="B756">
        <v>7540</v>
      </c>
      <c r="C756">
        <v>18720.094283541825</v>
      </c>
      <c r="D756" s="23">
        <f t="shared" si="24"/>
        <v>187.20094283541823</v>
      </c>
    </row>
    <row r="757" spans="1:4">
      <c r="A757" s="22">
        <f t="shared" si="23"/>
        <v>755</v>
      </c>
      <c r="B757">
        <v>7550</v>
      </c>
      <c r="C757">
        <v>18561.227820953223</v>
      </c>
      <c r="D757" s="23">
        <f t="shared" si="24"/>
        <v>185.61227820953223</v>
      </c>
    </row>
    <row r="758" spans="1:4">
      <c r="A758" s="22">
        <f t="shared" si="23"/>
        <v>756</v>
      </c>
      <c r="B758">
        <v>7560</v>
      </c>
      <c r="C758">
        <v>18402.361358364622</v>
      </c>
      <c r="D758" s="23">
        <f t="shared" si="24"/>
        <v>184.02361358364621</v>
      </c>
    </row>
    <row r="759" spans="1:4">
      <c r="A759" s="22">
        <f t="shared" si="23"/>
        <v>757</v>
      </c>
      <c r="B759">
        <v>7570</v>
      </c>
      <c r="C759">
        <v>18243.494895776021</v>
      </c>
      <c r="D759" s="23">
        <f t="shared" si="24"/>
        <v>182.43494895776021</v>
      </c>
    </row>
    <row r="760" spans="1:4">
      <c r="A760" s="22">
        <f t="shared" si="23"/>
        <v>758</v>
      </c>
      <c r="B760">
        <v>7580</v>
      </c>
      <c r="C760">
        <v>18084.628433187419</v>
      </c>
      <c r="D760" s="23">
        <f t="shared" si="24"/>
        <v>180.84628433187419</v>
      </c>
    </row>
    <row r="761" spans="1:4">
      <c r="A761" s="22">
        <f t="shared" si="23"/>
        <v>759</v>
      </c>
      <c r="B761">
        <v>7590</v>
      </c>
      <c r="C761">
        <v>17925.761970598818</v>
      </c>
      <c r="D761" s="23">
        <f t="shared" si="24"/>
        <v>179.25761970598819</v>
      </c>
    </row>
    <row r="762" spans="1:4">
      <c r="A762" s="22">
        <f t="shared" si="23"/>
        <v>760</v>
      </c>
      <c r="B762">
        <v>7600</v>
      </c>
      <c r="C762">
        <v>17766.895508010217</v>
      </c>
      <c r="D762" s="23">
        <f t="shared" si="24"/>
        <v>177.66895508010217</v>
      </c>
    </row>
    <row r="763" spans="1:4">
      <c r="A763" s="22">
        <f t="shared" si="23"/>
        <v>761</v>
      </c>
      <c r="B763">
        <v>7610</v>
      </c>
      <c r="C763">
        <v>17608.029045421616</v>
      </c>
      <c r="D763" s="23">
        <f t="shared" si="24"/>
        <v>176.08029045421617</v>
      </c>
    </row>
    <row r="764" spans="1:4">
      <c r="A764" s="22">
        <f t="shared" si="23"/>
        <v>762</v>
      </c>
      <c r="B764">
        <v>7620</v>
      </c>
      <c r="C764">
        <v>17449.162582833014</v>
      </c>
      <c r="D764" s="23">
        <f t="shared" si="24"/>
        <v>174.49162582833014</v>
      </c>
    </row>
    <row r="765" spans="1:4">
      <c r="A765" s="22">
        <f t="shared" si="23"/>
        <v>763</v>
      </c>
      <c r="B765">
        <v>7630</v>
      </c>
      <c r="C765">
        <v>17290.296120244413</v>
      </c>
      <c r="D765" s="23">
        <f t="shared" si="24"/>
        <v>172.90296120244412</v>
      </c>
    </row>
    <row r="766" spans="1:4">
      <c r="A766" s="22">
        <f t="shared" si="23"/>
        <v>764</v>
      </c>
      <c r="B766">
        <v>7640</v>
      </c>
      <c r="C766">
        <v>17131.429657655812</v>
      </c>
      <c r="D766" s="23">
        <f t="shared" si="24"/>
        <v>171.31429657655812</v>
      </c>
    </row>
    <row r="767" spans="1:4">
      <c r="A767" s="22">
        <f t="shared" si="23"/>
        <v>765</v>
      </c>
      <c r="B767">
        <v>7650</v>
      </c>
      <c r="C767">
        <v>16972.56319506721</v>
      </c>
      <c r="D767" s="23">
        <f t="shared" si="24"/>
        <v>169.7256319506721</v>
      </c>
    </row>
    <row r="768" spans="1:4">
      <c r="A768" s="22">
        <f t="shared" si="23"/>
        <v>766</v>
      </c>
      <c r="B768">
        <v>7660</v>
      </c>
      <c r="C768">
        <v>16813.696732478609</v>
      </c>
      <c r="D768" s="23">
        <f t="shared" si="24"/>
        <v>168.1369673247861</v>
      </c>
    </row>
    <row r="769" spans="1:4">
      <c r="A769" s="22">
        <f t="shared" si="23"/>
        <v>767</v>
      </c>
      <c r="B769">
        <v>7670</v>
      </c>
      <c r="C769">
        <v>16654.830269890008</v>
      </c>
      <c r="D769" s="23">
        <f t="shared" si="24"/>
        <v>166.54830269890007</v>
      </c>
    </row>
    <row r="770" spans="1:4">
      <c r="A770" s="22">
        <f t="shared" si="23"/>
        <v>768</v>
      </c>
      <c r="B770">
        <v>7680</v>
      </c>
      <c r="C770">
        <v>16495.963807301407</v>
      </c>
      <c r="D770" s="23">
        <f t="shared" si="24"/>
        <v>164.95963807301408</v>
      </c>
    </row>
    <row r="771" spans="1:4">
      <c r="A771" s="22">
        <f t="shared" ref="A771:A834" si="25">B771/10</f>
        <v>769</v>
      </c>
      <c r="B771">
        <v>7690</v>
      </c>
      <c r="C771">
        <v>16337.097344712807</v>
      </c>
      <c r="D771" s="23">
        <f t="shared" ref="D771:D834" si="26">C771/100</f>
        <v>163.37097344712808</v>
      </c>
    </row>
    <row r="772" spans="1:4">
      <c r="A772" s="22">
        <f t="shared" si="25"/>
        <v>770</v>
      </c>
      <c r="B772">
        <v>7700</v>
      </c>
      <c r="C772">
        <v>16178.230882124208</v>
      </c>
      <c r="D772" s="23">
        <f t="shared" si="26"/>
        <v>161.78230882124208</v>
      </c>
    </row>
    <row r="773" spans="1:4">
      <c r="A773" s="22">
        <f t="shared" si="25"/>
        <v>771</v>
      </c>
      <c r="B773">
        <v>7710</v>
      </c>
      <c r="C773">
        <v>16019.364419535608</v>
      </c>
      <c r="D773" s="23">
        <f t="shared" si="26"/>
        <v>160.19364419535609</v>
      </c>
    </row>
    <row r="774" spans="1:4">
      <c r="A774" s="22">
        <f t="shared" si="25"/>
        <v>772</v>
      </c>
      <c r="B774">
        <v>7720</v>
      </c>
      <c r="C774">
        <v>15860.497956947009</v>
      </c>
      <c r="D774" s="23">
        <f t="shared" si="26"/>
        <v>158.60497956947009</v>
      </c>
    </row>
    <row r="775" spans="1:4">
      <c r="A775" s="22">
        <f t="shared" si="25"/>
        <v>773</v>
      </c>
      <c r="B775">
        <v>7730</v>
      </c>
      <c r="C775">
        <v>15701.631494358409</v>
      </c>
      <c r="D775" s="23">
        <f t="shared" si="26"/>
        <v>157.01631494358409</v>
      </c>
    </row>
    <row r="776" spans="1:4">
      <c r="A776" s="22">
        <f t="shared" si="25"/>
        <v>774</v>
      </c>
      <c r="B776">
        <v>7740</v>
      </c>
      <c r="C776">
        <v>15542.76503176981</v>
      </c>
      <c r="D776" s="23">
        <f t="shared" si="26"/>
        <v>155.4276503176981</v>
      </c>
    </row>
    <row r="777" spans="1:4">
      <c r="A777" s="22">
        <f t="shared" si="25"/>
        <v>775</v>
      </c>
      <c r="B777">
        <v>7750</v>
      </c>
      <c r="C777">
        <v>15383.89856918121</v>
      </c>
      <c r="D777" s="23">
        <f t="shared" si="26"/>
        <v>153.8389856918121</v>
      </c>
    </row>
    <row r="778" spans="1:4">
      <c r="A778" s="22">
        <f t="shared" si="25"/>
        <v>776</v>
      </c>
      <c r="B778">
        <v>7760</v>
      </c>
      <c r="C778">
        <v>15225.032106592611</v>
      </c>
      <c r="D778" s="23">
        <f t="shared" si="26"/>
        <v>152.2503210659261</v>
      </c>
    </row>
    <row r="779" spans="1:4">
      <c r="A779" s="22">
        <f t="shared" si="25"/>
        <v>777</v>
      </c>
      <c r="B779">
        <v>7770</v>
      </c>
      <c r="C779">
        <v>15066.165644004011</v>
      </c>
      <c r="D779" s="23">
        <f t="shared" si="26"/>
        <v>150.6616564400401</v>
      </c>
    </row>
    <row r="780" spans="1:4">
      <c r="A780" s="22">
        <f t="shared" si="25"/>
        <v>778</v>
      </c>
      <c r="B780">
        <v>7780</v>
      </c>
      <c r="C780">
        <v>14907.299181415412</v>
      </c>
      <c r="D780" s="23">
        <f t="shared" si="26"/>
        <v>149.07299181415411</v>
      </c>
    </row>
    <row r="781" spans="1:4">
      <c r="A781" s="22">
        <f t="shared" si="25"/>
        <v>779</v>
      </c>
      <c r="B781">
        <v>7790</v>
      </c>
      <c r="C781">
        <v>14748.432718826813</v>
      </c>
      <c r="D781" s="23">
        <f t="shared" si="26"/>
        <v>147.48432718826814</v>
      </c>
    </row>
    <row r="782" spans="1:4">
      <c r="A782" s="22">
        <f t="shared" si="25"/>
        <v>780</v>
      </c>
      <c r="B782">
        <v>7800</v>
      </c>
      <c r="C782">
        <v>14589.566256238213</v>
      </c>
      <c r="D782" s="23">
        <f t="shared" si="26"/>
        <v>145.89566256238214</v>
      </c>
    </row>
    <row r="783" spans="1:4">
      <c r="A783" s="22">
        <f t="shared" si="25"/>
        <v>781</v>
      </c>
      <c r="B783">
        <v>7810</v>
      </c>
      <c r="C783">
        <v>14430.699793649614</v>
      </c>
      <c r="D783" s="23">
        <f t="shared" si="26"/>
        <v>144.30699793649615</v>
      </c>
    </row>
    <row r="784" spans="1:4">
      <c r="A784" s="22">
        <f t="shared" si="25"/>
        <v>782</v>
      </c>
      <c r="B784">
        <v>7820</v>
      </c>
      <c r="C784">
        <v>14271.833331061014</v>
      </c>
      <c r="D784" s="23">
        <f t="shared" si="26"/>
        <v>142.71833331061015</v>
      </c>
    </row>
    <row r="785" spans="1:4">
      <c r="A785" s="22">
        <f t="shared" si="25"/>
        <v>783</v>
      </c>
      <c r="B785">
        <v>7830</v>
      </c>
      <c r="C785">
        <v>14112.966868472415</v>
      </c>
      <c r="D785" s="23">
        <f t="shared" si="26"/>
        <v>141.12966868472415</v>
      </c>
    </row>
    <row r="786" spans="1:4">
      <c r="A786" s="22">
        <f t="shared" si="25"/>
        <v>784</v>
      </c>
      <c r="B786">
        <v>7840</v>
      </c>
      <c r="C786">
        <v>13954.100405883815</v>
      </c>
      <c r="D786" s="23">
        <f t="shared" si="26"/>
        <v>139.54100405883815</v>
      </c>
    </row>
    <row r="787" spans="1:4">
      <c r="A787" s="22">
        <f t="shared" si="25"/>
        <v>785</v>
      </c>
      <c r="B787">
        <v>7850</v>
      </c>
      <c r="C787">
        <v>13795.233943295216</v>
      </c>
      <c r="D787" s="23">
        <f t="shared" si="26"/>
        <v>137.95233943295216</v>
      </c>
    </row>
    <row r="788" spans="1:4">
      <c r="A788" s="22">
        <f t="shared" si="25"/>
        <v>786</v>
      </c>
      <c r="B788">
        <v>7860</v>
      </c>
      <c r="C788">
        <v>13636.367480706616</v>
      </c>
      <c r="D788" s="23">
        <f t="shared" si="26"/>
        <v>136.36367480706616</v>
      </c>
    </row>
    <row r="789" spans="1:4">
      <c r="A789" s="22">
        <f t="shared" si="25"/>
        <v>787</v>
      </c>
      <c r="B789">
        <v>7870</v>
      </c>
      <c r="C789">
        <v>13477.501018118017</v>
      </c>
      <c r="D789" s="23">
        <f t="shared" si="26"/>
        <v>134.77501018118016</v>
      </c>
    </row>
    <row r="790" spans="1:4">
      <c r="A790" s="22">
        <f t="shared" si="25"/>
        <v>788</v>
      </c>
      <c r="B790">
        <v>7880</v>
      </c>
      <c r="C790">
        <v>13318.634555529417</v>
      </c>
      <c r="D790" s="23">
        <f t="shared" si="26"/>
        <v>133.18634555529417</v>
      </c>
    </row>
    <row r="791" spans="1:4">
      <c r="A791" s="22">
        <f t="shared" si="25"/>
        <v>789</v>
      </c>
      <c r="B791">
        <v>7890</v>
      </c>
      <c r="C791">
        <v>13159.768092940818</v>
      </c>
      <c r="D791" s="23">
        <f t="shared" si="26"/>
        <v>131.59768092940817</v>
      </c>
    </row>
    <row r="792" spans="1:4">
      <c r="A792" s="22">
        <f t="shared" si="25"/>
        <v>790</v>
      </c>
      <c r="B792">
        <v>7900</v>
      </c>
      <c r="C792">
        <v>13000.901630352218</v>
      </c>
      <c r="D792" s="23">
        <f t="shared" si="26"/>
        <v>130.00901630352217</v>
      </c>
    </row>
    <row r="793" spans="1:4">
      <c r="A793" s="22">
        <f t="shared" si="25"/>
        <v>791</v>
      </c>
      <c r="B793">
        <v>7910</v>
      </c>
      <c r="C793">
        <v>12842.035167763619</v>
      </c>
      <c r="D793" s="23">
        <f t="shared" si="26"/>
        <v>128.42035167763618</v>
      </c>
    </row>
    <row r="794" spans="1:4">
      <c r="A794" s="22">
        <f t="shared" si="25"/>
        <v>792</v>
      </c>
      <c r="B794">
        <v>7920</v>
      </c>
      <c r="C794">
        <v>12683.16870517502</v>
      </c>
      <c r="D794" s="23">
        <f t="shared" si="26"/>
        <v>126.83168705175019</v>
      </c>
    </row>
    <row r="795" spans="1:4">
      <c r="A795" s="22">
        <f t="shared" si="25"/>
        <v>793</v>
      </c>
      <c r="B795">
        <v>7930</v>
      </c>
      <c r="C795">
        <v>12524.30224258642</v>
      </c>
      <c r="D795" s="23">
        <f t="shared" si="26"/>
        <v>125.2430224258642</v>
      </c>
    </row>
    <row r="796" spans="1:4">
      <c r="A796" s="22">
        <f t="shared" si="25"/>
        <v>794</v>
      </c>
      <c r="B796">
        <v>7940</v>
      </c>
      <c r="C796">
        <v>12365.435779997821</v>
      </c>
      <c r="D796" s="23">
        <f t="shared" si="26"/>
        <v>123.6543577999782</v>
      </c>
    </row>
    <row r="797" spans="1:4">
      <c r="A797" s="22">
        <f t="shared" si="25"/>
        <v>795</v>
      </c>
      <c r="B797">
        <v>7950</v>
      </c>
      <c r="C797">
        <v>12206.569317409221</v>
      </c>
      <c r="D797" s="23">
        <f t="shared" si="26"/>
        <v>122.06569317409222</v>
      </c>
    </row>
    <row r="798" spans="1:4">
      <c r="A798" s="22">
        <f t="shared" si="25"/>
        <v>796</v>
      </c>
      <c r="B798">
        <v>7960</v>
      </c>
      <c r="C798">
        <v>12047.702854820622</v>
      </c>
      <c r="D798" s="23">
        <f t="shared" si="26"/>
        <v>120.47702854820622</v>
      </c>
    </row>
    <row r="799" spans="1:4">
      <c r="A799" s="22">
        <f t="shared" si="25"/>
        <v>797</v>
      </c>
      <c r="B799">
        <v>7970</v>
      </c>
      <c r="C799">
        <v>11888.836392232022</v>
      </c>
      <c r="D799" s="23">
        <f t="shared" si="26"/>
        <v>118.88836392232022</v>
      </c>
    </row>
    <row r="800" spans="1:4">
      <c r="A800" s="22">
        <f t="shared" si="25"/>
        <v>798</v>
      </c>
      <c r="B800">
        <v>7980</v>
      </c>
      <c r="C800">
        <v>11729.969929643423</v>
      </c>
      <c r="D800" s="23">
        <f t="shared" si="26"/>
        <v>117.29969929643423</v>
      </c>
    </row>
    <row r="801" spans="1:4">
      <c r="A801" s="22">
        <f t="shared" si="25"/>
        <v>799</v>
      </c>
      <c r="B801">
        <v>7990</v>
      </c>
      <c r="C801">
        <v>11571.103467054823</v>
      </c>
      <c r="D801" s="23">
        <f t="shared" si="26"/>
        <v>115.71103467054823</v>
      </c>
    </row>
    <row r="802" spans="1:4">
      <c r="A802" s="22">
        <f t="shared" si="25"/>
        <v>800</v>
      </c>
      <c r="B802">
        <v>8000</v>
      </c>
      <c r="C802">
        <v>11412.237004466224</v>
      </c>
      <c r="D802" s="23">
        <f t="shared" si="26"/>
        <v>114.12237004466223</v>
      </c>
    </row>
    <row r="803" spans="1:4">
      <c r="A803" s="22">
        <f t="shared" si="25"/>
        <v>801</v>
      </c>
      <c r="B803">
        <v>8010</v>
      </c>
      <c r="C803">
        <v>11253.370541877624</v>
      </c>
      <c r="D803" s="23">
        <f t="shared" si="26"/>
        <v>112.53370541877625</v>
      </c>
    </row>
    <row r="804" spans="1:4">
      <c r="A804" s="22">
        <f t="shared" si="25"/>
        <v>802</v>
      </c>
      <c r="B804">
        <v>8020</v>
      </c>
      <c r="C804">
        <v>11094.504079289025</v>
      </c>
      <c r="D804" s="23">
        <f t="shared" si="26"/>
        <v>110.94504079289025</v>
      </c>
    </row>
    <row r="805" spans="1:4">
      <c r="A805" s="22">
        <f t="shared" si="25"/>
        <v>803</v>
      </c>
      <c r="B805">
        <v>8030</v>
      </c>
      <c r="C805">
        <v>10935.637616700425</v>
      </c>
      <c r="D805" s="23">
        <f t="shared" si="26"/>
        <v>109.35637616700426</v>
      </c>
    </row>
    <row r="806" spans="1:4">
      <c r="A806" s="22">
        <f t="shared" si="25"/>
        <v>804</v>
      </c>
      <c r="B806">
        <v>8040</v>
      </c>
      <c r="C806">
        <v>10776.771154111826</v>
      </c>
      <c r="D806" s="23">
        <f t="shared" si="26"/>
        <v>107.76771154111826</v>
      </c>
    </row>
    <row r="807" spans="1:4">
      <c r="A807" s="22">
        <f t="shared" si="25"/>
        <v>805</v>
      </c>
      <c r="B807">
        <v>8050</v>
      </c>
      <c r="C807">
        <v>10617.904691523227</v>
      </c>
      <c r="D807" s="23">
        <f t="shared" si="26"/>
        <v>106.17904691523226</v>
      </c>
    </row>
    <row r="808" spans="1:4">
      <c r="A808" s="22">
        <f t="shared" si="25"/>
        <v>806</v>
      </c>
      <c r="B808">
        <v>8060</v>
      </c>
      <c r="C808">
        <v>10459.038228934627</v>
      </c>
      <c r="D808" s="23">
        <f t="shared" si="26"/>
        <v>104.59038228934627</v>
      </c>
    </row>
    <row r="809" spans="1:4">
      <c r="A809" s="22">
        <f t="shared" si="25"/>
        <v>807</v>
      </c>
      <c r="B809">
        <v>8070</v>
      </c>
      <c r="C809">
        <v>10300.171766346028</v>
      </c>
      <c r="D809" s="23">
        <f t="shared" si="26"/>
        <v>103.00171766346028</v>
      </c>
    </row>
    <row r="810" spans="1:4">
      <c r="A810" s="22">
        <f t="shared" si="25"/>
        <v>808</v>
      </c>
      <c r="B810">
        <v>8080</v>
      </c>
      <c r="C810">
        <v>10141.305303757428</v>
      </c>
      <c r="D810" s="23">
        <f t="shared" si="26"/>
        <v>101.41305303757429</v>
      </c>
    </row>
    <row r="811" spans="1:4">
      <c r="A811" s="22">
        <f t="shared" si="25"/>
        <v>809</v>
      </c>
      <c r="B811">
        <v>8090</v>
      </c>
      <c r="C811">
        <v>9982.4388411688287</v>
      </c>
      <c r="D811" s="23">
        <f t="shared" si="26"/>
        <v>99.82438841168829</v>
      </c>
    </row>
    <row r="812" spans="1:4">
      <c r="A812" s="22">
        <f t="shared" si="25"/>
        <v>810</v>
      </c>
      <c r="B812">
        <v>8100</v>
      </c>
      <c r="C812">
        <v>9823.5723785802293</v>
      </c>
      <c r="D812" s="23">
        <f t="shared" si="26"/>
        <v>98.235723785802293</v>
      </c>
    </row>
    <row r="813" spans="1:4">
      <c r="A813" s="22">
        <f t="shared" si="25"/>
        <v>811</v>
      </c>
      <c r="B813">
        <v>8110</v>
      </c>
      <c r="C813">
        <v>9664.7059159916298</v>
      </c>
      <c r="D813" s="23">
        <f t="shared" si="26"/>
        <v>96.647059159916296</v>
      </c>
    </row>
    <row r="814" spans="1:4">
      <c r="A814" s="22">
        <f t="shared" si="25"/>
        <v>812</v>
      </c>
      <c r="B814">
        <v>8120</v>
      </c>
      <c r="C814">
        <v>9505.8394534030303</v>
      </c>
      <c r="D814" s="23">
        <f t="shared" si="26"/>
        <v>95.058394534030299</v>
      </c>
    </row>
    <row r="815" spans="1:4">
      <c r="A815" s="22">
        <f t="shared" si="25"/>
        <v>813</v>
      </c>
      <c r="B815">
        <v>8130</v>
      </c>
      <c r="C815">
        <v>9346.9729908144309</v>
      </c>
      <c r="D815" s="23">
        <f t="shared" si="26"/>
        <v>93.469729908144302</v>
      </c>
    </row>
    <row r="816" spans="1:4">
      <c r="A816" s="22">
        <f t="shared" si="25"/>
        <v>814</v>
      </c>
      <c r="B816">
        <v>8140</v>
      </c>
      <c r="C816">
        <v>9188.1065282258314</v>
      </c>
      <c r="D816" s="23">
        <f t="shared" si="26"/>
        <v>91.881065282258319</v>
      </c>
    </row>
    <row r="817" spans="1:4">
      <c r="A817" s="22">
        <f t="shared" si="25"/>
        <v>815</v>
      </c>
      <c r="B817">
        <v>8150</v>
      </c>
      <c r="C817">
        <v>9029.240065637232</v>
      </c>
      <c r="D817" s="23">
        <f t="shared" si="26"/>
        <v>90.292400656372322</v>
      </c>
    </row>
    <row r="818" spans="1:4">
      <c r="A818" s="22">
        <f t="shared" si="25"/>
        <v>816</v>
      </c>
      <c r="B818">
        <v>8160</v>
      </c>
      <c r="C818">
        <v>8870.3736030486325</v>
      </c>
      <c r="D818" s="23">
        <f t="shared" si="26"/>
        <v>88.703736030486326</v>
      </c>
    </row>
    <row r="819" spans="1:4">
      <c r="A819" s="22">
        <f t="shared" si="25"/>
        <v>817</v>
      </c>
      <c r="B819">
        <v>8170</v>
      </c>
      <c r="C819">
        <v>8711.507140460033</v>
      </c>
      <c r="D819" s="23">
        <f t="shared" si="26"/>
        <v>87.115071404600329</v>
      </c>
    </row>
    <row r="820" spans="1:4">
      <c r="A820" s="22">
        <f t="shared" si="25"/>
        <v>818</v>
      </c>
      <c r="B820">
        <v>8180</v>
      </c>
      <c r="C820">
        <v>8552.6406778714336</v>
      </c>
      <c r="D820" s="23">
        <f t="shared" si="26"/>
        <v>85.526406778714332</v>
      </c>
    </row>
    <row r="821" spans="1:4">
      <c r="A821" s="22">
        <f t="shared" si="25"/>
        <v>819</v>
      </c>
      <c r="B821">
        <v>8190</v>
      </c>
      <c r="C821">
        <v>8393.7742152828341</v>
      </c>
      <c r="D821" s="23">
        <f t="shared" si="26"/>
        <v>83.937742152828335</v>
      </c>
    </row>
    <row r="822" spans="1:4">
      <c r="A822" s="22">
        <f t="shared" si="25"/>
        <v>820</v>
      </c>
      <c r="B822">
        <v>8200</v>
      </c>
      <c r="C822">
        <v>8234.9077526942347</v>
      </c>
      <c r="D822" s="23">
        <f t="shared" si="26"/>
        <v>82.349077526942352</v>
      </c>
    </row>
    <row r="823" spans="1:4">
      <c r="A823" s="22">
        <f t="shared" si="25"/>
        <v>821</v>
      </c>
      <c r="B823">
        <v>8210</v>
      </c>
      <c r="C823">
        <v>8076.0412901056343</v>
      </c>
      <c r="D823" s="23">
        <f t="shared" si="26"/>
        <v>80.760412901056341</v>
      </c>
    </row>
    <row r="824" spans="1:4">
      <c r="A824" s="22">
        <f t="shared" si="25"/>
        <v>822</v>
      </c>
      <c r="B824">
        <v>8220</v>
      </c>
      <c r="C824">
        <v>7917.1748275170339</v>
      </c>
      <c r="D824" s="23">
        <f t="shared" si="26"/>
        <v>79.171748275170344</v>
      </c>
    </row>
    <row r="825" spans="1:4">
      <c r="A825" s="22">
        <f t="shared" si="25"/>
        <v>823</v>
      </c>
      <c r="B825">
        <v>8230</v>
      </c>
      <c r="C825">
        <v>7758.3083649284335</v>
      </c>
      <c r="D825" s="23">
        <f t="shared" si="26"/>
        <v>77.583083649284333</v>
      </c>
    </row>
    <row r="826" spans="1:4">
      <c r="A826" s="22">
        <f t="shared" si="25"/>
        <v>824</v>
      </c>
      <c r="B826">
        <v>8240</v>
      </c>
      <c r="C826">
        <v>7599.4419023398332</v>
      </c>
      <c r="D826" s="23">
        <f t="shared" si="26"/>
        <v>75.994419023398336</v>
      </c>
    </row>
    <row r="827" spans="1:4">
      <c r="A827" s="22">
        <f t="shared" si="25"/>
        <v>825</v>
      </c>
      <c r="B827">
        <v>8250</v>
      </c>
      <c r="C827">
        <v>7440.5754397512328</v>
      </c>
      <c r="D827" s="23">
        <f t="shared" si="26"/>
        <v>74.405754397512325</v>
      </c>
    </row>
    <row r="828" spans="1:4">
      <c r="A828" s="22">
        <f t="shared" si="25"/>
        <v>826</v>
      </c>
      <c r="B828">
        <v>8260</v>
      </c>
      <c r="C828">
        <v>7281.7089771626324</v>
      </c>
      <c r="D828" s="23">
        <f t="shared" si="26"/>
        <v>72.817089771626328</v>
      </c>
    </row>
    <row r="829" spans="1:4">
      <c r="A829" s="22">
        <f t="shared" si="25"/>
        <v>827</v>
      </c>
      <c r="B829">
        <v>8270</v>
      </c>
      <c r="C829">
        <v>7122.8425145740321</v>
      </c>
      <c r="D829" s="23">
        <f t="shared" si="26"/>
        <v>71.228425145740317</v>
      </c>
    </row>
    <row r="830" spans="1:4">
      <c r="A830" s="22">
        <f t="shared" si="25"/>
        <v>828</v>
      </c>
      <c r="B830">
        <v>8280</v>
      </c>
      <c r="C830">
        <v>6963.9760519854317</v>
      </c>
      <c r="D830" s="23">
        <f t="shared" si="26"/>
        <v>69.63976051985432</v>
      </c>
    </row>
    <row r="831" spans="1:4">
      <c r="A831" s="22">
        <f t="shared" si="25"/>
        <v>829</v>
      </c>
      <c r="B831">
        <v>8290</v>
      </c>
      <c r="C831">
        <v>6805.1095893968313</v>
      </c>
      <c r="D831" s="23">
        <f t="shared" si="26"/>
        <v>68.051095893968309</v>
      </c>
    </row>
    <row r="832" spans="1:4">
      <c r="A832" s="22">
        <f t="shared" si="25"/>
        <v>830</v>
      </c>
      <c r="B832">
        <v>8300</v>
      </c>
      <c r="C832">
        <v>6646.243126808231</v>
      </c>
      <c r="D832" s="23">
        <f t="shared" si="26"/>
        <v>66.462431268082312</v>
      </c>
    </row>
    <row r="833" spans="1:4">
      <c r="A833" s="22">
        <f t="shared" si="25"/>
        <v>831</v>
      </c>
      <c r="B833">
        <v>8310</v>
      </c>
      <c r="C833">
        <v>6487.3766642196306</v>
      </c>
      <c r="D833" s="23">
        <f t="shared" si="26"/>
        <v>64.873766642196301</v>
      </c>
    </row>
    <row r="834" spans="1:4">
      <c r="A834" s="22">
        <f t="shared" si="25"/>
        <v>832</v>
      </c>
      <c r="B834">
        <v>8320</v>
      </c>
      <c r="C834">
        <v>6328.5102016310302</v>
      </c>
      <c r="D834" s="23">
        <f t="shared" si="26"/>
        <v>63.285102016310304</v>
      </c>
    </row>
    <row r="835" spans="1:4">
      <c r="A835" s="22">
        <f t="shared" ref="A835:A873" si="27">B835/10</f>
        <v>833</v>
      </c>
      <c r="B835">
        <v>8330</v>
      </c>
      <c r="C835">
        <v>6169.6437390424298</v>
      </c>
      <c r="D835" s="23">
        <f t="shared" ref="D835:D873" si="28">C835/100</f>
        <v>61.6964373904243</v>
      </c>
    </row>
    <row r="836" spans="1:4">
      <c r="A836" s="22">
        <f t="shared" si="27"/>
        <v>834</v>
      </c>
      <c r="B836">
        <v>8340</v>
      </c>
      <c r="C836">
        <v>6010.7772764538295</v>
      </c>
      <c r="D836" s="23">
        <f t="shared" si="28"/>
        <v>60.107772764538296</v>
      </c>
    </row>
    <row r="837" spans="1:4">
      <c r="A837" s="22">
        <f t="shared" si="27"/>
        <v>835</v>
      </c>
      <c r="B837">
        <v>8350</v>
      </c>
      <c r="C837">
        <v>5851.9108138652291</v>
      </c>
      <c r="D837" s="23">
        <f t="shared" si="28"/>
        <v>58.519108138652292</v>
      </c>
    </row>
    <row r="838" spans="1:4">
      <c r="A838" s="22">
        <f t="shared" si="27"/>
        <v>836</v>
      </c>
      <c r="B838">
        <v>8360</v>
      </c>
      <c r="C838">
        <v>5693.0443512766287</v>
      </c>
      <c r="D838" s="23">
        <f t="shared" si="28"/>
        <v>56.930443512766288</v>
      </c>
    </row>
    <row r="839" spans="1:4">
      <c r="A839" s="22">
        <f t="shared" si="27"/>
        <v>837</v>
      </c>
      <c r="B839">
        <v>8370</v>
      </c>
      <c r="C839">
        <v>5534.1778886880284</v>
      </c>
      <c r="D839" s="23">
        <f t="shared" si="28"/>
        <v>55.341778886880284</v>
      </c>
    </row>
    <row r="840" spans="1:4">
      <c r="A840" s="22">
        <f t="shared" si="27"/>
        <v>838</v>
      </c>
      <c r="B840">
        <v>8380</v>
      </c>
      <c r="C840">
        <v>5375.311426099428</v>
      </c>
      <c r="D840" s="23">
        <f t="shared" si="28"/>
        <v>53.75311426099428</v>
      </c>
    </row>
    <row r="841" spans="1:4">
      <c r="A841" s="22">
        <f t="shared" si="27"/>
        <v>839</v>
      </c>
      <c r="B841">
        <v>8390</v>
      </c>
      <c r="C841">
        <v>5216.4449635108276</v>
      </c>
      <c r="D841" s="23">
        <f t="shared" si="28"/>
        <v>52.164449635108276</v>
      </c>
    </row>
    <row r="842" spans="1:4">
      <c r="A842" s="22">
        <f t="shared" si="27"/>
        <v>840</v>
      </c>
      <c r="B842">
        <v>8400</v>
      </c>
      <c r="C842">
        <v>5057.5785009222272</v>
      </c>
      <c r="D842" s="23">
        <f t="shared" si="28"/>
        <v>50.575785009222272</v>
      </c>
    </row>
    <row r="843" spans="1:4">
      <c r="A843" s="22">
        <f t="shared" si="27"/>
        <v>841</v>
      </c>
      <c r="B843">
        <v>8410</v>
      </c>
      <c r="C843">
        <v>4898.7120383336269</v>
      </c>
      <c r="D843" s="23">
        <f t="shared" si="28"/>
        <v>48.987120383336269</v>
      </c>
    </row>
    <row r="844" spans="1:4">
      <c r="A844" s="22">
        <f t="shared" si="27"/>
        <v>842</v>
      </c>
      <c r="B844">
        <v>8420</v>
      </c>
      <c r="C844">
        <v>4739.8455757450265</v>
      </c>
      <c r="D844" s="23">
        <f t="shared" si="28"/>
        <v>47.398455757450265</v>
      </c>
    </row>
    <row r="845" spans="1:4">
      <c r="A845" s="22">
        <f t="shared" si="27"/>
        <v>843</v>
      </c>
      <c r="B845">
        <v>8430</v>
      </c>
      <c r="C845">
        <v>4580.9791131564261</v>
      </c>
      <c r="D845" s="23">
        <f t="shared" si="28"/>
        <v>45.809791131564261</v>
      </c>
    </row>
    <row r="846" spans="1:4">
      <c r="A846" s="22">
        <f t="shared" si="27"/>
        <v>844</v>
      </c>
      <c r="B846">
        <v>8440</v>
      </c>
      <c r="C846">
        <v>4422.1126505678258</v>
      </c>
      <c r="D846" s="23">
        <f t="shared" si="28"/>
        <v>44.221126505678257</v>
      </c>
    </row>
    <row r="847" spans="1:4">
      <c r="A847" s="22">
        <f t="shared" si="27"/>
        <v>845</v>
      </c>
      <c r="B847">
        <v>8450</v>
      </c>
      <c r="C847">
        <v>4263.2461879792254</v>
      </c>
      <c r="D847" s="23">
        <f t="shared" si="28"/>
        <v>42.632461879792253</v>
      </c>
    </row>
    <row r="848" spans="1:4">
      <c r="A848" s="22">
        <f t="shared" si="27"/>
        <v>846</v>
      </c>
      <c r="B848">
        <v>8460</v>
      </c>
      <c r="C848">
        <v>4104.379725390625</v>
      </c>
      <c r="D848" s="23">
        <f t="shared" si="28"/>
        <v>41.043797253906249</v>
      </c>
    </row>
    <row r="849" spans="1:4">
      <c r="A849" s="22">
        <f t="shared" si="27"/>
        <v>847</v>
      </c>
      <c r="B849">
        <v>8470</v>
      </c>
      <c r="C849">
        <v>3945.5132628020251</v>
      </c>
      <c r="D849" s="23">
        <f t="shared" si="28"/>
        <v>39.455132628020252</v>
      </c>
    </row>
    <row r="850" spans="1:4">
      <c r="A850" s="22">
        <f t="shared" si="27"/>
        <v>848</v>
      </c>
      <c r="B850">
        <v>8480</v>
      </c>
      <c r="C850">
        <v>3786.6468002134252</v>
      </c>
      <c r="D850" s="23">
        <f t="shared" si="28"/>
        <v>37.866468002134255</v>
      </c>
    </row>
    <row r="851" spans="1:4">
      <c r="A851" s="22">
        <f t="shared" si="27"/>
        <v>849</v>
      </c>
      <c r="B851">
        <v>8490</v>
      </c>
      <c r="C851">
        <v>3627.7803376248253</v>
      </c>
      <c r="D851" s="23">
        <f t="shared" si="28"/>
        <v>36.277803376248251</v>
      </c>
    </row>
    <row r="852" spans="1:4">
      <c r="A852" s="22">
        <f t="shared" si="27"/>
        <v>850</v>
      </c>
      <c r="B852">
        <v>8500</v>
      </c>
      <c r="C852">
        <v>3468.9138750362254</v>
      </c>
      <c r="D852" s="23">
        <f t="shared" si="28"/>
        <v>34.689138750362254</v>
      </c>
    </row>
    <row r="853" spans="1:4">
      <c r="A853" s="22">
        <f t="shared" si="27"/>
        <v>851</v>
      </c>
      <c r="B853">
        <v>8510</v>
      </c>
      <c r="C853">
        <v>3310.0474124476254</v>
      </c>
      <c r="D853" s="23">
        <f t="shared" si="28"/>
        <v>33.100474124476257</v>
      </c>
    </row>
    <row r="854" spans="1:4">
      <c r="A854" s="22">
        <f t="shared" si="27"/>
        <v>852</v>
      </c>
      <c r="B854">
        <v>8520</v>
      </c>
      <c r="C854">
        <v>3151.1809498590255</v>
      </c>
      <c r="D854" s="23">
        <f t="shared" si="28"/>
        <v>31.511809498590257</v>
      </c>
    </row>
    <row r="855" spans="1:4">
      <c r="A855" s="22">
        <f t="shared" si="27"/>
        <v>853</v>
      </c>
      <c r="B855">
        <v>8530</v>
      </c>
      <c r="C855">
        <v>2992.3144872704256</v>
      </c>
      <c r="D855" s="23">
        <f t="shared" si="28"/>
        <v>29.923144872704256</v>
      </c>
    </row>
    <row r="856" spans="1:4">
      <c r="A856" s="22">
        <f t="shared" si="27"/>
        <v>854</v>
      </c>
      <c r="B856">
        <v>8540</v>
      </c>
      <c r="C856">
        <v>2833.4480246818257</v>
      </c>
      <c r="D856" s="23">
        <f t="shared" si="28"/>
        <v>28.334480246818256</v>
      </c>
    </row>
    <row r="857" spans="1:4">
      <c r="A857" s="22">
        <f t="shared" si="27"/>
        <v>855</v>
      </c>
      <c r="B857">
        <v>8550</v>
      </c>
      <c r="C857">
        <v>2674.5815620932258</v>
      </c>
      <c r="D857" s="23">
        <f t="shared" si="28"/>
        <v>26.745815620932259</v>
      </c>
    </row>
    <row r="858" spans="1:4">
      <c r="A858" s="22">
        <f t="shared" si="27"/>
        <v>856</v>
      </c>
      <c r="B858">
        <v>8560</v>
      </c>
      <c r="C858">
        <v>2515.7150995046259</v>
      </c>
      <c r="D858" s="23">
        <f t="shared" si="28"/>
        <v>25.157150995046258</v>
      </c>
    </row>
    <row r="859" spans="1:4">
      <c r="A859" s="22">
        <f t="shared" si="27"/>
        <v>857</v>
      </c>
      <c r="B859">
        <v>8570</v>
      </c>
      <c r="C859">
        <v>2356.848636916026</v>
      </c>
      <c r="D859" s="23">
        <f t="shared" si="28"/>
        <v>23.568486369160258</v>
      </c>
    </row>
    <row r="860" spans="1:4">
      <c r="A860" s="22">
        <f t="shared" si="27"/>
        <v>858</v>
      </c>
      <c r="B860">
        <v>8580</v>
      </c>
      <c r="C860">
        <v>2197.982174327426</v>
      </c>
      <c r="D860" s="23">
        <f t="shared" si="28"/>
        <v>21.979821743274261</v>
      </c>
    </row>
    <row r="861" spans="1:4">
      <c r="A861" s="22">
        <f t="shared" si="27"/>
        <v>859</v>
      </c>
      <c r="B861">
        <v>8590</v>
      </c>
      <c r="C861">
        <v>2039.1157117388261</v>
      </c>
      <c r="D861" s="23">
        <f t="shared" si="28"/>
        <v>20.391157117388261</v>
      </c>
    </row>
    <row r="862" spans="1:4">
      <c r="A862" s="22">
        <f t="shared" si="27"/>
        <v>860</v>
      </c>
      <c r="B862">
        <v>8600</v>
      </c>
      <c r="C862">
        <v>1880.65</v>
      </c>
      <c r="D862" s="23">
        <f t="shared" si="28"/>
        <v>18.8065</v>
      </c>
    </row>
    <row r="863" spans="1:4">
      <c r="A863" s="22">
        <f t="shared" si="27"/>
        <v>861</v>
      </c>
      <c r="B863">
        <v>8610</v>
      </c>
      <c r="C863">
        <v>1721.8340000000001</v>
      </c>
      <c r="D863" s="23">
        <f t="shared" si="28"/>
        <v>17.218340000000001</v>
      </c>
    </row>
    <row r="864" spans="1:4">
      <c r="A864" s="22">
        <f t="shared" si="27"/>
        <v>862</v>
      </c>
      <c r="B864">
        <v>8620</v>
      </c>
      <c r="C864">
        <v>1563.018</v>
      </c>
      <c r="D864" s="23">
        <f t="shared" si="28"/>
        <v>15.630180000000001</v>
      </c>
    </row>
    <row r="865" spans="1:4">
      <c r="A865" s="22">
        <f t="shared" si="27"/>
        <v>863</v>
      </c>
      <c r="B865">
        <v>8630</v>
      </c>
      <c r="C865">
        <v>1404.202</v>
      </c>
      <c r="D865" s="23">
        <f t="shared" si="28"/>
        <v>14.042020000000001</v>
      </c>
    </row>
    <row r="866" spans="1:4">
      <c r="A866" s="22">
        <f t="shared" si="27"/>
        <v>864</v>
      </c>
      <c r="B866">
        <v>8640</v>
      </c>
      <c r="C866">
        <v>1245.386</v>
      </c>
      <c r="D866" s="23">
        <f t="shared" si="28"/>
        <v>12.453859999999999</v>
      </c>
    </row>
    <row r="867" spans="1:4">
      <c r="A867" s="22">
        <f t="shared" si="27"/>
        <v>865</v>
      </c>
      <c r="B867">
        <v>8650</v>
      </c>
      <c r="C867">
        <v>1086.57</v>
      </c>
      <c r="D867" s="23">
        <f t="shared" si="28"/>
        <v>10.865699999999999</v>
      </c>
    </row>
    <row r="868" spans="1:4">
      <c r="A868" s="22">
        <f t="shared" si="27"/>
        <v>866</v>
      </c>
      <c r="B868">
        <v>8660</v>
      </c>
      <c r="C868">
        <v>949.02599999999995</v>
      </c>
      <c r="D868" s="23">
        <f t="shared" si="28"/>
        <v>9.4902599999999993</v>
      </c>
    </row>
    <row r="869" spans="1:4">
      <c r="A869" s="22">
        <f t="shared" si="27"/>
        <v>867</v>
      </c>
      <c r="B869">
        <v>8670</v>
      </c>
      <c r="C869">
        <v>811.48199999999997</v>
      </c>
      <c r="D869" s="23">
        <f t="shared" si="28"/>
        <v>8.1148199999999999</v>
      </c>
    </row>
    <row r="870" spans="1:4">
      <c r="A870" s="22">
        <f t="shared" si="27"/>
        <v>868</v>
      </c>
      <c r="B870">
        <v>8680</v>
      </c>
      <c r="C870">
        <v>673.93799999999999</v>
      </c>
      <c r="D870" s="23">
        <f t="shared" si="28"/>
        <v>6.7393799999999997</v>
      </c>
    </row>
    <row r="871" spans="1:4">
      <c r="A871" s="22">
        <f t="shared" si="27"/>
        <v>869</v>
      </c>
      <c r="B871">
        <v>8690</v>
      </c>
      <c r="C871">
        <v>536.39400000000001</v>
      </c>
      <c r="D871" s="23">
        <f t="shared" si="28"/>
        <v>5.3639400000000004</v>
      </c>
    </row>
    <row r="872" spans="1:4">
      <c r="A872" s="22">
        <f t="shared" si="27"/>
        <v>870</v>
      </c>
      <c r="B872">
        <v>8700</v>
      </c>
      <c r="C872">
        <v>398.85</v>
      </c>
      <c r="D872" s="23">
        <f t="shared" si="28"/>
        <v>3.9885000000000002</v>
      </c>
    </row>
    <row r="873" spans="1:4">
      <c r="A873" s="22">
        <f t="shared" si="27"/>
        <v>871</v>
      </c>
      <c r="B873">
        <v>8710</v>
      </c>
      <c r="C873">
        <v>299.38</v>
      </c>
      <c r="D873" s="23">
        <f t="shared" si="28"/>
        <v>2.9937999999999998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/>
  <dimension ref="A1:D870"/>
  <sheetViews>
    <sheetView workbookViewId="0">
      <selection activeCell="D2" sqref="D2:D870"/>
    </sheetView>
  </sheetViews>
  <sheetFormatPr baseColWidth="10" defaultColWidth="10.3984375" defaultRowHeight="14.25"/>
  <cols>
    <col min="1" max="1" width="9.3984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2">
        <f>B2/10</f>
        <v>0</v>
      </c>
      <c r="B2">
        <v>0</v>
      </c>
      <c r="C2">
        <v>124730</v>
      </c>
      <c r="D2" s="30">
        <f>C2/100</f>
        <v>1247.3</v>
      </c>
    </row>
    <row r="3" spans="1:4">
      <c r="A3" s="22">
        <f t="shared" ref="A3:A66" si="0">B3/10</f>
        <v>1.1223262376343608</v>
      </c>
      <c r="B3">
        <v>11.223262376343607</v>
      </c>
      <c r="C3">
        <v>124728</v>
      </c>
      <c r="D3" s="30">
        <f t="shared" ref="D3:D66" si="1">C3/100</f>
        <v>1247.28</v>
      </c>
    </row>
    <row r="4" spans="1:4">
      <c r="A4" s="22">
        <f t="shared" si="0"/>
        <v>2.2446524752687216</v>
      </c>
      <c r="B4">
        <v>22.446524752687214</v>
      </c>
      <c r="C4">
        <v>124726</v>
      </c>
      <c r="D4" s="30">
        <f t="shared" si="1"/>
        <v>1247.26</v>
      </c>
    </row>
    <row r="5" spans="1:4">
      <c r="A5" s="22">
        <f t="shared" si="0"/>
        <v>3.3669787129030824</v>
      </c>
      <c r="B5">
        <v>33.669787129030823</v>
      </c>
      <c r="C5">
        <v>124724</v>
      </c>
      <c r="D5" s="30">
        <f t="shared" si="1"/>
        <v>1247.24</v>
      </c>
    </row>
    <row r="6" spans="1:4">
      <c r="A6" s="22">
        <f t="shared" si="0"/>
        <v>4.4893049505374432</v>
      </c>
      <c r="B6">
        <v>44.893049505374428</v>
      </c>
      <c r="C6">
        <v>124722</v>
      </c>
      <c r="D6" s="30">
        <f t="shared" si="1"/>
        <v>1247.22</v>
      </c>
    </row>
    <row r="7" spans="1:4">
      <c r="A7" s="22">
        <f t="shared" si="0"/>
        <v>5.6116311881718044</v>
      </c>
      <c r="B7">
        <v>56.11631188171804</v>
      </c>
      <c r="C7">
        <v>124720</v>
      </c>
      <c r="D7" s="30">
        <f t="shared" si="1"/>
        <v>1247.2</v>
      </c>
    </row>
    <row r="8" spans="1:4">
      <c r="A8" s="22">
        <f t="shared" si="0"/>
        <v>6.7339574258061647</v>
      </c>
      <c r="B8">
        <v>67.339574258061646</v>
      </c>
      <c r="C8">
        <v>124718</v>
      </c>
      <c r="D8" s="30">
        <f t="shared" si="1"/>
        <v>1247.18</v>
      </c>
    </row>
    <row r="9" spans="1:4">
      <c r="A9" s="22">
        <f t="shared" si="0"/>
        <v>7.856283663440526</v>
      </c>
      <c r="B9">
        <v>78.562836634405258</v>
      </c>
      <c r="C9">
        <v>124716</v>
      </c>
      <c r="D9" s="30">
        <f t="shared" si="1"/>
        <v>1247.1600000000001</v>
      </c>
    </row>
    <row r="10" spans="1:4">
      <c r="A10" s="22">
        <f t="shared" si="0"/>
        <v>8.9786099010748863</v>
      </c>
      <c r="B10">
        <v>89.786099010748856</v>
      </c>
      <c r="C10">
        <v>124714</v>
      </c>
      <c r="D10" s="30">
        <f t="shared" si="1"/>
        <v>1247.1400000000001</v>
      </c>
    </row>
    <row r="11" spans="1:4">
      <c r="A11" s="22">
        <f t="shared" si="0"/>
        <v>10.100936138709248</v>
      </c>
      <c r="B11">
        <v>101.00936138709247</v>
      </c>
      <c r="C11">
        <v>124712</v>
      </c>
      <c r="D11" s="30">
        <f t="shared" si="1"/>
        <v>1247.1199999999999</v>
      </c>
    </row>
    <row r="12" spans="1:4">
      <c r="A12" s="22">
        <f t="shared" si="0"/>
        <v>11.223262376343609</v>
      </c>
      <c r="B12">
        <v>112.23262376343608</v>
      </c>
      <c r="C12">
        <v>124710</v>
      </c>
      <c r="D12" s="30">
        <f t="shared" si="1"/>
        <v>1247.0999999999999</v>
      </c>
    </row>
    <row r="13" spans="1:4">
      <c r="A13" s="22">
        <f t="shared" si="0"/>
        <v>12.345588613977968</v>
      </c>
      <c r="B13">
        <v>123.45588613977968</v>
      </c>
      <c r="C13">
        <v>124708.1</v>
      </c>
      <c r="D13" s="30">
        <f t="shared" si="1"/>
        <v>1247.0810000000001</v>
      </c>
    </row>
    <row r="14" spans="1:4">
      <c r="A14" s="22">
        <f t="shared" si="0"/>
        <v>13.467914851612329</v>
      </c>
      <c r="B14">
        <v>134.67914851612329</v>
      </c>
      <c r="C14">
        <v>124706.20000000001</v>
      </c>
      <c r="D14" s="30">
        <f t="shared" si="1"/>
        <v>1247.0620000000001</v>
      </c>
    </row>
    <row r="15" spans="1:4">
      <c r="A15" s="22">
        <f t="shared" si="0"/>
        <v>14.590241089246689</v>
      </c>
      <c r="B15">
        <v>145.90241089246689</v>
      </c>
      <c r="C15">
        <v>124704.30000000002</v>
      </c>
      <c r="D15" s="30">
        <f t="shared" si="1"/>
        <v>1247.0430000000001</v>
      </c>
    </row>
    <row r="16" spans="1:4">
      <c r="A16" s="22">
        <f t="shared" si="0"/>
        <v>15.712567326881052</v>
      </c>
      <c r="B16">
        <v>157.12567326881052</v>
      </c>
      <c r="C16">
        <v>124702.40000000002</v>
      </c>
      <c r="D16" s="30">
        <f t="shared" si="1"/>
        <v>1247.0240000000003</v>
      </c>
    </row>
    <row r="17" spans="1:4">
      <c r="A17" s="22">
        <f t="shared" si="0"/>
        <v>16.834893564515411</v>
      </c>
      <c r="B17">
        <v>168.34893564515411</v>
      </c>
      <c r="C17">
        <v>124700.50000000003</v>
      </c>
      <c r="D17" s="30">
        <f t="shared" si="1"/>
        <v>1247.0050000000003</v>
      </c>
    </row>
    <row r="18" spans="1:4">
      <c r="A18" s="22">
        <f t="shared" si="0"/>
        <v>17.957219802149773</v>
      </c>
      <c r="B18">
        <v>179.57219802149771</v>
      </c>
      <c r="C18">
        <v>124698.60000000003</v>
      </c>
      <c r="D18" s="30">
        <f t="shared" si="1"/>
        <v>1246.9860000000003</v>
      </c>
    </row>
    <row r="19" spans="1:4">
      <c r="A19" s="22">
        <f t="shared" si="0"/>
        <v>19.079546039784134</v>
      </c>
      <c r="B19">
        <v>190.79546039784134</v>
      </c>
      <c r="C19">
        <v>124696.70000000004</v>
      </c>
      <c r="D19" s="30">
        <f t="shared" si="1"/>
        <v>1246.9670000000003</v>
      </c>
    </row>
    <row r="20" spans="1:4">
      <c r="A20" s="22">
        <f t="shared" si="0"/>
        <v>20.201872277418495</v>
      </c>
      <c r="B20">
        <v>202.01872277418494</v>
      </c>
      <c r="C20">
        <v>124694.80000000005</v>
      </c>
      <c r="D20" s="30">
        <f t="shared" si="1"/>
        <v>1246.9480000000005</v>
      </c>
    </row>
    <row r="21" spans="1:4">
      <c r="A21" s="22">
        <f t="shared" si="0"/>
        <v>21.324198515052853</v>
      </c>
      <c r="B21">
        <v>213.24198515052854</v>
      </c>
      <c r="C21">
        <v>124692.90000000005</v>
      </c>
      <c r="D21" s="30">
        <f t="shared" si="1"/>
        <v>1246.9290000000005</v>
      </c>
    </row>
    <row r="22" spans="1:4">
      <c r="A22" s="22">
        <f t="shared" si="0"/>
        <v>22.446524752687218</v>
      </c>
      <c r="B22">
        <v>224.46524752687216</v>
      </c>
      <c r="C22">
        <v>124691</v>
      </c>
      <c r="D22" s="30">
        <f t="shared" si="1"/>
        <v>1246.9100000000001</v>
      </c>
    </row>
    <row r="23" spans="1:4">
      <c r="A23" s="22">
        <f t="shared" si="0"/>
        <v>23.568850990321575</v>
      </c>
      <c r="B23">
        <v>235.68850990321576</v>
      </c>
      <c r="C23">
        <v>124689</v>
      </c>
      <c r="D23" s="30">
        <f t="shared" si="1"/>
        <v>1246.8900000000001</v>
      </c>
    </row>
    <row r="24" spans="1:4">
      <c r="A24" s="22">
        <f t="shared" si="0"/>
        <v>24.691177227955937</v>
      </c>
      <c r="B24">
        <v>246.91177227955936</v>
      </c>
      <c r="C24">
        <v>124687</v>
      </c>
      <c r="D24" s="30">
        <f t="shared" si="1"/>
        <v>1246.8699999999999</v>
      </c>
    </row>
    <row r="25" spans="1:4">
      <c r="A25" s="22">
        <f t="shared" si="0"/>
        <v>25.813503465590298</v>
      </c>
      <c r="B25">
        <v>258.13503465590298</v>
      </c>
      <c r="C25">
        <v>124685</v>
      </c>
      <c r="D25" s="30">
        <f t="shared" si="1"/>
        <v>1246.8499999999999</v>
      </c>
    </row>
    <row r="26" spans="1:4">
      <c r="A26" s="22">
        <f t="shared" si="0"/>
        <v>26.935829703224659</v>
      </c>
      <c r="B26">
        <v>269.35829703224658</v>
      </c>
      <c r="C26">
        <v>124683</v>
      </c>
      <c r="D26" s="30">
        <f t="shared" si="1"/>
        <v>1246.83</v>
      </c>
    </row>
    <row r="27" spans="1:4">
      <c r="A27" s="22">
        <f t="shared" si="0"/>
        <v>28.058155940859017</v>
      </c>
      <c r="B27">
        <v>280.58155940859018</v>
      </c>
      <c r="C27">
        <v>124681</v>
      </c>
      <c r="D27" s="30">
        <f t="shared" si="1"/>
        <v>1246.81</v>
      </c>
    </row>
    <row r="28" spans="1:4">
      <c r="A28" s="22">
        <f t="shared" si="0"/>
        <v>29.180482178493378</v>
      </c>
      <c r="B28">
        <v>291.80482178493378</v>
      </c>
      <c r="C28">
        <v>124679</v>
      </c>
      <c r="D28" s="30">
        <f t="shared" si="1"/>
        <v>1246.79</v>
      </c>
    </row>
    <row r="29" spans="1:4">
      <c r="A29" s="22">
        <f t="shared" si="0"/>
        <v>30.302808416127743</v>
      </c>
      <c r="B29">
        <v>303.02808416127743</v>
      </c>
      <c r="C29">
        <v>124677</v>
      </c>
      <c r="D29" s="30">
        <f t="shared" si="1"/>
        <v>1246.77</v>
      </c>
    </row>
    <row r="30" spans="1:4">
      <c r="A30" s="22">
        <f t="shared" si="0"/>
        <v>31.425134653762104</v>
      </c>
      <c r="B30">
        <v>314.25134653762103</v>
      </c>
      <c r="C30">
        <v>124675</v>
      </c>
      <c r="D30" s="30">
        <f t="shared" si="1"/>
        <v>1246.75</v>
      </c>
    </row>
    <row r="31" spans="1:4">
      <c r="A31" s="22">
        <f t="shared" si="0"/>
        <v>32.547460891396462</v>
      </c>
      <c r="B31">
        <v>325.47460891396463</v>
      </c>
      <c r="C31">
        <v>124673</v>
      </c>
      <c r="D31" s="30">
        <f t="shared" si="1"/>
        <v>1246.73</v>
      </c>
    </row>
    <row r="32" spans="1:4">
      <c r="A32" s="22">
        <f t="shared" si="0"/>
        <v>33.669787129030823</v>
      </c>
      <c r="B32">
        <v>336.69787129030823</v>
      </c>
      <c r="C32">
        <v>124671</v>
      </c>
      <c r="D32" s="30">
        <f t="shared" si="1"/>
        <v>1246.71</v>
      </c>
    </row>
    <row r="33" spans="1:4">
      <c r="A33" s="22">
        <f t="shared" si="0"/>
        <v>34.792113366665184</v>
      </c>
      <c r="B33">
        <v>347.92113366665183</v>
      </c>
      <c r="C33">
        <v>124669</v>
      </c>
      <c r="D33" s="30">
        <f t="shared" si="1"/>
        <v>1246.69</v>
      </c>
    </row>
    <row r="34" spans="1:4">
      <c r="A34" s="22">
        <f t="shared" si="0"/>
        <v>35.914439604299545</v>
      </c>
      <c r="B34">
        <v>359.14439604299542</v>
      </c>
      <c r="C34">
        <v>124667</v>
      </c>
      <c r="D34" s="30">
        <f t="shared" si="1"/>
        <v>1246.67</v>
      </c>
    </row>
    <row r="35" spans="1:4">
      <c r="A35" s="22">
        <f t="shared" si="0"/>
        <v>37.036765841933907</v>
      </c>
      <c r="B35">
        <v>370.36765841933908</v>
      </c>
      <c r="C35">
        <v>124665</v>
      </c>
      <c r="D35" s="30">
        <f t="shared" si="1"/>
        <v>1246.6500000000001</v>
      </c>
    </row>
    <row r="36" spans="1:4">
      <c r="A36" s="22">
        <f t="shared" si="0"/>
        <v>38.159092079568268</v>
      </c>
      <c r="B36">
        <v>381.59092079568268</v>
      </c>
      <c r="C36">
        <v>124663</v>
      </c>
      <c r="D36" s="30">
        <f t="shared" si="1"/>
        <v>1246.6300000000001</v>
      </c>
    </row>
    <row r="37" spans="1:4">
      <c r="A37" s="22">
        <f t="shared" si="0"/>
        <v>39.281418317202629</v>
      </c>
      <c r="B37">
        <v>392.81418317202628</v>
      </c>
      <c r="C37">
        <v>124661</v>
      </c>
      <c r="D37" s="30">
        <f t="shared" si="1"/>
        <v>1246.6099999999999</v>
      </c>
    </row>
    <row r="38" spans="1:4">
      <c r="A38" s="22">
        <f t="shared" si="0"/>
        <v>40.40374455483699</v>
      </c>
      <c r="B38">
        <v>404.03744554836987</v>
      </c>
      <c r="C38">
        <v>124659</v>
      </c>
      <c r="D38" s="30">
        <f t="shared" si="1"/>
        <v>1246.5899999999999</v>
      </c>
    </row>
    <row r="39" spans="1:4">
      <c r="A39" s="22">
        <f t="shared" si="0"/>
        <v>41.526070792471344</v>
      </c>
      <c r="B39">
        <v>415.26070792471347</v>
      </c>
      <c r="C39">
        <v>124657</v>
      </c>
      <c r="D39" s="30">
        <f t="shared" si="1"/>
        <v>1246.57</v>
      </c>
    </row>
    <row r="40" spans="1:4">
      <c r="A40" s="22">
        <f t="shared" si="0"/>
        <v>42.648397030105706</v>
      </c>
      <c r="B40">
        <v>426.48397030105707</v>
      </c>
      <c r="C40">
        <v>124655</v>
      </c>
      <c r="D40" s="30">
        <f t="shared" si="1"/>
        <v>1246.55</v>
      </c>
    </row>
    <row r="41" spans="1:4">
      <c r="A41" s="22">
        <f t="shared" si="0"/>
        <v>43.770723267740074</v>
      </c>
      <c r="B41">
        <v>437.70723267740073</v>
      </c>
      <c r="C41">
        <v>124653</v>
      </c>
      <c r="D41" s="30">
        <f t="shared" si="1"/>
        <v>1246.53</v>
      </c>
    </row>
    <row r="42" spans="1:4">
      <c r="A42" s="22">
        <f t="shared" si="0"/>
        <v>44.893049505374435</v>
      </c>
      <c r="B42">
        <v>448.93049505374432</v>
      </c>
      <c r="C42">
        <v>124651</v>
      </c>
      <c r="D42" s="30">
        <f t="shared" si="1"/>
        <v>1246.51</v>
      </c>
    </row>
    <row r="43" spans="1:4">
      <c r="A43" s="22">
        <f t="shared" si="0"/>
        <v>46.015375743008789</v>
      </c>
      <c r="B43">
        <v>460.15375743008792</v>
      </c>
      <c r="C43">
        <v>124648.6</v>
      </c>
      <c r="D43" s="30">
        <f t="shared" si="1"/>
        <v>1246.4860000000001</v>
      </c>
    </row>
    <row r="44" spans="1:4">
      <c r="A44" s="22">
        <f t="shared" si="0"/>
        <v>47.137701980643151</v>
      </c>
      <c r="B44">
        <v>471.37701980643152</v>
      </c>
      <c r="C44">
        <v>124646.20000000001</v>
      </c>
      <c r="D44" s="30">
        <f t="shared" si="1"/>
        <v>1246.4620000000002</v>
      </c>
    </row>
    <row r="45" spans="1:4">
      <c r="A45" s="22">
        <f t="shared" si="0"/>
        <v>48.260028218277512</v>
      </c>
      <c r="B45">
        <v>482.60028218277512</v>
      </c>
      <c r="C45">
        <v>124643.80000000002</v>
      </c>
      <c r="D45" s="30">
        <f t="shared" si="1"/>
        <v>1246.4380000000001</v>
      </c>
    </row>
    <row r="46" spans="1:4">
      <c r="A46" s="22">
        <f t="shared" si="0"/>
        <v>49.382354455911873</v>
      </c>
      <c r="B46">
        <v>493.82354455911872</v>
      </c>
      <c r="C46">
        <v>124641.40000000002</v>
      </c>
      <c r="D46" s="30">
        <f t="shared" si="1"/>
        <v>1246.4140000000002</v>
      </c>
    </row>
    <row r="47" spans="1:4">
      <c r="A47" s="22">
        <f t="shared" si="0"/>
        <v>50.504680693546234</v>
      </c>
      <c r="B47">
        <v>505.04680693546237</v>
      </c>
      <c r="C47">
        <v>124639.00000000003</v>
      </c>
      <c r="D47" s="30">
        <f t="shared" si="1"/>
        <v>1246.3900000000003</v>
      </c>
    </row>
    <row r="48" spans="1:4">
      <c r="A48" s="22">
        <f t="shared" si="0"/>
        <v>51.627006931180595</v>
      </c>
      <c r="B48">
        <v>516.27006931180597</v>
      </c>
      <c r="C48">
        <v>124636.60000000003</v>
      </c>
      <c r="D48" s="30">
        <f t="shared" si="1"/>
        <v>1246.3660000000004</v>
      </c>
    </row>
    <row r="49" spans="1:4">
      <c r="A49" s="22">
        <f t="shared" si="0"/>
        <v>52.74933316881495</v>
      </c>
      <c r="B49">
        <v>527.49333168814951</v>
      </c>
      <c r="C49">
        <v>124634.20000000004</v>
      </c>
      <c r="D49" s="30">
        <f t="shared" si="1"/>
        <v>1246.3420000000003</v>
      </c>
    </row>
    <row r="50" spans="1:4">
      <c r="A50" s="22">
        <f t="shared" si="0"/>
        <v>53.871659406449318</v>
      </c>
      <c r="B50">
        <v>538.71659406449317</v>
      </c>
      <c r="C50">
        <v>124631.80000000005</v>
      </c>
      <c r="D50" s="30">
        <f t="shared" si="1"/>
        <v>1246.3180000000004</v>
      </c>
    </row>
    <row r="51" spans="1:4">
      <c r="A51" s="22">
        <f t="shared" si="0"/>
        <v>54.993985644083679</v>
      </c>
      <c r="B51">
        <v>549.93985644083682</v>
      </c>
      <c r="C51">
        <v>124629.40000000005</v>
      </c>
      <c r="D51" s="30">
        <f t="shared" si="1"/>
        <v>1246.2940000000006</v>
      </c>
    </row>
    <row r="52" spans="1:4">
      <c r="A52" s="22">
        <f t="shared" si="0"/>
        <v>56.116311881718033</v>
      </c>
      <c r="B52">
        <v>561.16311881718036</v>
      </c>
      <c r="C52">
        <v>124627</v>
      </c>
      <c r="D52" s="30">
        <f t="shared" si="1"/>
        <v>1246.27</v>
      </c>
    </row>
    <row r="53" spans="1:4">
      <c r="A53" s="22">
        <f t="shared" si="0"/>
        <v>57.238638119352402</v>
      </c>
      <c r="B53">
        <v>572.38638119352402</v>
      </c>
      <c r="C53">
        <v>124624.2</v>
      </c>
      <c r="D53" s="30">
        <f t="shared" si="1"/>
        <v>1246.242</v>
      </c>
    </row>
    <row r="54" spans="1:4">
      <c r="A54" s="22">
        <f t="shared" si="0"/>
        <v>58.360964356986756</v>
      </c>
      <c r="B54">
        <v>583.60964356986756</v>
      </c>
      <c r="C54">
        <v>124621.4</v>
      </c>
      <c r="D54" s="30">
        <f t="shared" si="1"/>
        <v>1246.2139999999999</v>
      </c>
    </row>
    <row r="55" spans="1:4">
      <c r="A55" s="22">
        <f t="shared" si="0"/>
        <v>59.483290594621124</v>
      </c>
      <c r="B55">
        <v>594.83290594621121</v>
      </c>
      <c r="C55">
        <v>124618.59999999999</v>
      </c>
      <c r="D55" s="30">
        <f t="shared" si="1"/>
        <v>1246.1859999999999</v>
      </c>
    </row>
    <row r="56" spans="1:4">
      <c r="A56" s="22">
        <f t="shared" si="0"/>
        <v>60.605616832255485</v>
      </c>
      <c r="B56">
        <v>606.05616832255487</v>
      </c>
      <c r="C56">
        <v>124615.79999999999</v>
      </c>
      <c r="D56" s="30">
        <f t="shared" si="1"/>
        <v>1246.1579999999999</v>
      </c>
    </row>
    <row r="57" spans="1:4">
      <c r="A57" s="22">
        <f t="shared" si="0"/>
        <v>61.727943069889839</v>
      </c>
      <c r="B57">
        <v>617.27943069889841</v>
      </c>
      <c r="C57">
        <v>124612.99999999999</v>
      </c>
      <c r="D57" s="30">
        <f t="shared" si="1"/>
        <v>1246.1299999999999</v>
      </c>
    </row>
    <row r="58" spans="1:4">
      <c r="A58" s="22">
        <f t="shared" si="0"/>
        <v>62.850269307524208</v>
      </c>
      <c r="B58">
        <v>628.50269307524206</v>
      </c>
      <c r="C58">
        <v>124610.19999999998</v>
      </c>
      <c r="D58" s="30">
        <f t="shared" si="1"/>
        <v>1246.1019999999999</v>
      </c>
    </row>
    <row r="59" spans="1:4">
      <c r="A59" s="22">
        <f t="shared" si="0"/>
        <v>63.972595545158562</v>
      </c>
      <c r="B59">
        <v>639.72595545158561</v>
      </c>
      <c r="C59">
        <v>124607.39999999998</v>
      </c>
      <c r="D59" s="30">
        <f t="shared" si="1"/>
        <v>1246.0739999999998</v>
      </c>
    </row>
    <row r="60" spans="1:4">
      <c r="A60" s="22">
        <f t="shared" si="0"/>
        <v>65.094921782792923</v>
      </c>
      <c r="B60">
        <v>650.94921782792926</v>
      </c>
      <c r="C60">
        <v>124604.59999999998</v>
      </c>
      <c r="D60" s="30">
        <f t="shared" si="1"/>
        <v>1246.0459999999998</v>
      </c>
    </row>
    <row r="61" spans="1:4">
      <c r="A61" s="22">
        <f t="shared" si="0"/>
        <v>66.217248020427277</v>
      </c>
      <c r="B61">
        <v>662.1724802042728</v>
      </c>
      <c r="C61">
        <v>124601.79999999997</v>
      </c>
      <c r="D61" s="30">
        <f t="shared" si="1"/>
        <v>1246.0179999999998</v>
      </c>
    </row>
    <row r="62" spans="1:4">
      <c r="A62" s="22">
        <f t="shared" si="0"/>
        <v>67.339574258061646</v>
      </c>
      <c r="B62">
        <v>673.39574258061646</v>
      </c>
      <c r="C62">
        <v>124599</v>
      </c>
      <c r="D62" s="30">
        <f t="shared" si="1"/>
        <v>1245.99</v>
      </c>
    </row>
    <row r="63" spans="1:4">
      <c r="A63" s="22">
        <f t="shared" si="0"/>
        <v>68.461900495696014</v>
      </c>
      <c r="B63">
        <v>684.61900495696011</v>
      </c>
      <c r="C63">
        <v>124596.3</v>
      </c>
      <c r="D63" s="30">
        <f t="shared" si="1"/>
        <v>1245.963</v>
      </c>
    </row>
    <row r="64" spans="1:4">
      <c r="A64" s="22">
        <f t="shared" si="0"/>
        <v>69.584226733330368</v>
      </c>
      <c r="B64">
        <v>695.84226733330365</v>
      </c>
      <c r="C64">
        <v>124593.60000000001</v>
      </c>
      <c r="D64" s="30">
        <f t="shared" si="1"/>
        <v>1245.9360000000001</v>
      </c>
    </row>
    <row r="65" spans="1:4">
      <c r="A65" s="22">
        <f t="shared" si="0"/>
        <v>70.706552970964736</v>
      </c>
      <c r="B65">
        <v>707.06552970964731</v>
      </c>
      <c r="C65">
        <v>124590.90000000001</v>
      </c>
      <c r="D65" s="30">
        <f t="shared" si="1"/>
        <v>1245.9090000000001</v>
      </c>
    </row>
    <row r="66" spans="1:4">
      <c r="A66" s="22">
        <f t="shared" si="0"/>
        <v>71.828879208599091</v>
      </c>
      <c r="B66">
        <v>718.28879208599085</v>
      </c>
      <c r="C66">
        <v>124588.20000000001</v>
      </c>
      <c r="D66" s="30">
        <f t="shared" si="1"/>
        <v>1245.8820000000001</v>
      </c>
    </row>
    <row r="67" spans="1:4">
      <c r="A67" s="22">
        <f t="shared" ref="A67:A130" si="2">B67/10</f>
        <v>72.951205446233445</v>
      </c>
      <c r="B67">
        <v>729.5120544623345</v>
      </c>
      <c r="C67">
        <v>124585.50000000001</v>
      </c>
      <c r="D67" s="30">
        <f t="shared" ref="D67:D130" si="3">C67/100</f>
        <v>1245.8550000000002</v>
      </c>
    </row>
    <row r="68" spans="1:4">
      <c r="A68" s="22">
        <f t="shared" si="2"/>
        <v>74.073531683867813</v>
      </c>
      <c r="B68">
        <v>740.73531683867816</v>
      </c>
      <c r="C68">
        <v>124582.80000000002</v>
      </c>
      <c r="D68" s="30">
        <f t="shared" si="3"/>
        <v>1245.8280000000002</v>
      </c>
    </row>
    <row r="69" spans="1:4">
      <c r="A69" s="22">
        <f t="shared" si="2"/>
        <v>75.195857921502167</v>
      </c>
      <c r="B69">
        <v>751.9585792150217</v>
      </c>
      <c r="C69">
        <v>124580.10000000002</v>
      </c>
      <c r="D69" s="30">
        <f t="shared" si="3"/>
        <v>1245.8010000000002</v>
      </c>
    </row>
    <row r="70" spans="1:4">
      <c r="A70" s="22">
        <f t="shared" si="2"/>
        <v>76.318184159136536</v>
      </c>
      <c r="B70">
        <v>763.18184159136536</v>
      </c>
      <c r="C70">
        <v>124577.40000000002</v>
      </c>
      <c r="D70" s="30">
        <f t="shared" si="3"/>
        <v>1245.7740000000003</v>
      </c>
    </row>
    <row r="71" spans="1:4">
      <c r="A71" s="22">
        <f t="shared" si="2"/>
        <v>77.44051039677089</v>
      </c>
      <c r="B71">
        <v>774.4051039677089</v>
      </c>
      <c r="C71">
        <v>124574.70000000003</v>
      </c>
      <c r="D71" s="30">
        <f t="shared" si="3"/>
        <v>1245.7470000000003</v>
      </c>
    </row>
    <row r="72" spans="1:4">
      <c r="A72" s="22">
        <f t="shared" si="2"/>
        <v>78.562836634405258</v>
      </c>
      <c r="B72">
        <v>785.62836634405255</v>
      </c>
      <c r="C72">
        <v>124572</v>
      </c>
      <c r="D72" s="30">
        <f t="shared" si="3"/>
        <v>1245.72</v>
      </c>
    </row>
    <row r="73" spans="1:4">
      <c r="A73" s="22">
        <f t="shared" si="2"/>
        <v>79.685162872039612</v>
      </c>
      <c r="B73">
        <v>796.85162872039609</v>
      </c>
      <c r="C73">
        <v>124554.4</v>
      </c>
      <c r="D73" s="30">
        <f t="shared" si="3"/>
        <v>1245.5439999999999</v>
      </c>
    </row>
    <row r="74" spans="1:4">
      <c r="A74" s="22">
        <f t="shared" si="2"/>
        <v>80.80748910967398</v>
      </c>
      <c r="B74">
        <v>808.07489109673975</v>
      </c>
      <c r="C74">
        <v>124536.79999999999</v>
      </c>
      <c r="D74" s="30">
        <f t="shared" si="3"/>
        <v>1245.3679999999999</v>
      </c>
    </row>
    <row r="75" spans="1:4">
      <c r="A75" s="22">
        <f t="shared" si="2"/>
        <v>81.929815347308335</v>
      </c>
      <c r="B75">
        <v>819.2981534730834</v>
      </c>
      <c r="C75">
        <v>124519.19999999998</v>
      </c>
      <c r="D75" s="30">
        <f t="shared" si="3"/>
        <v>1245.1919999999998</v>
      </c>
    </row>
    <row r="76" spans="1:4">
      <c r="A76" s="22">
        <f t="shared" si="2"/>
        <v>83.052141584942689</v>
      </c>
      <c r="B76">
        <v>830.52141584942694</v>
      </c>
      <c r="C76">
        <v>124501.59999999998</v>
      </c>
      <c r="D76" s="30">
        <f t="shared" si="3"/>
        <v>1245.0159999999998</v>
      </c>
    </row>
    <row r="77" spans="1:4">
      <c r="A77" s="22">
        <f t="shared" si="2"/>
        <v>84.174467822577057</v>
      </c>
      <c r="B77">
        <v>841.7446782257706</v>
      </c>
      <c r="C77">
        <v>124483.99999999997</v>
      </c>
      <c r="D77" s="30">
        <f t="shared" si="3"/>
        <v>1244.8399999999997</v>
      </c>
    </row>
    <row r="78" spans="1:4">
      <c r="A78" s="22">
        <f t="shared" si="2"/>
        <v>85.296794060211411</v>
      </c>
      <c r="B78">
        <v>852.96794060211414</v>
      </c>
      <c r="C78">
        <v>124466.39999999997</v>
      </c>
      <c r="D78" s="30">
        <f t="shared" si="3"/>
        <v>1244.6639999999998</v>
      </c>
    </row>
    <row r="79" spans="1:4">
      <c r="A79" s="22">
        <f t="shared" si="2"/>
        <v>86.41912029784578</v>
      </c>
      <c r="B79">
        <v>864.1912029784578</v>
      </c>
      <c r="C79">
        <v>124448.79999999996</v>
      </c>
      <c r="D79" s="30">
        <f t="shared" si="3"/>
        <v>1244.4879999999996</v>
      </c>
    </row>
    <row r="80" spans="1:4">
      <c r="A80" s="22">
        <f t="shared" si="2"/>
        <v>87.541446535480148</v>
      </c>
      <c r="B80">
        <v>875.41446535480145</v>
      </c>
      <c r="C80">
        <v>124431.19999999995</v>
      </c>
      <c r="D80" s="30">
        <f t="shared" si="3"/>
        <v>1244.3119999999994</v>
      </c>
    </row>
    <row r="81" spans="1:4">
      <c r="A81" s="22">
        <f t="shared" si="2"/>
        <v>88.663772773114502</v>
      </c>
      <c r="B81">
        <v>886.63772773114499</v>
      </c>
      <c r="C81">
        <v>124413.59999999995</v>
      </c>
      <c r="D81" s="30">
        <f t="shared" si="3"/>
        <v>1244.1359999999995</v>
      </c>
    </row>
    <row r="82" spans="1:4">
      <c r="A82" s="22">
        <f t="shared" si="2"/>
        <v>89.78609901074887</v>
      </c>
      <c r="B82">
        <v>897.86099010748865</v>
      </c>
      <c r="C82">
        <v>124396</v>
      </c>
      <c r="D82" s="30">
        <f t="shared" si="3"/>
        <v>1243.96</v>
      </c>
    </row>
    <row r="83" spans="1:4">
      <c r="A83" s="22">
        <f t="shared" si="2"/>
        <v>90.908425248383224</v>
      </c>
      <c r="B83">
        <v>909.08425248383219</v>
      </c>
      <c r="C83">
        <v>124320.4</v>
      </c>
      <c r="D83" s="30">
        <f t="shared" si="3"/>
        <v>1243.204</v>
      </c>
    </row>
    <row r="84" spans="1:4">
      <c r="A84" s="22">
        <f t="shared" si="2"/>
        <v>92.030751486017579</v>
      </c>
      <c r="B84">
        <v>920.30751486017584</v>
      </c>
      <c r="C84">
        <v>124244.79999999999</v>
      </c>
      <c r="D84" s="30">
        <f t="shared" si="3"/>
        <v>1242.4479999999999</v>
      </c>
    </row>
    <row r="85" spans="1:4">
      <c r="A85" s="22">
        <f t="shared" si="2"/>
        <v>93.153077723651933</v>
      </c>
      <c r="B85">
        <v>931.53077723651938</v>
      </c>
      <c r="C85">
        <v>124169.19999999998</v>
      </c>
      <c r="D85" s="30">
        <f t="shared" si="3"/>
        <v>1241.6919999999998</v>
      </c>
    </row>
    <row r="86" spans="1:4">
      <c r="A86" s="22">
        <f t="shared" si="2"/>
        <v>94.275403961286301</v>
      </c>
      <c r="B86">
        <v>942.75403961286304</v>
      </c>
      <c r="C86">
        <v>124093.59999999998</v>
      </c>
      <c r="D86" s="30">
        <f t="shared" si="3"/>
        <v>1240.9359999999997</v>
      </c>
    </row>
    <row r="87" spans="1:4">
      <c r="A87" s="22">
        <f t="shared" si="2"/>
        <v>95.397730198920669</v>
      </c>
      <c r="B87">
        <v>953.97730198920669</v>
      </c>
      <c r="C87">
        <v>124017.99999999997</v>
      </c>
      <c r="D87" s="30">
        <f t="shared" si="3"/>
        <v>1240.1799999999996</v>
      </c>
    </row>
    <row r="88" spans="1:4">
      <c r="A88" s="22">
        <f t="shared" si="2"/>
        <v>96.520056436555024</v>
      </c>
      <c r="B88">
        <v>965.20056436555024</v>
      </c>
      <c r="C88">
        <v>123942.39999999997</v>
      </c>
      <c r="D88" s="30">
        <f t="shared" si="3"/>
        <v>1239.4239999999998</v>
      </c>
    </row>
    <row r="89" spans="1:4">
      <c r="A89" s="22">
        <f t="shared" si="2"/>
        <v>97.642382674189392</v>
      </c>
      <c r="B89">
        <v>976.42382674189389</v>
      </c>
      <c r="C89">
        <v>123866.79999999996</v>
      </c>
      <c r="D89" s="30">
        <f t="shared" si="3"/>
        <v>1238.6679999999997</v>
      </c>
    </row>
    <row r="90" spans="1:4">
      <c r="A90" s="22">
        <f t="shared" si="2"/>
        <v>98.764708911823746</v>
      </c>
      <c r="B90">
        <v>987.64708911823743</v>
      </c>
      <c r="C90">
        <v>123791.19999999995</v>
      </c>
      <c r="D90" s="30">
        <f t="shared" si="3"/>
        <v>1237.9119999999996</v>
      </c>
    </row>
    <row r="91" spans="1:4">
      <c r="A91" s="22">
        <f t="shared" si="2"/>
        <v>99.887035149458114</v>
      </c>
      <c r="B91">
        <v>998.87035149458109</v>
      </c>
      <c r="C91">
        <v>123715.59999999995</v>
      </c>
      <c r="D91" s="30">
        <f t="shared" si="3"/>
        <v>1237.1559999999995</v>
      </c>
    </row>
    <row r="92" spans="1:4">
      <c r="A92" s="22">
        <f t="shared" si="2"/>
        <v>101.00936138709247</v>
      </c>
      <c r="B92">
        <v>1010.0936138709247</v>
      </c>
      <c r="C92">
        <v>123640</v>
      </c>
      <c r="D92" s="30">
        <f t="shared" si="3"/>
        <v>1236.4000000000001</v>
      </c>
    </row>
    <row r="93" spans="1:4">
      <c r="A93" s="22">
        <f t="shared" si="2"/>
        <v>102.13168762472682</v>
      </c>
      <c r="B93">
        <v>1021.3168762472683</v>
      </c>
      <c r="C93">
        <v>123523.9</v>
      </c>
      <c r="D93" s="30">
        <f t="shared" si="3"/>
        <v>1235.239</v>
      </c>
    </row>
    <row r="94" spans="1:4">
      <c r="A94" s="22">
        <f t="shared" si="2"/>
        <v>103.25401386236119</v>
      </c>
      <c r="B94">
        <v>1032.5401386236119</v>
      </c>
      <c r="C94">
        <v>123407.79999999999</v>
      </c>
      <c r="D94" s="30">
        <f t="shared" si="3"/>
        <v>1234.078</v>
      </c>
    </row>
    <row r="95" spans="1:4">
      <c r="A95" s="22">
        <f t="shared" si="2"/>
        <v>104.37634009999556</v>
      </c>
      <c r="B95">
        <v>1043.7634009999556</v>
      </c>
      <c r="C95">
        <v>123291.69999999998</v>
      </c>
      <c r="D95" s="30">
        <f t="shared" si="3"/>
        <v>1232.9169999999999</v>
      </c>
    </row>
    <row r="96" spans="1:4">
      <c r="A96" s="22">
        <f t="shared" si="2"/>
        <v>105.4986663376299</v>
      </c>
      <c r="B96">
        <v>1054.986663376299</v>
      </c>
      <c r="C96">
        <v>123175.59999999998</v>
      </c>
      <c r="D96" s="30">
        <f t="shared" si="3"/>
        <v>1231.7559999999999</v>
      </c>
    </row>
    <row r="97" spans="1:4">
      <c r="A97" s="22">
        <f t="shared" si="2"/>
        <v>106.62099257526427</v>
      </c>
      <c r="B97">
        <v>1066.2099257526427</v>
      </c>
      <c r="C97">
        <v>123059.49999999997</v>
      </c>
      <c r="D97" s="30">
        <f t="shared" si="3"/>
        <v>1230.5949999999998</v>
      </c>
    </row>
    <row r="98" spans="1:4">
      <c r="A98" s="22">
        <f t="shared" si="2"/>
        <v>107.74331881289864</v>
      </c>
      <c r="B98">
        <v>1077.4331881289863</v>
      </c>
      <c r="C98">
        <v>122943.39999999997</v>
      </c>
      <c r="D98" s="30">
        <f t="shared" si="3"/>
        <v>1229.4339999999997</v>
      </c>
    </row>
    <row r="99" spans="1:4">
      <c r="A99" s="22">
        <f t="shared" si="2"/>
        <v>108.865645050533</v>
      </c>
      <c r="B99">
        <v>1088.65645050533</v>
      </c>
      <c r="C99">
        <v>122827.29999999996</v>
      </c>
      <c r="D99" s="30">
        <f t="shared" si="3"/>
        <v>1228.2729999999997</v>
      </c>
    </row>
    <row r="100" spans="1:4">
      <c r="A100" s="22">
        <f t="shared" si="2"/>
        <v>109.98797128816736</v>
      </c>
      <c r="B100">
        <v>1099.8797128816736</v>
      </c>
      <c r="C100">
        <v>122711.19999999995</v>
      </c>
      <c r="D100" s="30">
        <f t="shared" si="3"/>
        <v>1227.1119999999996</v>
      </c>
    </row>
    <row r="101" spans="1:4">
      <c r="A101" s="22">
        <f t="shared" si="2"/>
        <v>111.11029752580171</v>
      </c>
      <c r="B101">
        <v>1111.1029752580171</v>
      </c>
      <c r="C101">
        <v>122595.09999999995</v>
      </c>
      <c r="D101" s="30">
        <f t="shared" si="3"/>
        <v>1225.9509999999996</v>
      </c>
    </row>
    <row r="102" spans="1:4">
      <c r="A102" s="22">
        <f t="shared" si="2"/>
        <v>112.23262376343607</v>
      </c>
      <c r="B102">
        <v>1122.3262376343607</v>
      </c>
      <c r="C102">
        <v>122479</v>
      </c>
      <c r="D102" s="30">
        <f t="shared" si="3"/>
        <v>1224.79</v>
      </c>
    </row>
    <row r="103" spans="1:4">
      <c r="A103" s="22">
        <f t="shared" si="2"/>
        <v>113.35495000107043</v>
      </c>
      <c r="B103">
        <v>1133.5495000107044</v>
      </c>
      <c r="C103">
        <v>122333</v>
      </c>
      <c r="D103" s="30">
        <f t="shared" si="3"/>
        <v>1223.33</v>
      </c>
    </row>
    <row r="104" spans="1:4">
      <c r="A104" s="22">
        <f t="shared" si="2"/>
        <v>114.4772762387048</v>
      </c>
      <c r="B104">
        <v>1144.772762387048</v>
      </c>
      <c r="C104">
        <v>122187</v>
      </c>
      <c r="D104" s="30">
        <f t="shared" si="3"/>
        <v>1221.8699999999999</v>
      </c>
    </row>
    <row r="105" spans="1:4">
      <c r="A105" s="22">
        <f t="shared" si="2"/>
        <v>115.59960247633917</v>
      </c>
      <c r="B105">
        <v>1155.9960247633917</v>
      </c>
      <c r="C105">
        <v>122041</v>
      </c>
      <c r="D105" s="30">
        <f t="shared" si="3"/>
        <v>1220.4100000000001</v>
      </c>
    </row>
    <row r="106" spans="1:4">
      <c r="A106" s="22">
        <f t="shared" si="2"/>
        <v>116.72192871397351</v>
      </c>
      <c r="B106">
        <v>1167.2192871397351</v>
      </c>
      <c r="C106">
        <v>121895</v>
      </c>
      <c r="D106" s="30">
        <f t="shared" si="3"/>
        <v>1218.95</v>
      </c>
    </row>
    <row r="107" spans="1:4">
      <c r="A107" s="22">
        <f t="shared" si="2"/>
        <v>117.84425495160788</v>
      </c>
      <c r="B107">
        <v>1178.4425495160788</v>
      </c>
      <c r="C107">
        <v>121749</v>
      </c>
      <c r="D107" s="30">
        <f t="shared" si="3"/>
        <v>1217.49</v>
      </c>
    </row>
    <row r="108" spans="1:4">
      <c r="A108" s="22">
        <f t="shared" si="2"/>
        <v>118.96658118924225</v>
      </c>
      <c r="B108">
        <v>1189.6658118924224</v>
      </c>
      <c r="C108">
        <v>121603</v>
      </c>
      <c r="D108" s="30">
        <f t="shared" si="3"/>
        <v>1216.03</v>
      </c>
    </row>
    <row r="109" spans="1:4">
      <c r="A109" s="22">
        <f t="shared" si="2"/>
        <v>120.0889074268766</v>
      </c>
      <c r="B109">
        <v>1200.8890742687661</v>
      </c>
      <c r="C109">
        <v>121457</v>
      </c>
      <c r="D109" s="30">
        <f t="shared" si="3"/>
        <v>1214.57</v>
      </c>
    </row>
    <row r="110" spans="1:4">
      <c r="A110" s="22">
        <f t="shared" si="2"/>
        <v>121.21123366451097</v>
      </c>
      <c r="B110">
        <v>1212.1123366451097</v>
      </c>
      <c r="C110">
        <v>121311</v>
      </c>
      <c r="D110" s="30">
        <f t="shared" si="3"/>
        <v>1213.1099999999999</v>
      </c>
    </row>
    <row r="111" spans="1:4">
      <c r="A111" s="22">
        <f t="shared" si="2"/>
        <v>122.33355990214531</v>
      </c>
      <c r="B111">
        <v>1223.3355990214532</v>
      </c>
      <c r="C111">
        <v>121165</v>
      </c>
      <c r="D111" s="30">
        <f t="shared" si="3"/>
        <v>1211.6500000000001</v>
      </c>
    </row>
    <row r="112" spans="1:4">
      <c r="A112" s="22">
        <f t="shared" si="2"/>
        <v>123.45588613977968</v>
      </c>
      <c r="B112">
        <v>1234.5588613977968</v>
      </c>
      <c r="C112">
        <v>121019</v>
      </c>
      <c r="D112" s="30">
        <f t="shared" si="3"/>
        <v>1210.19</v>
      </c>
    </row>
    <row r="113" spans="1:4">
      <c r="A113" s="22">
        <f t="shared" si="2"/>
        <v>124.57821237741405</v>
      </c>
      <c r="B113">
        <v>1245.7821237741405</v>
      </c>
      <c r="C113">
        <v>120859.7</v>
      </c>
      <c r="D113" s="30">
        <f t="shared" si="3"/>
        <v>1208.597</v>
      </c>
    </row>
    <row r="114" spans="1:4">
      <c r="A114" s="22">
        <f t="shared" si="2"/>
        <v>125.70053861504842</v>
      </c>
      <c r="B114">
        <v>1257.0053861504841</v>
      </c>
      <c r="C114">
        <v>120700.4</v>
      </c>
      <c r="D114" s="30">
        <f t="shared" si="3"/>
        <v>1207.0039999999999</v>
      </c>
    </row>
    <row r="115" spans="1:4">
      <c r="A115" s="22">
        <f t="shared" si="2"/>
        <v>126.82286485268276</v>
      </c>
      <c r="B115">
        <v>1268.2286485268276</v>
      </c>
      <c r="C115">
        <v>120541.09999999999</v>
      </c>
      <c r="D115" s="30">
        <f t="shared" si="3"/>
        <v>1205.4109999999998</v>
      </c>
    </row>
    <row r="116" spans="1:4">
      <c r="A116" s="22">
        <f t="shared" si="2"/>
        <v>127.94519109031712</v>
      </c>
      <c r="B116">
        <v>1279.4519109031712</v>
      </c>
      <c r="C116">
        <v>120381.79999999999</v>
      </c>
      <c r="D116" s="30">
        <f t="shared" si="3"/>
        <v>1203.818</v>
      </c>
    </row>
    <row r="117" spans="1:4">
      <c r="A117" s="22">
        <f t="shared" si="2"/>
        <v>129.06751732795149</v>
      </c>
      <c r="B117">
        <v>1290.6751732795149</v>
      </c>
      <c r="C117">
        <v>120222.49999999999</v>
      </c>
      <c r="D117" s="30">
        <f t="shared" si="3"/>
        <v>1202.2249999999999</v>
      </c>
    </row>
    <row r="118" spans="1:4">
      <c r="A118" s="22">
        <f t="shared" si="2"/>
        <v>130.18984356558585</v>
      </c>
      <c r="B118">
        <v>1301.8984356558585</v>
      </c>
      <c r="C118">
        <v>120063.19999999998</v>
      </c>
      <c r="D118" s="30">
        <f t="shared" si="3"/>
        <v>1200.6319999999998</v>
      </c>
    </row>
    <row r="119" spans="1:4">
      <c r="A119" s="22">
        <f t="shared" si="2"/>
        <v>131.31216980322023</v>
      </c>
      <c r="B119">
        <v>1313.1216980322022</v>
      </c>
      <c r="C119">
        <v>119903.89999999998</v>
      </c>
      <c r="D119" s="30">
        <f t="shared" si="3"/>
        <v>1199.0389999999998</v>
      </c>
    </row>
    <row r="120" spans="1:4">
      <c r="A120" s="22">
        <f t="shared" si="2"/>
        <v>132.43449604085455</v>
      </c>
      <c r="B120">
        <v>1324.3449604085456</v>
      </c>
      <c r="C120">
        <v>119744.59999999998</v>
      </c>
      <c r="D120" s="30">
        <f t="shared" si="3"/>
        <v>1197.4459999999997</v>
      </c>
    </row>
    <row r="121" spans="1:4">
      <c r="A121" s="22">
        <f t="shared" si="2"/>
        <v>133.55682227848894</v>
      </c>
      <c r="B121">
        <v>1335.5682227848893</v>
      </c>
      <c r="C121">
        <v>119585.29999999997</v>
      </c>
      <c r="D121" s="30">
        <f t="shared" si="3"/>
        <v>1195.8529999999998</v>
      </c>
    </row>
    <row r="122" spans="1:4">
      <c r="A122" s="22">
        <f t="shared" si="2"/>
        <v>134.67914851612329</v>
      </c>
      <c r="B122">
        <v>1346.7914851612329</v>
      </c>
      <c r="C122">
        <v>119426</v>
      </c>
      <c r="D122" s="30">
        <f t="shared" si="3"/>
        <v>1194.26</v>
      </c>
    </row>
    <row r="123" spans="1:4">
      <c r="A123" s="22">
        <f t="shared" si="2"/>
        <v>135.80147475375765</v>
      </c>
      <c r="B123">
        <v>1358.0147475375766</v>
      </c>
      <c r="C123">
        <v>119266.7</v>
      </c>
      <c r="D123" s="30">
        <f t="shared" si="3"/>
        <v>1192.6669999999999</v>
      </c>
    </row>
    <row r="124" spans="1:4">
      <c r="A124" s="22">
        <f t="shared" si="2"/>
        <v>136.92380099139203</v>
      </c>
      <c r="B124">
        <v>1369.2380099139202</v>
      </c>
      <c r="C124">
        <v>119107.4</v>
      </c>
      <c r="D124" s="30">
        <f t="shared" si="3"/>
        <v>1191.0739999999998</v>
      </c>
    </row>
    <row r="125" spans="1:4">
      <c r="A125" s="22">
        <f t="shared" si="2"/>
        <v>138.04612722902635</v>
      </c>
      <c r="B125">
        <v>1380.4612722902637</v>
      </c>
      <c r="C125">
        <v>118948.09999999999</v>
      </c>
      <c r="D125" s="30">
        <f t="shared" si="3"/>
        <v>1189.481</v>
      </c>
    </row>
    <row r="126" spans="1:4">
      <c r="A126" s="22">
        <f t="shared" si="2"/>
        <v>139.16845346666074</v>
      </c>
      <c r="B126">
        <v>1391.6845346666073</v>
      </c>
      <c r="C126">
        <v>118788.79999999999</v>
      </c>
      <c r="D126" s="30">
        <f t="shared" si="3"/>
        <v>1187.8879999999999</v>
      </c>
    </row>
    <row r="127" spans="1:4">
      <c r="A127" s="22">
        <f t="shared" si="2"/>
        <v>140.29077970429509</v>
      </c>
      <c r="B127">
        <v>1402.907797042951</v>
      </c>
      <c r="C127">
        <v>118629.49999999999</v>
      </c>
      <c r="D127" s="30">
        <f t="shared" si="3"/>
        <v>1186.2949999999998</v>
      </c>
    </row>
    <row r="128" spans="1:4">
      <c r="A128" s="22">
        <f t="shared" si="2"/>
        <v>141.41310594192947</v>
      </c>
      <c r="B128">
        <v>1414.1310594192946</v>
      </c>
      <c r="C128">
        <v>118470.19999999998</v>
      </c>
      <c r="D128" s="30">
        <f t="shared" si="3"/>
        <v>1184.7019999999998</v>
      </c>
    </row>
    <row r="129" spans="1:4">
      <c r="A129" s="22">
        <f t="shared" si="2"/>
        <v>142.53543217956383</v>
      </c>
      <c r="B129">
        <v>1425.3543217956383</v>
      </c>
      <c r="C129">
        <v>118310.89999999998</v>
      </c>
      <c r="D129" s="30">
        <f t="shared" si="3"/>
        <v>1183.1089999999997</v>
      </c>
    </row>
    <row r="130" spans="1:4">
      <c r="A130" s="22">
        <f t="shared" si="2"/>
        <v>143.65775841719818</v>
      </c>
      <c r="B130">
        <v>1436.5775841719817</v>
      </c>
      <c r="C130">
        <v>118151.59999999998</v>
      </c>
      <c r="D130" s="30">
        <f t="shared" si="3"/>
        <v>1181.5159999999998</v>
      </c>
    </row>
    <row r="131" spans="1:4">
      <c r="A131" s="22">
        <f t="shared" ref="A131:A194" si="4">B131/10</f>
        <v>144.78008465483254</v>
      </c>
      <c r="B131">
        <v>1447.8008465483254</v>
      </c>
      <c r="C131">
        <v>117992.29999999997</v>
      </c>
      <c r="D131" s="30">
        <f t="shared" ref="D131:D194" si="5">C131/100</f>
        <v>1179.9229999999998</v>
      </c>
    </row>
    <row r="132" spans="1:4">
      <c r="A132" s="22">
        <f t="shared" si="4"/>
        <v>145.90241089246689</v>
      </c>
      <c r="B132">
        <v>1459.024108924669</v>
      </c>
      <c r="C132">
        <v>117833</v>
      </c>
      <c r="D132" s="30">
        <f t="shared" si="5"/>
        <v>1178.33</v>
      </c>
    </row>
    <row r="133" spans="1:4">
      <c r="A133" s="22">
        <f t="shared" si="4"/>
        <v>147.02473713010127</v>
      </c>
      <c r="B133">
        <v>1470.2473713010127</v>
      </c>
      <c r="C133">
        <v>117674.192</v>
      </c>
      <c r="D133" s="30">
        <f t="shared" si="5"/>
        <v>1176.7419199999999</v>
      </c>
    </row>
    <row r="134" spans="1:4">
      <c r="A134" s="22">
        <f t="shared" si="4"/>
        <v>148.14706336773563</v>
      </c>
      <c r="B134">
        <v>1481.4706336773563</v>
      </c>
      <c r="C134">
        <v>117515.38399999999</v>
      </c>
      <c r="D134" s="30">
        <f t="shared" si="5"/>
        <v>1175.1538399999999</v>
      </c>
    </row>
    <row r="135" spans="1:4">
      <c r="A135" s="22">
        <f t="shared" si="4"/>
        <v>149.26938960536998</v>
      </c>
      <c r="B135">
        <v>1492.6938960536997</v>
      </c>
      <c r="C135">
        <v>117356.57599999999</v>
      </c>
      <c r="D135" s="30">
        <f t="shared" si="5"/>
        <v>1173.56576</v>
      </c>
    </row>
    <row r="136" spans="1:4">
      <c r="A136" s="22">
        <f t="shared" si="4"/>
        <v>150.39171584300433</v>
      </c>
      <c r="B136">
        <v>1503.9171584300434</v>
      </c>
      <c r="C136">
        <v>117197.76799999998</v>
      </c>
      <c r="D136" s="30">
        <f t="shared" si="5"/>
        <v>1171.9776799999997</v>
      </c>
    </row>
    <row r="137" spans="1:4">
      <c r="A137" s="22">
        <f t="shared" si="4"/>
        <v>151.51404208063872</v>
      </c>
      <c r="B137">
        <v>1515.1404208063871</v>
      </c>
      <c r="C137">
        <v>117038.95999999998</v>
      </c>
      <c r="D137" s="30">
        <f t="shared" si="5"/>
        <v>1170.3895999999997</v>
      </c>
    </row>
    <row r="138" spans="1:4">
      <c r="A138" s="22">
        <f t="shared" si="4"/>
        <v>152.63636831827307</v>
      </c>
      <c r="B138">
        <v>1526.3636831827307</v>
      </c>
      <c r="C138">
        <v>116880.15199999997</v>
      </c>
      <c r="D138" s="30">
        <f t="shared" si="5"/>
        <v>1168.8015199999998</v>
      </c>
    </row>
    <row r="139" spans="1:4">
      <c r="A139" s="22">
        <f t="shared" si="4"/>
        <v>153.75869455590743</v>
      </c>
      <c r="B139">
        <v>1537.5869455590741</v>
      </c>
      <c r="C139">
        <v>116721.34399999997</v>
      </c>
      <c r="D139" s="30">
        <f t="shared" si="5"/>
        <v>1167.2134399999998</v>
      </c>
    </row>
    <row r="140" spans="1:4">
      <c r="A140" s="22">
        <f t="shared" si="4"/>
        <v>154.88102079354178</v>
      </c>
      <c r="B140">
        <v>1548.8102079354178</v>
      </c>
      <c r="C140">
        <v>116562.53599999996</v>
      </c>
      <c r="D140" s="30">
        <f t="shared" si="5"/>
        <v>1165.6253599999995</v>
      </c>
    </row>
    <row r="141" spans="1:4">
      <c r="A141" s="22">
        <f t="shared" si="4"/>
        <v>156.00334703117613</v>
      </c>
      <c r="B141">
        <v>1560.0334703117614</v>
      </c>
      <c r="C141">
        <v>116403.72799999996</v>
      </c>
      <c r="D141" s="30">
        <f t="shared" si="5"/>
        <v>1164.0372799999996</v>
      </c>
    </row>
    <row r="142" spans="1:4">
      <c r="A142" s="22">
        <f t="shared" si="4"/>
        <v>157.12567326881052</v>
      </c>
      <c r="B142">
        <v>1571.2567326881051</v>
      </c>
      <c r="C142">
        <v>116244.92</v>
      </c>
      <c r="D142" s="30">
        <f t="shared" si="5"/>
        <v>1162.4492</v>
      </c>
    </row>
    <row r="143" spans="1:4">
      <c r="A143" s="22">
        <f t="shared" si="4"/>
        <v>158.24799950644487</v>
      </c>
      <c r="B143">
        <v>1582.4799950644488</v>
      </c>
      <c r="C143">
        <v>116086.288</v>
      </c>
      <c r="D143" s="30">
        <f t="shared" si="5"/>
        <v>1160.8628799999999</v>
      </c>
    </row>
    <row r="144" spans="1:4">
      <c r="A144" s="22">
        <f t="shared" si="4"/>
        <v>159.37032574407922</v>
      </c>
      <c r="B144">
        <v>1593.7032574407922</v>
      </c>
      <c r="C144">
        <v>115927.656</v>
      </c>
      <c r="D144" s="30">
        <f t="shared" si="5"/>
        <v>1159.27656</v>
      </c>
    </row>
    <row r="145" spans="1:4">
      <c r="A145" s="22">
        <f t="shared" si="4"/>
        <v>160.49265198171358</v>
      </c>
      <c r="B145">
        <v>1604.9265198171358</v>
      </c>
      <c r="C145">
        <v>115769.024</v>
      </c>
      <c r="D145" s="30">
        <f t="shared" si="5"/>
        <v>1157.6902400000001</v>
      </c>
    </row>
    <row r="146" spans="1:4">
      <c r="A146" s="22">
        <f t="shared" si="4"/>
        <v>161.61497821934796</v>
      </c>
      <c r="B146">
        <v>1616.1497821934795</v>
      </c>
      <c r="C146">
        <v>115610.39200000001</v>
      </c>
      <c r="D146" s="30">
        <f t="shared" si="5"/>
        <v>1156.10392</v>
      </c>
    </row>
    <row r="147" spans="1:4">
      <c r="A147" s="22">
        <f t="shared" si="4"/>
        <v>162.73730445698232</v>
      </c>
      <c r="B147">
        <v>1627.3730445698232</v>
      </c>
      <c r="C147">
        <v>115451.76000000001</v>
      </c>
      <c r="D147" s="30">
        <f t="shared" si="5"/>
        <v>1154.5176000000001</v>
      </c>
    </row>
    <row r="148" spans="1:4">
      <c r="A148" s="22">
        <f t="shared" si="4"/>
        <v>163.85963069461667</v>
      </c>
      <c r="B148">
        <v>1638.5963069461668</v>
      </c>
      <c r="C148">
        <v>115293.12800000001</v>
      </c>
      <c r="D148" s="30">
        <f t="shared" si="5"/>
        <v>1152.93128</v>
      </c>
    </row>
    <row r="149" spans="1:4">
      <c r="A149" s="22">
        <f t="shared" si="4"/>
        <v>164.98195693225102</v>
      </c>
      <c r="B149">
        <v>1649.8195693225102</v>
      </c>
      <c r="C149">
        <v>115134.49600000001</v>
      </c>
      <c r="D149" s="30">
        <f t="shared" si="5"/>
        <v>1151.3449600000001</v>
      </c>
    </row>
    <row r="150" spans="1:4">
      <c r="A150" s="22">
        <f t="shared" si="4"/>
        <v>166.10428316988538</v>
      </c>
      <c r="B150">
        <v>1661.0428316988539</v>
      </c>
      <c r="C150">
        <v>114975.86400000002</v>
      </c>
      <c r="D150" s="30">
        <f t="shared" si="5"/>
        <v>1149.7586400000002</v>
      </c>
    </row>
    <row r="151" spans="1:4">
      <c r="A151" s="22">
        <f t="shared" si="4"/>
        <v>167.22660940751976</v>
      </c>
      <c r="B151">
        <v>1672.2660940751975</v>
      </c>
      <c r="C151">
        <v>114817.23200000002</v>
      </c>
      <c r="D151" s="30">
        <f t="shared" si="5"/>
        <v>1148.1723200000001</v>
      </c>
    </row>
    <row r="152" spans="1:4">
      <c r="A152" s="22">
        <f t="shared" si="4"/>
        <v>168.34893564515411</v>
      </c>
      <c r="B152">
        <v>1683.4893564515412</v>
      </c>
      <c r="C152">
        <v>114658.6</v>
      </c>
      <c r="D152" s="30">
        <f t="shared" si="5"/>
        <v>1146.586</v>
      </c>
    </row>
    <row r="153" spans="1:4">
      <c r="A153" s="22">
        <f t="shared" si="4"/>
        <v>169.4712618827885</v>
      </c>
      <c r="B153">
        <v>1694.7126188278849</v>
      </c>
      <c r="C153">
        <v>114499.98070418001</v>
      </c>
      <c r="D153" s="30">
        <f t="shared" si="5"/>
        <v>1144.9998070418001</v>
      </c>
    </row>
    <row r="154" spans="1:4">
      <c r="A154" s="22">
        <f t="shared" si="4"/>
        <v>170.59358812042282</v>
      </c>
      <c r="B154">
        <v>1705.9358812042283</v>
      </c>
      <c r="C154">
        <v>114341.36140836001</v>
      </c>
      <c r="D154" s="30">
        <f t="shared" si="5"/>
        <v>1143.4136140836001</v>
      </c>
    </row>
    <row r="155" spans="1:4">
      <c r="A155" s="22">
        <f t="shared" si="4"/>
        <v>171.7159143580572</v>
      </c>
      <c r="B155">
        <v>1717.1591435805719</v>
      </c>
      <c r="C155">
        <v>114182.74211254001</v>
      </c>
      <c r="D155" s="30">
        <f t="shared" si="5"/>
        <v>1141.8274211254002</v>
      </c>
    </row>
    <row r="156" spans="1:4">
      <c r="A156" s="22">
        <f t="shared" si="4"/>
        <v>172.83824059569156</v>
      </c>
      <c r="B156">
        <v>1728.3824059569156</v>
      </c>
      <c r="C156">
        <v>114024.12281672002</v>
      </c>
      <c r="D156" s="30">
        <f t="shared" si="5"/>
        <v>1140.2412281672002</v>
      </c>
    </row>
    <row r="157" spans="1:4">
      <c r="A157" s="22">
        <f t="shared" si="4"/>
        <v>173.96056683332591</v>
      </c>
      <c r="B157">
        <v>1739.6056683332592</v>
      </c>
      <c r="C157">
        <v>113865.50352090002</v>
      </c>
      <c r="D157" s="30">
        <f t="shared" si="5"/>
        <v>1138.6550352090003</v>
      </c>
    </row>
    <row r="158" spans="1:4">
      <c r="A158" s="22">
        <f t="shared" si="4"/>
        <v>175.0828930709603</v>
      </c>
      <c r="B158">
        <v>1750.8289307096029</v>
      </c>
      <c r="C158">
        <v>113706.88422508002</v>
      </c>
      <c r="D158" s="30">
        <f t="shared" si="5"/>
        <v>1137.0688422508001</v>
      </c>
    </row>
    <row r="159" spans="1:4">
      <c r="A159" s="22">
        <f t="shared" si="4"/>
        <v>176.20521930859462</v>
      </c>
      <c r="B159">
        <v>1762.0521930859463</v>
      </c>
      <c r="C159">
        <v>113548.26492926003</v>
      </c>
      <c r="D159" s="30">
        <f t="shared" si="5"/>
        <v>1135.4826492926002</v>
      </c>
    </row>
    <row r="160" spans="1:4">
      <c r="A160" s="22">
        <f t="shared" si="4"/>
        <v>177.327545546229</v>
      </c>
      <c r="B160">
        <v>1773.27545546229</v>
      </c>
      <c r="C160">
        <v>113389.64563344003</v>
      </c>
      <c r="D160" s="30">
        <f t="shared" si="5"/>
        <v>1133.8964563344002</v>
      </c>
    </row>
    <row r="161" spans="1:4">
      <c r="A161" s="22">
        <f t="shared" si="4"/>
        <v>178.44987178386336</v>
      </c>
      <c r="B161">
        <v>1784.4987178386336</v>
      </c>
      <c r="C161">
        <v>113231.02633762003</v>
      </c>
      <c r="D161" s="30">
        <f t="shared" si="5"/>
        <v>1132.3102633762003</v>
      </c>
    </row>
    <row r="162" spans="1:4">
      <c r="A162" s="22">
        <f t="shared" si="4"/>
        <v>179.57219802149774</v>
      </c>
      <c r="B162">
        <v>1795.7219802149773</v>
      </c>
      <c r="C162">
        <v>113072.40704180003</v>
      </c>
      <c r="D162" s="30">
        <f t="shared" si="5"/>
        <v>1130.7240704180003</v>
      </c>
    </row>
    <row r="163" spans="1:4">
      <c r="A163" s="22">
        <f t="shared" si="4"/>
        <v>180.69452425913207</v>
      </c>
      <c r="B163">
        <v>1806.9452425913207</v>
      </c>
      <c r="C163">
        <v>112913.78774598004</v>
      </c>
      <c r="D163" s="30">
        <f t="shared" si="5"/>
        <v>1129.1378774598004</v>
      </c>
    </row>
    <row r="164" spans="1:4">
      <c r="A164" s="22">
        <f t="shared" si="4"/>
        <v>181.81685049676645</v>
      </c>
      <c r="B164">
        <v>1818.1685049676644</v>
      </c>
      <c r="C164">
        <v>112755.16845016004</v>
      </c>
      <c r="D164" s="30">
        <f t="shared" si="5"/>
        <v>1127.5516845016004</v>
      </c>
    </row>
    <row r="165" spans="1:4">
      <c r="A165" s="22">
        <f t="shared" si="4"/>
        <v>182.9391767344008</v>
      </c>
      <c r="B165">
        <v>1829.391767344008</v>
      </c>
      <c r="C165">
        <v>112596.54915434004</v>
      </c>
      <c r="D165" s="30">
        <f t="shared" si="5"/>
        <v>1125.9654915434005</v>
      </c>
    </row>
    <row r="166" spans="1:4">
      <c r="A166" s="22">
        <f t="shared" si="4"/>
        <v>184.06150297203516</v>
      </c>
      <c r="B166">
        <v>1840.6150297203517</v>
      </c>
      <c r="C166">
        <v>112437.92985852004</v>
      </c>
      <c r="D166" s="30">
        <f t="shared" si="5"/>
        <v>1124.3792985852006</v>
      </c>
    </row>
    <row r="167" spans="1:4">
      <c r="A167" s="22">
        <f t="shared" si="4"/>
        <v>185.18382920966954</v>
      </c>
      <c r="B167">
        <v>1851.8382920966953</v>
      </c>
      <c r="C167">
        <v>112279.31056270005</v>
      </c>
      <c r="D167" s="30">
        <f t="shared" si="5"/>
        <v>1122.7931056270004</v>
      </c>
    </row>
    <row r="168" spans="1:4">
      <c r="A168" s="22">
        <f t="shared" si="4"/>
        <v>186.30615544730387</v>
      </c>
      <c r="B168">
        <v>1863.0615544730388</v>
      </c>
      <c r="C168">
        <v>112120.69126688005</v>
      </c>
      <c r="D168" s="30">
        <f t="shared" si="5"/>
        <v>1121.2069126688004</v>
      </c>
    </row>
    <row r="169" spans="1:4">
      <c r="A169" s="22">
        <f t="shared" si="4"/>
        <v>187.42848168493825</v>
      </c>
      <c r="B169">
        <v>1874.2848168493824</v>
      </c>
      <c r="C169">
        <v>111962.07197106005</v>
      </c>
      <c r="D169" s="30">
        <f t="shared" si="5"/>
        <v>1119.6207197106005</v>
      </c>
    </row>
    <row r="170" spans="1:4">
      <c r="A170" s="22">
        <f t="shared" si="4"/>
        <v>188.5508079225726</v>
      </c>
      <c r="B170">
        <v>1885.5080792257261</v>
      </c>
      <c r="C170">
        <v>111803.45267524006</v>
      </c>
      <c r="D170" s="30">
        <f t="shared" si="5"/>
        <v>1118.0345267524006</v>
      </c>
    </row>
    <row r="171" spans="1:4">
      <c r="A171" s="22">
        <f t="shared" si="4"/>
        <v>189.67313416020698</v>
      </c>
      <c r="B171">
        <v>1896.7313416020697</v>
      </c>
      <c r="C171">
        <v>111644.83337942006</v>
      </c>
      <c r="D171" s="30">
        <f t="shared" si="5"/>
        <v>1116.4483337942006</v>
      </c>
    </row>
    <row r="172" spans="1:4">
      <c r="A172" s="22">
        <f t="shared" si="4"/>
        <v>190.79546039784134</v>
      </c>
      <c r="B172">
        <v>1907.9546039784134</v>
      </c>
      <c r="C172">
        <v>111486.21408360006</v>
      </c>
      <c r="D172" s="30">
        <f t="shared" si="5"/>
        <v>1114.8621408360007</v>
      </c>
    </row>
    <row r="173" spans="1:4">
      <c r="A173" s="22">
        <f t="shared" si="4"/>
        <v>191.91778663547569</v>
      </c>
      <c r="B173">
        <v>1919.1778663547568</v>
      </c>
      <c r="C173">
        <v>111327.59478778006</v>
      </c>
      <c r="D173" s="30">
        <f t="shared" si="5"/>
        <v>1113.2759478778007</v>
      </c>
    </row>
    <row r="174" spans="1:4">
      <c r="A174" s="22">
        <f t="shared" si="4"/>
        <v>193.04011287311005</v>
      </c>
      <c r="B174">
        <v>1930.4011287311005</v>
      </c>
      <c r="C174">
        <v>111168.97549196007</v>
      </c>
      <c r="D174" s="30">
        <f t="shared" si="5"/>
        <v>1111.6897549196008</v>
      </c>
    </row>
    <row r="175" spans="1:4">
      <c r="A175" s="22">
        <f t="shared" si="4"/>
        <v>194.1624391107444</v>
      </c>
      <c r="B175">
        <v>1941.6243911074441</v>
      </c>
      <c r="C175">
        <v>111010.35619614007</v>
      </c>
      <c r="D175" s="30">
        <f t="shared" si="5"/>
        <v>1110.1035619614006</v>
      </c>
    </row>
    <row r="176" spans="1:4">
      <c r="A176" s="22">
        <f t="shared" si="4"/>
        <v>195.28476534837878</v>
      </c>
      <c r="B176">
        <v>1952.8476534837878</v>
      </c>
      <c r="C176">
        <v>110851.73690032007</v>
      </c>
      <c r="D176" s="30">
        <f t="shared" si="5"/>
        <v>1108.5173690032007</v>
      </c>
    </row>
    <row r="177" spans="1:4">
      <c r="A177" s="22">
        <f t="shared" si="4"/>
        <v>196.40709158601314</v>
      </c>
      <c r="B177">
        <v>1964.0709158601314</v>
      </c>
      <c r="C177">
        <v>110693.11760450008</v>
      </c>
      <c r="D177" s="30">
        <f t="shared" si="5"/>
        <v>1106.9311760450007</v>
      </c>
    </row>
    <row r="178" spans="1:4">
      <c r="A178" s="22">
        <f t="shared" si="4"/>
        <v>197.52941782364749</v>
      </c>
      <c r="B178">
        <v>1975.2941782364749</v>
      </c>
      <c r="C178">
        <v>110534.49830868008</v>
      </c>
      <c r="D178" s="30">
        <f t="shared" si="5"/>
        <v>1105.3449830868008</v>
      </c>
    </row>
    <row r="179" spans="1:4">
      <c r="A179" s="22">
        <f t="shared" si="4"/>
        <v>198.65174406128185</v>
      </c>
      <c r="B179">
        <v>1986.5174406128185</v>
      </c>
      <c r="C179">
        <v>110375.87901286008</v>
      </c>
      <c r="D179" s="30">
        <f t="shared" si="5"/>
        <v>1103.7587901286008</v>
      </c>
    </row>
    <row r="180" spans="1:4">
      <c r="A180" s="22">
        <f t="shared" si="4"/>
        <v>199.77407029891623</v>
      </c>
      <c r="B180">
        <v>1997.7407029891622</v>
      </c>
      <c r="C180">
        <v>110217.25971704008</v>
      </c>
      <c r="D180" s="30">
        <f t="shared" si="5"/>
        <v>1102.1725971704009</v>
      </c>
    </row>
    <row r="181" spans="1:4">
      <c r="A181" s="22">
        <f t="shared" si="4"/>
        <v>200.89639653655058</v>
      </c>
      <c r="B181">
        <v>2008.9639653655058</v>
      </c>
      <c r="C181">
        <v>110058.64042122009</v>
      </c>
      <c r="D181" s="30">
        <f t="shared" si="5"/>
        <v>1100.5864042122009</v>
      </c>
    </row>
    <row r="182" spans="1:4">
      <c r="A182" s="22">
        <f t="shared" si="4"/>
        <v>202.01872277418494</v>
      </c>
      <c r="B182">
        <v>2020.1872277418495</v>
      </c>
      <c r="C182">
        <v>109900.02112540009</v>
      </c>
      <c r="D182" s="30">
        <f t="shared" si="5"/>
        <v>1099.000211254001</v>
      </c>
    </row>
    <row r="183" spans="1:4">
      <c r="A183" s="22">
        <f t="shared" si="4"/>
        <v>203.14104901181929</v>
      </c>
      <c r="B183">
        <v>2031.4104901181929</v>
      </c>
      <c r="C183">
        <v>109741.40182958009</v>
      </c>
      <c r="D183" s="30">
        <f t="shared" si="5"/>
        <v>1097.4140182958008</v>
      </c>
    </row>
    <row r="184" spans="1:4">
      <c r="A184" s="22">
        <f t="shared" si="4"/>
        <v>204.26337524945365</v>
      </c>
      <c r="B184">
        <v>2042.6337524945366</v>
      </c>
      <c r="C184">
        <v>109582.7825337601</v>
      </c>
      <c r="D184" s="30">
        <f t="shared" si="5"/>
        <v>1095.8278253376009</v>
      </c>
    </row>
    <row r="185" spans="1:4">
      <c r="A185" s="22">
        <f t="shared" si="4"/>
        <v>205.385701487088</v>
      </c>
      <c r="B185">
        <v>2053.85701487088</v>
      </c>
      <c r="C185">
        <v>109424.1632379401</v>
      </c>
      <c r="D185" s="30">
        <f t="shared" si="5"/>
        <v>1094.2416323794009</v>
      </c>
    </row>
    <row r="186" spans="1:4">
      <c r="A186" s="22">
        <f t="shared" si="4"/>
        <v>206.50802772472238</v>
      </c>
      <c r="B186">
        <v>2065.0802772472239</v>
      </c>
      <c r="C186">
        <v>109265.5439421201</v>
      </c>
      <c r="D186" s="30">
        <f t="shared" si="5"/>
        <v>1092.655439421201</v>
      </c>
    </row>
    <row r="187" spans="1:4">
      <c r="A187" s="22">
        <f t="shared" si="4"/>
        <v>207.63035396235674</v>
      </c>
      <c r="B187">
        <v>2076.3035396235673</v>
      </c>
      <c r="C187">
        <v>109106.9246463001</v>
      </c>
      <c r="D187" s="30">
        <f t="shared" si="5"/>
        <v>1091.069246463001</v>
      </c>
    </row>
    <row r="188" spans="1:4">
      <c r="A188" s="22">
        <f t="shared" si="4"/>
        <v>208.75268019999112</v>
      </c>
      <c r="B188">
        <v>2087.5268019999112</v>
      </c>
      <c r="C188">
        <v>108948.30535048011</v>
      </c>
      <c r="D188" s="30">
        <f t="shared" si="5"/>
        <v>1089.4830535048011</v>
      </c>
    </row>
    <row r="189" spans="1:4">
      <c r="A189" s="22">
        <f t="shared" si="4"/>
        <v>209.87500643762547</v>
      </c>
      <c r="B189">
        <v>2098.7500643762546</v>
      </c>
      <c r="C189">
        <v>108789.68605466011</v>
      </c>
      <c r="D189" s="30">
        <f t="shared" si="5"/>
        <v>1087.8968605466011</v>
      </c>
    </row>
    <row r="190" spans="1:4">
      <c r="A190" s="22">
        <f t="shared" si="4"/>
        <v>210.9973326752598</v>
      </c>
      <c r="B190">
        <v>2109.973326752598</v>
      </c>
      <c r="C190">
        <v>108631.06675884011</v>
      </c>
      <c r="D190" s="30">
        <f t="shared" si="5"/>
        <v>1086.3106675884012</v>
      </c>
    </row>
    <row r="191" spans="1:4">
      <c r="A191" s="22">
        <f t="shared" si="4"/>
        <v>212.11965891289418</v>
      </c>
      <c r="B191">
        <v>2121.1965891289419</v>
      </c>
      <c r="C191">
        <v>108472.44746302011</v>
      </c>
      <c r="D191" s="30">
        <f t="shared" si="5"/>
        <v>1084.7244746302013</v>
      </c>
    </row>
    <row r="192" spans="1:4">
      <c r="A192" s="22">
        <f t="shared" si="4"/>
        <v>213.24198515052854</v>
      </c>
      <c r="B192">
        <v>2132.4198515052854</v>
      </c>
      <c r="C192">
        <v>108313.82816720012</v>
      </c>
      <c r="D192" s="30">
        <f t="shared" si="5"/>
        <v>1083.1382816720011</v>
      </c>
    </row>
    <row r="193" spans="1:4">
      <c r="A193" s="22">
        <f t="shared" si="4"/>
        <v>214.36431138816292</v>
      </c>
      <c r="B193">
        <v>2143.6431138816292</v>
      </c>
      <c r="C193">
        <v>108155.20887138012</v>
      </c>
      <c r="D193" s="30">
        <f t="shared" si="5"/>
        <v>1081.5520887138011</v>
      </c>
    </row>
    <row r="194" spans="1:4">
      <c r="A194" s="22">
        <f t="shared" si="4"/>
        <v>215.48663762579727</v>
      </c>
      <c r="B194">
        <v>2154.8663762579727</v>
      </c>
      <c r="C194">
        <v>107996.58957556012</v>
      </c>
      <c r="D194" s="30">
        <f t="shared" si="5"/>
        <v>1079.9658957556012</v>
      </c>
    </row>
    <row r="195" spans="1:4">
      <c r="A195" s="22">
        <f t="shared" ref="A195:A258" si="6">B195/10</f>
        <v>216.6089638634316</v>
      </c>
      <c r="B195">
        <v>2166.0896386343161</v>
      </c>
      <c r="C195">
        <v>107837.97027974013</v>
      </c>
      <c r="D195" s="30">
        <f t="shared" ref="D195:D258" si="7">C195/100</f>
        <v>1078.3797027974013</v>
      </c>
    </row>
    <row r="196" spans="1:4">
      <c r="A196" s="22">
        <f t="shared" si="6"/>
        <v>217.73129010106601</v>
      </c>
      <c r="B196">
        <v>2177.31290101066</v>
      </c>
      <c r="C196">
        <v>107679.35098392013</v>
      </c>
      <c r="D196" s="30">
        <f t="shared" si="7"/>
        <v>1076.7935098392013</v>
      </c>
    </row>
    <row r="197" spans="1:4">
      <c r="A197" s="22">
        <f t="shared" si="6"/>
        <v>218.85361633870033</v>
      </c>
      <c r="B197">
        <v>2188.5361633870034</v>
      </c>
      <c r="C197">
        <v>107520.73168810013</v>
      </c>
      <c r="D197" s="30">
        <f t="shared" si="7"/>
        <v>1075.2073168810014</v>
      </c>
    </row>
    <row r="198" spans="1:4">
      <c r="A198" s="22">
        <f t="shared" si="6"/>
        <v>219.97594257633472</v>
      </c>
      <c r="B198">
        <v>2199.7594257633473</v>
      </c>
      <c r="C198">
        <v>107362.11239228013</v>
      </c>
      <c r="D198" s="30">
        <f t="shared" si="7"/>
        <v>1073.6211239228014</v>
      </c>
    </row>
    <row r="199" spans="1:4">
      <c r="A199" s="22">
        <f t="shared" si="6"/>
        <v>221.09826881396907</v>
      </c>
      <c r="B199">
        <v>2210.9826881396907</v>
      </c>
      <c r="C199">
        <v>107203.49309646014</v>
      </c>
      <c r="D199" s="30">
        <f t="shared" si="7"/>
        <v>1072.0349309646015</v>
      </c>
    </row>
    <row r="200" spans="1:4">
      <c r="A200" s="22">
        <f t="shared" si="6"/>
        <v>222.22059505160342</v>
      </c>
      <c r="B200">
        <v>2222.2059505160341</v>
      </c>
      <c r="C200">
        <v>107044.87380064014</v>
      </c>
      <c r="D200" s="30">
        <f t="shared" si="7"/>
        <v>1070.4487380064013</v>
      </c>
    </row>
    <row r="201" spans="1:4">
      <c r="A201" s="22">
        <f t="shared" si="6"/>
        <v>223.34292128923781</v>
      </c>
      <c r="B201">
        <v>2233.429212892378</v>
      </c>
      <c r="C201">
        <v>106886.25450482014</v>
      </c>
      <c r="D201" s="30">
        <f t="shared" si="7"/>
        <v>1068.8625450482014</v>
      </c>
    </row>
    <row r="202" spans="1:4">
      <c r="A202" s="22">
        <f t="shared" si="6"/>
        <v>224.46524752687213</v>
      </c>
      <c r="B202">
        <v>2244.6524752687214</v>
      </c>
      <c r="C202">
        <v>106727.63520900015</v>
      </c>
      <c r="D202" s="30">
        <f t="shared" si="7"/>
        <v>1067.2763520900014</v>
      </c>
    </row>
    <row r="203" spans="1:4">
      <c r="A203" s="22">
        <f t="shared" si="6"/>
        <v>225.58757376450654</v>
      </c>
      <c r="B203">
        <v>2255.8757376450653</v>
      </c>
      <c r="C203">
        <v>106569.01591318015</v>
      </c>
      <c r="D203" s="30">
        <f t="shared" si="7"/>
        <v>1065.6901591318015</v>
      </c>
    </row>
    <row r="204" spans="1:4">
      <c r="A204" s="22">
        <f t="shared" si="6"/>
        <v>226.70990000214087</v>
      </c>
      <c r="B204">
        <v>2267.0990000214088</v>
      </c>
      <c r="C204">
        <v>106410.39661736015</v>
      </c>
      <c r="D204" s="30">
        <f t="shared" si="7"/>
        <v>1064.1039661736015</v>
      </c>
    </row>
    <row r="205" spans="1:4">
      <c r="A205" s="22">
        <f t="shared" si="6"/>
        <v>227.83222623977522</v>
      </c>
      <c r="B205">
        <v>2278.3222623977522</v>
      </c>
      <c r="C205">
        <v>106251.77732154015</v>
      </c>
      <c r="D205" s="30">
        <f t="shared" si="7"/>
        <v>1062.5177732154016</v>
      </c>
    </row>
    <row r="206" spans="1:4">
      <c r="A206" s="22">
        <f t="shared" si="6"/>
        <v>228.95455247740961</v>
      </c>
      <c r="B206">
        <v>2289.5455247740961</v>
      </c>
      <c r="C206">
        <v>106093.15802572016</v>
      </c>
      <c r="D206" s="30">
        <f t="shared" si="7"/>
        <v>1060.9315802572016</v>
      </c>
    </row>
    <row r="207" spans="1:4">
      <c r="A207" s="22">
        <f t="shared" si="6"/>
        <v>230.07687871504396</v>
      </c>
      <c r="B207">
        <v>2300.7687871504395</v>
      </c>
      <c r="C207">
        <v>105934.53872990016</v>
      </c>
      <c r="D207" s="30">
        <f t="shared" si="7"/>
        <v>1059.3453872990017</v>
      </c>
    </row>
    <row r="208" spans="1:4">
      <c r="A208" s="22">
        <f t="shared" si="6"/>
        <v>231.19920495267834</v>
      </c>
      <c r="B208">
        <v>2311.9920495267834</v>
      </c>
      <c r="C208">
        <v>105775.91943408016</v>
      </c>
      <c r="D208" s="30">
        <f t="shared" si="7"/>
        <v>1057.7591943408015</v>
      </c>
    </row>
    <row r="209" spans="1:4">
      <c r="A209" s="22">
        <f t="shared" si="6"/>
        <v>232.32153119031267</v>
      </c>
      <c r="B209">
        <v>2323.2153119031268</v>
      </c>
      <c r="C209">
        <v>105617.30013826017</v>
      </c>
      <c r="D209" s="30">
        <f t="shared" si="7"/>
        <v>1056.1730013826016</v>
      </c>
    </row>
    <row r="210" spans="1:4">
      <c r="A210" s="22">
        <f t="shared" si="6"/>
        <v>233.44385742794702</v>
      </c>
      <c r="B210">
        <v>2334.4385742794702</v>
      </c>
      <c r="C210">
        <v>105458.68084244017</v>
      </c>
      <c r="D210" s="30">
        <f t="shared" si="7"/>
        <v>1054.5868084244016</v>
      </c>
    </row>
    <row r="211" spans="1:4">
      <c r="A211" s="22">
        <f t="shared" si="6"/>
        <v>234.56618366558141</v>
      </c>
      <c r="B211">
        <v>2345.6618366558141</v>
      </c>
      <c r="C211">
        <v>105300.06154662017</v>
      </c>
      <c r="D211" s="30">
        <f t="shared" si="7"/>
        <v>1053.0006154662017</v>
      </c>
    </row>
    <row r="212" spans="1:4">
      <c r="A212" s="22">
        <f t="shared" si="6"/>
        <v>235.68850990321576</v>
      </c>
      <c r="B212">
        <v>2356.8850990321575</v>
      </c>
      <c r="C212">
        <v>105141.44225080017</v>
      </c>
      <c r="D212" s="30">
        <f t="shared" si="7"/>
        <v>1051.4144225080017</v>
      </c>
    </row>
    <row r="213" spans="1:4">
      <c r="A213" s="22">
        <f t="shared" si="6"/>
        <v>236.81083614085014</v>
      </c>
      <c r="B213">
        <v>2368.1083614085014</v>
      </c>
      <c r="C213">
        <v>104982.82295498018</v>
      </c>
      <c r="D213" s="30">
        <f t="shared" si="7"/>
        <v>1049.8282295498018</v>
      </c>
    </row>
    <row r="214" spans="1:4">
      <c r="A214" s="22">
        <f t="shared" si="6"/>
        <v>237.9331623784845</v>
      </c>
      <c r="B214">
        <v>2379.3316237848449</v>
      </c>
      <c r="C214">
        <v>104824.20365916018</v>
      </c>
      <c r="D214" s="30">
        <f t="shared" si="7"/>
        <v>1048.2420365916018</v>
      </c>
    </row>
    <row r="215" spans="1:4">
      <c r="A215" s="22">
        <f t="shared" si="6"/>
        <v>239.05548861611882</v>
      </c>
      <c r="B215">
        <v>2390.5548861611883</v>
      </c>
      <c r="C215">
        <v>104665.58436334018</v>
      </c>
      <c r="D215" s="30">
        <f t="shared" si="7"/>
        <v>1046.6558436334019</v>
      </c>
    </row>
    <row r="216" spans="1:4">
      <c r="A216" s="22">
        <f t="shared" si="6"/>
        <v>240.1778148537532</v>
      </c>
      <c r="B216">
        <v>2401.7781485375322</v>
      </c>
      <c r="C216">
        <v>104506.96506752018</v>
      </c>
      <c r="D216" s="30">
        <f t="shared" si="7"/>
        <v>1045.069650675202</v>
      </c>
    </row>
    <row r="217" spans="1:4">
      <c r="A217" s="22">
        <f t="shared" si="6"/>
        <v>241.30014109138756</v>
      </c>
      <c r="B217">
        <v>2413.0014109138756</v>
      </c>
      <c r="C217">
        <v>104348.34577170019</v>
      </c>
      <c r="D217" s="30">
        <f t="shared" si="7"/>
        <v>1043.4834577170018</v>
      </c>
    </row>
    <row r="218" spans="1:4">
      <c r="A218" s="22">
        <f t="shared" si="6"/>
        <v>242.42246732902194</v>
      </c>
      <c r="B218">
        <v>2424.2246732902195</v>
      </c>
      <c r="C218">
        <v>104189.72647588019</v>
      </c>
      <c r="D218" s="30">
        <f t="shared" si="7"/>
        <v>1041.8972647588018</v>
      </c>
    </row>
    <row r="219" spans="1:4">
      <c r="A219" s="22">
        <f t="shared" si="6"/>
        <v>243.5447935666563</v>
      </c>
      <c r="B219">
        <v>2435.4479356665629</v>
      </c>
      <c r="C219">
        <v>104031.10718006019</v>
      </c>
      <c r="D219" s="30">
        <f t="shared" si="7"/>
        <v>1040.3110718006019</v>
      </c>
    </row>
    <row r="220" spans="1:4">
      <c r="A220" s="22">
        <f t="shared" si="6"/>
        <v>244.66711980429062</v>
      </c>
      <c r="B220">
        <v>2446.6711980429063</v>
      </c>
      <c r="C220">
        <v>103872.4878842402</v>
      </c>
      <c r="D220" s="30">
        <f t="shared" si="7"/>
        <v>1038.7248788424019</v>
      </c>
    </row>
    <row r="221" spans="1:4">
      <c r="A221" s="22">
        <f t="shared" si="6"/>
        <v>245.78944604192503</v>
      </c>
      <c r="B221">
        <v>2457.8944604192502</v>
      </c>
      <c r="C221">
        <v>103713.8685884202</v>
      </c>
      <c r="D221" s="30">
        <f t="shared" si="7"/>
        <v>1037.138685884202</v>
      </c>
    </row>
    <row r="222" spans="1:4">
      <c r="A222" s="22">
        <f t="shared" si="6"/>
        <v>246.91177227955936</v>
      </c>
      <c r="B222">
        <v>2469.1177227955936</v>
      </c>
      <c r="C222">
        <v>103555.2492926002</v>
      </c>
      <c r="D222" s="30">
        <f t="shared" si="7"/>
        <v>1035.5524929260021</v>
      </c>
    </row>
    <row r="223" spans="1:4">
      <c r="A223" s="22">
        <f t="shared" si="6"/>
        <v>248.03409851719371</v>
      </c>
      <c r="B223">
        <v>2480.3409851719371</v>
      </c>
      <c r="C223">
        <v>103396.6299967802</v>
      </c>
      <c r="D223" s="30">
        <f t="shared" si="7"/>
        <v>1033.9662999678021</v>
      </c>
    </row>
    <row r="224" spans="1:4">
      <c r="A224" s="22">
        <f t="shared" si="6"/>
        <v>249.15642475482809</v>
      </c>
      <c r="B224">
        <v>2491.5642475482809</v>
      </c>
      <c r="C224">
        <v>103238.01070096021</v>
      </c>
      <c r="D224" s="30">
        <f t="shared" si="7"/>
        <v>1032.3801070096022</v>
      </c>
    </row>
    <row r="225" spans="1:4">
      <c r="A225" s="22">
        <f t="shared" si="6"/>
        <v>250.27875099246245</v>
      </c>
      <c r="B225">
        <v>2502.7875099246244</v>
      </c>
      <c r="C225">
        <v>103079.39140514021</v>
      </c>
      <c r="D225" s="30">
        <f t="shared" si="7"/>
        <v>1030.793914051402</v>
      </c>
    </row>
    <row r="226" spans="1:4">
      <c r="A226" s="22">
        <f t="shared" si="6"/>
        <v>251.40107723009683</v>
      </c>
      <c r="B226">
        <v>2514.0107723009683</v>
      </c>
      <c r="C226">
        <v>102920.77210932021</v>
      </c>
      <c r="D226" s="30">
        <f t="shared" si="7"/>
        <v>1029.2077210932021</v>
      </c>
    </row>
    <row r="227" spans="1:4">
      <c r="A227" s="22">
        <f t="shared" si="6"/>
        <v>252.52340346773116</v>
      </c>
      <c r="B227">
        <v>2525.2340346773117</v>
      </c>
      <c r="C227">
        <v>102762.15281350022</v>
      </c>
      <c r="D227" s="30">
        <f t="shared" si="7"/>
        <v>1027.6215281350021</v>
      </c>
    </row>
    <row r="228" spans="1:4">
      <c r="A228" s="22">
        <f t="shared" si="6"/>
        <v>253.64572970536551</v>
      </c>
      <c r="B228">
        <v>2536.4572970536551</v>
      </c>
      <c r="C228">
        <v>102603.53351768022</v>
      </c>
      <c r="D228" s="30">
        <f t="shared" si="7"/>
        <v>1026.0353351768022</v>
      </c>
    </row>
    <row r="229" spans="1:4">
      <c r="A229" s="22">
        <f t="shared" si="6"/>
        <v>254.76805594299989</v>
      </c>
      <c r="B229">
        <v>2547.680559429999</v>
      </c>
      <c r="C229">
        <v>102444.91422186022</v>
      </c>
      <c r="D229" s="30">
        <f t="shared" si="7"/>
        <v>1024.4491422186022</v>
      </c>
    </row>
    <row r="230" spans="1:4">
      <c r="A230" s="22">
        <f t="shared" si="6"/>
        <v>255.89038218063425</v>
      </c>
      <c r="B230">
        <v>2558.9038218063424</v>
      </c>
      <c r="C230">
        <v>102286.29492604022</v>
      </c>
      <c r="D230" s="30">
        <f t="shared" si="7"/>
        <v>1022.8629492604023</v>
      </c>
    </row>
    <row r="231" spans="1:4">
      <c r="A231" s="22">
        <f t="shared" si="6"/>
        <v>257.01270841826863</v>
      </c>
      <c r="B231">
        <v>2570.1270841826863</v>
      </c>
      <c r="C231">
        <v>102127.67563022023</v>
      </c>
      <c r="D231" s="30">
        <f t="shared" si="7"/>
        <v>1021.2767563022022</v>
      </c>
    </row>
    <row r="232" spans="1:4">
      <c r="A232" s="22">
        <f t="shared" si="6"/>
        <v>258.13503465590298</v>
      </c>
      <c r="B232">
        <v>2581.3503465590297</v>
      </c>
      <c r="C232">
        <v>101969.05633440023</v>
      </c>
      <c r="D232" s="30">
        <f t="shared" si="7"/>
        <v>1019.6905633440023</v>
      </c>
    </row>
    <row r="233" spans="1:4">
      <c r="A233" s="22">
        <f t="shared" si="6"/>
        <v>259.25736089353734</v>
      </c>
      <c r="B233">
        <v>2592.5736089353732</v>
      </c>
      <c r="C233">
        <v>101810.43703858023</v>
      </c>
      <c r="D233" s="30">
        <f t="shared" si="7"/>
        <v>1018.1043703858023</v>
      </c>
    </row>
    <row r="234" spans="1:4">
      <c r="A234" s="22">
        <f t="shared" si="6"/>
        <v>260.37968713117169</v>
      </c>
      <c r="B234">
        <v>2603.796871311717</v>
      </c>
      <c r="C234">
        <v>101651.81774276023</v>
      </c>
      <c r="D234" s="30">
        <f t="shared" si="7"/>
        <v>1016.5181774276024</v>
      </c>
    </row>
    <row r="235" spans="1:4">
      <c r="A235" s="22">
        <f t="shared" si="6"/>
        <v>261.50201336880605</v>
      </c>
      <c r="B235">
        <v>2615.0201336880605</v>
      </c>
      <c r="C235">
        <v>101493.19844694024</v>
      </c>
      <c r="D235" s="30">
        <f t="shared" si="7"/>
        <v>1014.9319844694023</v>
      </c>
    </row>
    <row r="236" spans="1:4">
      <c r="A236" s="22">
        <f t="shared" si="6"/>
        <v>262.62433960644046</v>
      </c>
      <c r="B236">
        <v>2626.2433960644044</v>
      </c>
      <c r="C236">
        <v>101334.57915112024</v>
      </c>
      <c r="D236" s="30">
        <f t="shared" si="7"/>
        <v>1013.3457915112024</v>
      </c>
    </row>
    <row r="237" spans="1:4">
      <c r="A237" s="22">
        <f t="shared" si="6"/>
        <v>263.74666584407476</v>
      </c>
      <c r="B237">
        <v>2637.4666584407478</v>
      </c>
      <c r="C237">
        <v>101175.95985530024</v>
      </c>
      <c r="D237" s="30">
        <f t="shared" si="7"/>
        <v>1011.7595985530024</v>
      </c>
    </row>
    <row r="238" spans="1:4">
      <c r="A238" s="22">
        <f t="shared" si="6"/>
        <v>264.86899208170911</v>
      </c>
      <c r="B238">
        <v>2648.6899208170912</v>
      </c>
      <c r="C238">
        <v>101017.34055948025</v>
      </c>
      <c r="D238" s="30">
        <f t="shared" si="7"/>
        <v>1010.1734055948025</v>
      </c>
    </row>
    <row r="239" spans="1:4">
      <c r="A239" s="22">
        <f t="shared" si="6"/>
        <v>265.99131831934352</v>
      </c>
      <c r="B239">
        <v>2659.9131831934351</v>
      </c>
      <c r="C239">
        <v>100858.72126366025</v>
      </c>
      <c r="D239" s="30">
        <f t="shared" si="7"/>
        <v>1008.5872126366025</v>
      </c>
    </row>
    <row r="240" spans="1:4">
      <c r="A240" s="22">
        <f t="shared" si="6"/>
        <v>267.11364455697787</v>
      </c>
      <c r="B240">
        <v>2671.1364455697785</v>
      </c>
      <c r="C240">
        <v>100700.10196784025</v>
      </c>
      <c r="D240" s="30">
        <f t="shared" si="7"/>
        <v>1007.0010196784025</v>
      </c>
    </row>
    <row r="241" spans="1:4">
      <c r="A241" s="22">
        <f t="shared" si="6"/>
        <v>268.23597079461223</v>
      </c>
      <c r="B241">
        <v>2682.3597079461224</v>
      </c>
      <c r="C241">
        <v>100541.48267202025</v>
      </c>
      <c r="D241" s="30">
        <f t="shared" si="7"/>
        <v>1005.4148267202025</v>
      </c>
    </row>
    <row r="242" spans="1:4">
      <c r="A242" s="22">
        <f t="shared" si="6"/>
        <v>269.35829703224658</v>
      </c>
      <c r="B242">
        <v>2693.5829703224658</v>
      </c>
      <c r="C242">
        <v>100382.86337620026</v>
      </c>
      <c r="D242" s="30">
        <f t="shared" si="7"/>
        <v>1003.8286337620026</v>
      </c>
    </row>
    <row r="243" spans="1:4">
      <c r="A243" s="22">
        <f t="shared" si="6"/>
        <v>270.48062326988094</v>
      </c>
      <c r="B243">
        <v>2704.8062326988093</v>
      </c>
      <c r="C243">
        <v>100224.24408038026</v>
      </c>
      <c r="D243" s="30">
        <f t="shared" si="7"/>
        <v>1002.2424408038027</v>
      </c>
    </row>
    <row r="244" spans="1:4">
      <c r="A244" s="22">
        <f t="shared" si="6"/>
        <v>271.60294950751529</v>
      </c>
      <c r="B244">
        <v>2716.0294950751531</v>
      </c>
      <c r="C244">
        <v>100065.62478456026</v>
      </c>
      <c r="D244" s="30">
        <f t="shared" si="7"/>
        <v>1000.6562478456026</v>
      </c>
    </row>
    <row r="245" spans="1:4">
      <c r="A245" s="22">
        <f t="shared" si="6"/>
        <v>272.72527574514964</v>
      </c>
      <c r="B245">
        <v>2727.2527574514966</v>
      </c>
      <c r="C245">
        <v>99907.005488740266</v>
      </c>
      <c r="D245" s="30">
        <f t="shared" si="7"/>
        <v>999.07005488740265</v>
      </c>
    </row>
    <row r="246" spans="1:4">
      <c r="A246" s="22">
        <f t="shared" si="6"/>
        <v>273.84760198278406</v>
      </c>
      <c r="B246">
        <v>2738.4760198278404</v>
      </c>
      <c r="C246">
        <v>99748.386192920269</v>
      </c>
      <c r="D246" s="30">
        <f t="shared" si="7"/>
        <v>997.4838619292027</v>
      </c>
    </row>
    <row r="247" spans="1:4">
      <c r="A247" s="22">
        <f t="shared" si="6"/>
        <v>274.96992822041841</v>
      </c>
      <c r="B247">
        <v>2749.6992822041839</v>
      </c>
      <c r="C247">
        <v>99589.766897100271</v>
      </c>
      <c r="D247" s="30">
        <f t="shared" si="7"/>
        <v>995.89766897100276</v>
      </c>
    </row>
    <row r="248" spans="1:4">
      <c r="A248" s="22">
        <f t="shared" si="6"/>
        <v>276.09225445805271</v>
      </c>
      <c r="B248">
        <v>2760.9225445805273</v>
      </c>
      <c r="C248">
        <v>99431.147601280274</v>
      </c>
      <c r="D248" s="30">
        <f t="shared" si="7"/>
        <v>994.3114760128027</v>
      </c>
    </row>
    <row r="249" spans="1:4">
      <c r="A249" s="22">
        <f t="shared" si="6"/>
        <v>277.21458069568712</v>
      </c>
      <c r="B249">
        <v>2772.1458069568712</v>
      </c>
      <c r="C249">
        <v>99272.528305460277</v>
      </c>
      <c r="D249" s="30">
        <f t="shared" si="7"/>
        <v>992.72528305460276</v>
      </c>
    </row>
    <row r="250" spans="1:4">
      <c r="A250" s="22">
        <f t="shared" si="6"/>
        <v>278.33690693332147</v>
      </c>
      <c r="B250">
        <v>2783.3690693332146</v>
      </c>
      <c r="C250">
        <v>99113.90900964028</v>
      </c>
      <c r="D250" s="30">
        <f t="shared" si="7"/>
        <v>991.13909009640281</v>
      </c>
    </row>
    <row r="251" spans="1:4">
      <c r="A251" s="22">
        <f t="shared" si="6"/>
        <v>279.45923317095583</v>
      </c>
      <c r="B251">
        <v>2794.5923317095585</v>
      </c>
      <c r="C251">
        <v>98955.289713820282</v>
      </c>
      <c r="D251" s="30">
        <f t="shared" si="7"/>
        <v>989.55289713820287</v>
      </c>
    </row>
    <row r="252" spans="1:4">
      <c r="A252" s="22">
        <f t="shared" si="6"/>
        <v>280.58155940859018</v>
      </c>
      <c r="B252">
        <v>2805.8155940859019</v>
      </c>
      <c r="C252">
        <v>98796.670418000285</v>
      </c>
      <c r="D252" s="30">
        <f t="shared" si="7"/>
        <v>987.96670418000281</v>
      </c>
    </row>
    <row r="253" spans="1:4">
      <c r="A253" s="22">
        <f t="shared" si="6"/>
        <v>281.70388564622453</v>
      </c>
      <c r="B253">
        <v>2817.0388564622453</v>
      </c>
      <c r="C253">
        <v>98638.051122180288</v>
      </c>
      <c r="D253" s="30">
        <f t="shared" si="7"/>
        <v>986.38051122180286</v>
      </c>
    </row>
    <row r="254" spans="1:4">
      <c r="A254" s="22">
        <f t="shared" si="6"/>
        <v>282.82621188385895</v>
      </c>
      <c r="B254">
        <v>2828.2621188385892</v>
      </c>
      <c r="C254">
        <v>98479.431826360291</v>
      </c>
      <c r="D254" s="30">
        <f t="shared" si="7"/>
        <v>984.79431826360292</v>
      </c>
    </row>
    <row r="255" spans="1:4">
      <c r="A255" s="22">
        <f t="shared" si="6"/>
        <v>283.94853812149324</v>
      </c>
      <c r="B255">
        <v>2839.4853812149327</v>
      </c>
      <c r="C255">
        <v>98320.812530540294</v>
      </c>
      <c r="D255" s="30">
        <f t="shared" si="7"/>
        <v>983.20812530540297</v>
      </c>
    </row>
    <row r="256" spans="1:4">
      <c r="A256" s="22">
        <f t="shared" si="6"/>
        <v>285.07086435912765</v>
      </c>
      <c r="B256">
        <v>2850.7086435912765</v>
      </c>
      <c r="C256">
        <v>98162.193234720296</v>
      </c>
      <c r="D256" s="30">
        <f t="shared" si="7"/>
        <v>981.62193234720291</v>
      </c>
    </row>
    <row r="257" spans="1:4">
      <c r="A257" s="22">
        <f t="shared" si="6"/>
        <v>286.19319059676201</v>
      </c>
      <c r="B257">
        <v>2861.93190596762</v>
      </c>
      <c r="C257">
        <v>98003.573938900299</v>
      </c>
      <c r="D257" s="30">
        <f t="shared" si="7"/>
        <v>980.03573938900297</v>
      </c>
    </row>
    <row r="258" spans="1:4">
      <c r="A258" s="22">
        <f t="shared" si="6"/>
        <v>287.31551683439636</v>
      </c>
      <c r="B258">
        <v>2873.1551683439634</v>
      </c>
      <c r="C258">
        <v>97844.954643080302</v>
      </c>
      <c r="D258" s="30">
        <f t="shared" si="7"/>
        <v>978.44954643080303</v>
      </c>
    </row>
    <row r="259" spans="1:4">
      <c r="A259" s="22">
        <f t="shared" ref="A259:A322" si="8">B259/10</f>
        <v>288.43784307203072</v>
      </c>
      <c r="B259">
        <v>2884.3784307203073</v>
      </c>
      <c r="C259">
        <v>97686.335347260305</v>
      </c>
      <c r="D259" s="30">
        <f t="shared" ref="D259:D322" si="9">C259/100</f>
        <v>976.86335347260308</v>
      </c>
    </row>
    <row r="260" spans="1:4">
      <c r="A260" s="22">
        <f t="shared" si="8"/>
        <v>289.56016930966507</v>
      </c>
      <c r="B260">
        <v>2895.6016930966507</v>
      </c>
      <c r="C260">
        <v>97527.716051440308</v>
      </c>
      <c r="D260" s="30">
        <f t="shared" si="9"/>
        <v>975.27716051440302</v>
      </c>
    </row>
    <row r="261" spans="1:4">
      <c r="A261" s="22">
        <f t="shared" si="8"/>
        <v>290.68249554729948</v>
      </c>
      <c r="B261">
        <v>2906.8249554729946</v>
      </c>
      <c r="C261">
        <v>97369.09675562031</v>
      </c>
      <c r="D261" s="30">
        <f t="shared" si="9"/>
        <v>973.69096755620308</v>
      </c>
    </row>
    <row r="262" spans="1:4">
      <c r="A262" s="22">
        <f t="shared" si="8"/>
        <v>291.80482178493378</v>
      </c>
      <c r="B262">
        <v>2918.048217849338</v>
      </c>
      <c r="C262">
        <v>97210.477459800313</v>
      </c>
      <c r="D262" s="30">
        <f t="shared" si="9"/>
        <v>972.10477459800313</v>
      </c>
    </row>
    <row r="263" spans="1:4">
      <c r="A263" s="22">
        <f t="shared" si="8"/>
        <v>292.92714802256813</v>
      </c>
      <c r="B263">
        <v>2929.2714802256814</v>
      </c>
      <c r="C263">
        <v>97051.858163980316</v>
      </c>
      <c r="D263" s="30">
        <f t="shared" si="9"/>
        <v>970.51858163980319</v>
      </c>
    </row>
    <row r="264" spans="1:4">
      <c r="A264" s="22">
        <f t="shared" si="8"/>
        <v>294.04947426020254</v>
      </c>
      <c r="B264">
        <v>2940.4947426020253</v>
      </c>
      <c r="C264">
        <v>96893.238868160319</v>
      </c>
      <c r="D264" s="30">
        <f t="shared" si="9"/>
        <v>968.93238868160324</v>
      </c>
    </row>
    <row r="265" spans="1:4">
      <c r="A265" s="22">
        <f t="shared" si="8"/>
        <v>295.1718004978369</v>
      </c>
      <c r="B265">
        <v>2951.7180049783688</v>
      </c>
      <c r="C265">
        <v>96734.619572340322</v>
      </c>
      <c r="D265" s="30">
        <f t="shared" si="9"/>
        <v>967.34619572340318</v>
      </c>
    </row>
    <row r="266" spans="1:4">
      <c r="A266" s="22">
        <f t="shared" si="8"/>
        <v>296.29412673547125</v>
      </c>
      <c r="B266">
        <v>2962.9412673547126</v>
      </c>
      <c r="C266">
        <v>96576.000276520324</v>
      </c>
      <c r="D266" s="30">
        <f t="shared" si="9"/>
        <v>965.76000276520324</v>
      </c>
    </row>
    <row r="267" spans="1:4">
      <c r="A267" s="22">
        <f t="shared" si="8"/>
        <v>297.41645297310561</v>
      </c>
      <c r="B267">
        <v>2974.1645297310561</v>
      </c>
      <c r="C267">
        <v>96417.380980700327</v>
      </c>
      <c r="D267" s="30">
        <f t="shared" si="9"/>
        <v>964.17380980700329</v>
      </c>
    </row>
    <row r="268" spans="1:4">
      <c r="A268" s="22">
        <f t="shared" si="8"/>
        <v>298.53877921073996</v>
      </c>
      <c r="B268">
        <v>2985.3877921073995</v>
      </c>
      <c r="C268">
        <v>96258.76168488033</v>
      </c>
      <c r="D268" s="30">
        <f t="shared" si="9"/>
        <v>962.58761684880335</v>
      </c>
    </row>
    <row r="269" spans="1:4">
      <c r="A269" s="22">
        <f t="shared" si="8"/>
        <v>299.66110544837431</v>
      </c>
      <c r="B269">
        <v>2996.6110544837434</v>
      </c>
      <c r="C269">
        <v>96100.142389060333</v>
      </c>
      <c r="D269" s="30">
        <f t="shared" si="9"/>
        <v>961.00142389060329</v>
      </c>
    </row>
    <row r="270" spans="1:4">
      <c r="A270" s="22">
        <f t="shared" si="8"/>
        <v>300.78343168600867</v>
      </c>
      <c r="B270">
        <v>3007.8343168600868</v>
      </c>
      <c r="C270">
        <v>95941.523093240336</v>
      </c>
      <c r="D270" s="30">
        <f t="shared" si="9"/>
        <v>959.41523093240335</v>
      </c>
    </row>
    <row r="271" spans="1:4">
      <c r="A271" s="22">
        <f t="shared" si="8"/>
        <v>301.90575792364302</v>
      </c>
      <c r="B271">
        <v>3019.0575792364302</v>
      </c>
      <c r="C271">
        <v>95782.903797420338</v>
      </c>
      <c r="D271" s="30">
        <f t="shared" si="9"/>
        <v>957.8290379742034</v>
      </c>
    </row>
    <row r="272" spans="1:4">
      <c r="A272" s="22">
        <f t="shared" si="8"/>
        <v>303.02808416127743</v>
      </c>
      <c r="B272">
        <v>3030.2808416127741</v>
      </c>
      <c r="C272">
        <v>95624.284501600341</v>
      </c>
      <c r="D272" s="30">
        <f t="shared" si="9"/>
        <v>956.24284501600346</v>
      </c>
    </row>
    <row r="273" spans="1:4">
      <c r="A273" s="22">
        <f t="shared" si="8"/>
        <v>304.15041039891173</v>
      </c>
      <c r="B273">
        <v>3041.5041039891175</v>
      </c>
      <c r="C273">
        <v>95465.665205780344</v>
      </c>
      <c r="D273" s="30">
        <f t="shared" si="9"/>
        <v>954.6566520578034</v>
      </c>
    </row>
    <row r="274" spans="1:4">
      <c r="A274" s="22">
        <f t="shared" si="8"/>
        <v>305.27273663654614</v>
      </c>
      <c r="B274">
        <v>3052.7273663654614</v>
      </c>
      <c r="C274">
        <v>95307.045909960347</v>
      </c>
      <c r="D274" s="30">
        <f t="shared" si="9"/>
        <v>953.07045909960345</v>
      </c>
    </row>
    <row r="275" spans="1:4">
      <c r="A275" s="22">
        <f t="shared" si="8"/>
        <v>306.3950628741805</v>
      </c>
      <c r="B275">
        <v>3063.9506287418048</v>
      </c>
      <c r="C275">
        <v>95148.42661414035</v>
      </c>
      <c r="D275" s="30">
        <f t="shared" si="9"/>
        <v>951.48426614140351</v>
      </c>
    </row>
    <row r="276" spans="1:4">
      <c r="A276" s="22">
        <f t="shared" si="8"/>
        <v>307.51738911181485</v>
      </c>
      <c r="B276">
        <v>3075.1738911181483</v>
      </c>
      <c r="C276">
        <v>94989.807318320352</v>
      </c>
      <c r="D276" s="30">
        <f t="shared" si="9"/>
        <v>949.89807318320356</v>
      </c>
    </row>
    <row r="277" spans="1:4">
      <c r="A277" s="22">
        <f t="shared" si="8"/>
        <v>308.6397153494492</v>
      </c>
      <c r="B277">
        <v>3086.3971534944922</v>
      </c>
      <c r="C277">
        <v>94831.188022500355</v>
      </c>
      <c r="D277" s="30">
        <f t="shared" si="9"/>
        <v>948.31188022500351</v>
      </c>
    </row>
    <row r="278" spans="1:4">
      <c r="A278" s="22">
        <f t="shared" si="8"/>
        <v>309.76204158708356</v>
      </c>
      <c r="B278">
        <v>3097.6204158708356</v>
      </c>
      <c r="C278">
        <v>94672.568726680358</v>
      </c>
      <c r="D278" s="30">
        <f t="shared" si="9"/>
        <v>946.72568726680356</v>
      </c>
    </row>
    <row r="279" spans="1:4">
      <c r="A279" s="22">
        <f t="shared" si="8"/>
        <v>310.88436782471797</v>
      </c>
      <c r="B279">
        <v>3108.8436782471795</v>
      </c>
      <c r="C279">
        <v>94513.949430860361</v>
      </c>
      <c r="D279" s="30">
        <f t="shared" si="9"/>
        <v>945.13949430860362</v>
      </c>
    </row>
    <row r="280" spans="1:4">
      <c r="A280" s="22">
        <f t="shared" si="8"/>
        <v>312.00669406235227</v>
      </c>
      <c r="B280">
        <v>3120.0669406235229</v>
      </c>
      <c r="C280">
        <v>94355.330135040364</v>
      </c>
      <c r="D280" s="30">
        <f t="shared" si="9"/>
        <v>943.55330135040367</v>
      </c>
    </row>
    <row r="281" spans="1:4">
      <c r="A281" s="22">
        <f t="shared" si="8"/>
        <v>313.12902029998662</v>
      </c>
      <c r="B281">
        <v>3131.2902029998663</v>
      </c>
      <c r="C281">
        <v>94196.710839220366</v>
      </c>
      <c r="D281" s="30">
        <f t="shared" si="9"/>
        <v>941.96710839220361</v>
      </c>
    </row>
    <row r="282" spans="1:4">
      <c r="A282" s="22">
        <f t="shared" si="8"/>
        <v>314.25134653762103</v>
      </c>
      <c r="B282">
        <v>3142.5134653762102</v>
      </c>
      <c r="C282">
        <v>94038.091543400369</v>
      </c>
      <c r="D282" s="30">
        <f t="shared" si="9"/>
        <v>940.38091543400367</v>
      </c>
    </row>
    <row r="283" spans="1:4">
      <c r="A283" s="22">
        <f t="shared" si="8"/>
        <v>315.37367277525539</v>
      </c>
      <c r="B283">
        <v>3153.7367277525536</v>
      </c>
      <c r="C283">
        <v>93879.472247580372</v>
      </c>
      <c r="D283" s="30">
        <f t="shared" si="9"/>
        <v>938.79472247580372</v>
      </c>
    </row>
    <row r="284" spans="1:4">
      <c r="A284" s="22">
        <f t="shared" si="8"/>
        <v>316.49599901288974</v>
      </c>
      <c r="B284">
        <v>3164.9599901288975</v>
      </c>
      <c r="C284">
        <v>93720.852951760375</v>
      </c>
      <c r="D284" s="30">
        <f t="shared" si="9"/>
        <v>937.20852951760378</v>
      </c>
    </row>
    <row r="285" spans="1:4">
      <c r="A285" s="22">
        <f t="shared" si="8"/>
        <v>317.61832525052409</v>
      </c>
      <c r="B285">
        <v>3176.1832525052409</v>
      </c>
      <c r="C285">
        <v>93562.233655940378</v>
      </c>
      <c r="D285" s="30">
        <f t="shared" si="9"/>
        <v>935.62233655940372</v>
      </c>
    </row>
    <row r="286" spans="1:4">
      <c r="A286" s="22">
        <f t="shared" si="8"/>
        <v>318.74065148815845</v>
      </c>
      <c r="B286">
        <v>3187.4065148815844</v>
      </c>
      <c r="C286">
        <v>93403.61436012038</v>
      </c>
      <c r="D286" s="30">
        <f t="shared" si="9"/>
        <v>934.03614360120378</v>
      </c>
    </row>
    <row r="287" spans="1:4">
      <c r="A287" s="22">
        <f t="shared" si="8"/>
        <v>319.8629777257928</v>
      </c>
      <c r="B287">
        <v>3198.6297772579283</v>
      </c>
      <c r="C287">
        <v>93244.995064300383</v>
      </c>
      <c r="D287" s="30">
        <f t="shared" si="9"/>
        <v>932.44995064300383</v>
      </c>
    </row>
    <row r="288" spans="1:4">
      <c r="A288" s="22">
        <f t="shared" si="8"/>
        <v>320.98530396342716</v>
      </c>
      <c r="B288">
        <v>3209.8530396342717</v>
      </c>
      <c r="C288">
        <v>93086.375768480386</v>
      </c>
      <c r="D288" s="30">
        <f t="shared" si="9"/>
        <v>930.86375768480389</v>
      </c>
    </row>
    <row r="289" spans="1:4">
      <c r="A289" s="22">
        <f t="shared" si="8"/>
        <v>322.10763020106157</v>
      </c>
      <c r="B289">
        <v>3221.0763020106156</v>
      </c>
      <c r="C289">
        <v>92927.756472660389</v>
      </c>
      <c r="D289" s="30">
        <f t="shared" si="9"/>
        <v>929.27756472660394</v>
      </c>
    </row>
    <row r="290" spans="1:4">
      <c r="A290" s="22">
        <f t="shared" si="8"/>
        <v>323.22995643869592</v>
      </c>
      <c r="B290">
        <v>3232.299564386959</v>
      </c>
      <c r="C290">
        <v>92769.137176840391</v>
      </c>
      <c r="D290" s="30">
        <f t="shared" si="9"/>
        <v>927.69137176840388</v>
      </c>
    </row>
    <row r="291" spans="1:4">
      <c r="A291" s="22">
        <f t="shared" si="8"/>
        <v>324.35228267633022</v>
      </c>
      <c r="B291">
        <v>3243.5228267633024</v>
      </c>
      <c r="C291">
        <v>92610.517881020394</v>
      </c>
      <c r="D291" s="30">
        <f t="shared" si="9"/>
        <v>926.10517881020394</v>
      </c>
    </row>
    <row r="292" spans="1:4">
      <c r="A292" s="22">
        <f t="shared" si="8"/>
        <v>325.47460891396463</v>
      </c>
      <c r="B292">
        <v>3254.7460891396463</v>
      </c>
      <c r="C292">
        <v>92451.898585200397</v>
      </c>
      <c r="D292" s="30">
        <f t="shared" si="9"/>
        <v>924.51898585200399</v>
      </c>
    </row>
    <row r="293" spans="1:4">
      <c r="A293" s="22">
        <f t="shared" si="8"/>
        <v>326.59693515159898</v>
      </c>
      <c r="B293">
        <v>3265.9693515159897</v>
      </c>
      <c r="C293">
        <v>92293.2792893804</v>
      </c>
      <c r="D293" s="30">
        <f t="shared" si="9"/>
        <v>922.93279289380405</v>
      </c>
    </row>
    <row r="294" spans="1:4">
      <c r="A294" s="22">
        <f t="shared" si="8"/>
        <v>327.71926138923334</v>
      </c>
      <c r="B294">
        <v>3277.1926138923336</v>
      </c>
      <c r="C294">
        <v>92134.659993560403</v>
      </c>
      <c r="D294" s="30">
        <f t="shared" si="9"/>
        <v>921.34659993560399</v>
      </c>
    </row>
    <row r="295" spans="1:4">
      <c r="A295" s="22">
        <f t="shared" si="8"/>
        <v>328.84158762686769</v>
      </c>
      <c r="B295">
        <v>3288.415876268677</v>
      </c>
      <c r="C295">
        <v>91976.040697740405</v>
      </c>
      <c r="D295" s="30">
        <f t="shared" si="9"/>
        <v>919.76040697740405</v>
      </c>
    </row>
    <row r="296" spans="1:4">
      <c r="A296" s="22">
        <f t="shared" si="8"/>
        <v>329.96391386450205</v>
      </c>
      <c r="B296">
        <v>3299.6391386450205</v>
      </c>
      <c r="C296">
        <v>91817.421401920408</v>
      </c>
      <c r="D296" s="30">
        <f t="shared" si="9"/>
        <v>918.1742140192041</v>
      </c>
    </row>
    <row r="297" spans="1:4">
      <c r="A297" s="22">
        <f t="shared" si="8"/>
        <v>331.08624010213646</v>
      </c>
      <c r="B297">
        <v>3310.8624010213643</v>
      </c>
      <c r="C297">
        <v>91658.802106100411</v>
      </c>
      <c r="D297" s="30">
        <f t="shared" si="9"/>
        <v>916.58802106100416</v>
      </c>
    </row>
    <row r="298" spans="1:4">
      <c r="A298" s="22">
        <f t="shared" si="8"/>
        <v>332.20856633977075</v>
      </c>
      <c r="B298">
        <v>3322.0856633977078</v>
      </c>
      <c r="C298">
        <v>91500.182810280414</v>
      </c>
      <c r="D298" s="30">
        <f t="shared" si="9"/>
        <v>915.0018281028041</v>
      </c>
    </row>
    <row r="299" spans="1:4">
      <c r="A299" s="22">
        <f t="shared" si="8"/>
        <v>333.33089257740517</v>
      </c>
      <c r="B299">
        <v>3333.3089257740517</v>
      </c>
      <c r="C299">
        <v>91341.563514460417</v>
      </c>
      <c r="D299" s="30">
        <f t="shared" si="9"/>
        <v>913.41563514460415</v>
      </c>
    </row>
    <row r="300" spans="1:4">
      <c r="A300" s="22">
        <f t="shared" si="8"/>
        <v>334.45321881503952</v>
      </c>
      <c r="B300">
        <v>3344.5321881503951</v>
      </c>
      <c r="C300">
        <v>91182.944218640419</v>
      </c>
      <c r="D300" s="30">
        <f t="shared" si="9"/>
        <v>911.82944218640421</v>
      </c>
    </row>
    <row r="301" spans="1:4">
      <c r="A301" s="22">
        <f t="shared" si="8"/>
        <v>335.57554505267387</v>
      </c>
      <c r="B301">
        <v>3355.7554505267385</v>
      </c>
      <c r="C301">
        <v>91024.324922820422</v>
      </c>
      <c r="D301" s="30">
        <f t="shared" si="9"/>
        <v>910.24324922820426</v>
      </c>
    </row>
    <row r="302" spans="1:4">
      <c r="A302" s="22">
        <f t="shared" si="8"/>
        <v>336.69787129030823</v>
      </c>
      <c r="B302">
        <v>3366.9787129030824</v>
      </c>
      <c r="C302">
        <v>90865.705627000425</v>
      </c>
      <c r="D302" s="30">
        <f t="shared" si="9"/>
        <v>908.6570562700042</v>
      </c>
    </row>
    <row r="303" spans="1:4">
      <c r="A303" s="22">
        <f t="shared" si="8"/>
        <v>337.82019752794258</v>
      </c>
      <c r="B303">
        <v>3378.2019752794258</v>
      </c>
      <c r="C303">
        <v>90707.086331180428</v>
      </c>
      <c r="D303" s="30">
        <f t="shared" si="9"/>
        <v>907.07086331180426</v>
      </c>
    </row>
    <row r="304" spans="1:4">
      <c r="A304" s="22">
        <f t="shared" si="8"/>
        <v>338.94252376557699</v>
      </c>
      <c r="B304">
        <v>3389.4252376557697</v>
      </c>
      <c r="C304">
        <v>90548.467035360431</v>
      </c>
      <c r="D304" s="30">
        <f t="shared" si="9"/>
        <v>905.48467035360432</v>
      </c>
    </row>
    <row r="305" spans="1:4">
      <c r="A305" s="22">
        <f t="shared" si="8"/>
        <v>340.06485000321129</v>
      </c>
      <c r="B305">
        <v>3400.6485000321131</v>
      </c>
      <c r="C305">
        <v>90389.847739540433</v>
      </c>
      <c r="D305" s="30">
        <f t="shared" si="9"/>
        <v>903.89847739540437</v>
      </c>
    </row>
    <row r="306" spans="1:4">
      <c r="A306" s="22">
        <f t="shared" si="8"/>
        <v>341.18717624084564</v>
      </c>
      <c r="B306">
        <v>3411.8717624084566</v>
      </c>
      <c r="C306">
        <v>90231.228443720436</v>
      </c>
      <c r="D306" s="30">
        <f t="shared" si="9"/>
        <v>902.31228443720431</v>
      </c>
    </row>
    <row r="307" spans="1:4">
      <c r="A307" s="22">
        <f t="shared" si="8"/>
        <v>342.30950247848006</v>
      </c>
      <c r="B307">
        <v>3423.0950247848004</v>
      </c>
      <c r="C307">
        <v>90072.609147900439</v>
      </c>
      <c r="D307" s="30">
        <f t="shared" si="9"/>
        <v>900.72609147900437</v>
      </c>
    </row>
    <row r="308" spans="1:4">
      <c r="A308" s="22">
        <f t="shared" si="8"/>
        <v>343.43182871611441</v>
      </c>
      <c r="B308">
        <v>3434.3182871611439</v>
      </c>
      <c r="C308">
        <v>89913.989852080442</v>
      </c>
      <c r="D308" s="30">
        <f t="shared" si="9"/>
        <v>899.13989852080442</v>
      </c>
    </row>
    <row r="309" spans="1:4">
      <c r="A309" s="22">
        <f t="shared" si="8"/>
        <v>344.55415495374876</v>
      </c>
      <c r="B309">
        <v>3445.5415495374878</v>
      </c>
      <c r="C309">
        <v>89755.370556260445</v>
      </c>
      <c r="D309" s="30">
        <f t="shared" si="9"/>
        <v>897.55370556260448</v>
      </c>
    </row>
    <row r="310" spans="1:4">
      <c r="A310" s="22">
        <f t="shared" si="8"/>
        <v>345.67648119138312</v>
      </c>
      <c r="B310">
        <v>3456.7648119138312</v>
      </c>
      <c r="C310">
        <v>89596.751260440447</v>
      </c>
      <c r="D310" s="30">
        <f t="shared" si="9"/>
        <v>895.96751260440442</v>
      </c>
    </row>
    <row r="311" spans="1:4">
      <c r="A311" s="22">
        <f t="shared" si="8"/>
        <v>346.79880742901747</v>
      </c>
      <c r="B311">
        <v>3467.9880742901746</v>
      </c>
      <c r="C311">
        <v>89438.13196462045</v>
      </c>
      <c r="D311" s="30">
        <f t="shared" si="9"/>
        <v>894.38131964620447</v>
      </c>
    </row>
    <row r="312" spans="1:4">
      <c r="A312" s="22">
        <f t="shared" si="8"/>
        <v>347.92113366665183</v>
      </c>
      <c r="B312">
        <v>3479.2113366665185</v>
      </c>
      <c r="C312">
        <v>89279.512668800453</v>
      </c>
      <c r="D312" s="30">
        <f t="shared" si="9"/>
        <v>892.79512668800453</v>
      </c>
    </row>
    <row r="313" spans="1:4">
      <c r="A313" s="22">
        <f t="shared" si="8"/>
        <v>349.04345990428618</v>
      </c>
      <c r="B313">
        <v>3490.4345990428619</v>
      </c>
      <c r="C313">
        <v>89120.893372980456</v>
      </c>
      <c r="D313" s="30">
        <f t="shared" si="9"/>
        <v>891.20893372980458</v>
      </c>
    </row>
    <row r="314" spans="1:4">
      <c r="A314" s="22">
        <f t="shared" si="8"/>
        <v>350.16578614192059</v>
      </c>
      <c r="B314">
        <v>3501.6578614192058</v>
      </c>
      <c r="C314">
        <v>88962.274077160459</v>
      </c>
      <c r="D314" s="30">
        <f t="shared" si="9"/>
        <v>889.62274077160464</v>
      </c>
    </row>
    <row r="315" spans="1:4">
      <c r="A315" s="22">
        <f t="shared" si="8"/>
        <v>351.28811237955495</v>
      </c>
      <c r="B315">
        <v>3512.8811237955492</v>
      </c>
      <c r="C315">
        <v>88803.654781340461</v>
      </c>
      <c r="D315" s="30">
        <f t="shared" si="9"/>
        <v>888.03654781340458</v>
      </c>
    </row>
    <row r="316" spans="1:4">
      <c r="A316" s="22">
        <f t="shared" si="8"/>
        <v>352.41043861718924</v>
      </c>
      <c r="B316">
        <v>3524.1043861718927</v>
      </c>
      <c r="C316">
        <v>88645.035485520464</v>
      </c>
      <c r="D316" s="30">
        <f t="shared" si="9"/>
        <v>886.45035485520464</v>
      </c>
    </row>
    <row r="317" spans="1:4">
      <c r="A317" s="22">
        <f t="shared" si="8"/>
        <v>353.53276485482365</v>
      </c>
      <c r="B317">
        <v>3535.3276485482365</v>
      </c>
      <c r="C317">
        <v>88486.416189700467</v>
      </c>
      <c r="D317" s="30">
        <f t="shared" si="9"/>
        <v>884.86416189700469</v>
      </c>
    </row>
    <row r="318" spans="1:4">
      <c r="A318" s="22">
        <f t="shared" si="8"/>
        <v>354.65509109245801</v>
      </c>
      <c r="B318">
        <v>3546.55091092458</v>
      </c>
      <c r="C318">
        <v>88327.79689388047</v>
      </c>
      <c r="D318" s="30">
        <f t="shared" si="9"/>
        <v>883.27796893880475</v>
      </c>
    </row>
    <row r="319" spans="1:4">
      <c r="A319" s="22">
        <f t="shared" si="8"/>
        <v>355.77741733009236</v>
      </c>
      <c r="B319">
        <v>3557.7741733009234</v>
      </c>
      <c r="C319">
        <v>88169.177598060473</v>
      </c>
      <c r="D319" s="30">
        <f t="shared" si="9"/>
        <v>881.69177598060469</v>
      </c>
    </row>
    <row r="320" spans="1:4">
      <c r="A320" s="22">
        <f t="shared" si="8"/>
        <v>356.89974356772672</v>
      </c>
      <c r="B320">
        <v>3568.9974356772673</v>
      </c>
      <c r="C320">
        <v>88010.558302240475</v>
      </c>
      <c r="D320" s="30">
        <f t="shared" si="9"/>
        <v>880.10558302240474</v>
      </c>
    </row>
    <row r="321" spans="1:4">
      <c r="A321" s="22">
        <f t="shared" si="8"/>
        <v>358.02206980536107</v>
      </c>
      <c r="B321">
        <v>3580.2206980536107</v>
      </c>
      <c r="C321">
        <v>87851.939006420478</v>
      </c>
      <c r="D321" s="30">
        <f t="shared" si="9"/>
        <v>878.5193900642048</v>
      </c>
    </row>
    <row r="322" spans="1:4">
      <c r="A322" s="22">
        <f t="shared" si="8"/>
        <v>359.14439604299548</v>
      </c>
      <c r="B322">
        <v>3591.4439604299546</v>
      </c>
      <c r="C322">
        <v>87693.319710600481</v>
      </c>
      <c r="D322" s="30">
        <f t="shared" si="9"/>
        <v>876.93319710600485</v>
      </c>
    </row>
    <row r="323" spans="1:4">
      <c r="A323" s="22">
        <f t="shared" ref="A323:A386" si="10">B323/10</f>
        <v>360.26672228062978</v>
      </c>
      <c r="B323">
        <v>3602.667222806298</v>
      </c>
      <c r="C323">
        <v>87534.700414780484</v>
      </c>
      <c r="D323" s="30">
        <f t="shared" ref="D323:D386" si="11">C323/100</f>
        <v>875.3470041478048</v>
      </c>
    </row>
    <row r="324" spans="1:4">
      <c r="A324" s="22">
        <f t="shared" si="10"/>
        <v>361.38904851826413</v>
      </c>
      <c r="B324">
        <v>3613.8904851826414</v>
      </c>
      <c r="C324">
        <v>87376.081118960486</v>
      </c>
      <c r="D324" s="30">
        <f t="shared" si="11"/>
        <v>873.76081118960485</v>
      </c>
    </row>
    <row r="325" spans="1:4">
      <c r="A325" s="22">
        <f t="shared" si="10"/>
        <v>362.51137475589854</v>
      </c>
      <c r="B325">
        <v>3625.1137475589853</v>
      </c>
      <c r="C325">
        <v>87217.461823140489</v>
      </c>
      <c r="D325" s="30">
        <f t="shared" si="11"/>
        <v>872.17461823140491</v>
      </c>
    </row>
    <row r="326" spans="1:4">
      <c r="A326" s="22">
        <f t="shared" si="10"/>
        <v>363.6337009935329</v>
      </c>
      <c r="B326">
        <v>3636.3370099353288</v>
      </c>
      <c r="C326">
        <v>87058.842527320492</v>
      </c>
      <c r="D326" s="30">
        <f t="shared" si="11"/>
        <v>870.58842527320496</v>
      </c>
    </row>
    <row r="327" spans="1:4">
      <c r="A327" s="22">
        <f t="shared" si="10"/>
        <v>364.75602723116725</v>
      </c>
      <c r="B327">
        <v>3647.5602723116726</v>
      </c>
      <c r="C327">
        <v>86900.223231500495</v>
      </c>
      <c r="D327" s="30">
        <f t="shared" si="11"/>
        <v>869.0022323150049</v>
      </c>
    </row>
    <row r="328" spans="1:4">
      <c r="A328" s="22">
        <f t="shared" si="10"/>
        <v>365.87835346880161</v>
      </c>
      <c r="B328">
        <v>3658.7835346880161</v>
      </c>
      <c r="C328">
        <v>86741.603935680498</v>
      </c>
      <c r="D328" s="30">
        <f t="shared" si="11"/>
        <v>867.41603935680496</v>
      </c>
    </row>
    <row r="329" spans="1:4">
      <c r="A329" s="22">
        <f t="shared" si="10"/>
        <v>367.00067970643596</v>
      </c>
      <c r="B329">
        <v>3670.0067970643595</v>
      </c>
      <c r="C329">
        <v>86582.9846398605</v>
      </c>
      <c r="D329" s="30">
        <f t="shared" si="11"/>
        <v>865.82984639860501</v>
      </c>
    </row>
    <row r="330" spans="1:4">
      <c r="A330" s="22">
        <f t="shared" si="10"/>
        <v>368.12300594407031</v>
      </c>
      <c r="B330">
        <v>3681.2300594407034</v>
      </c>
      <c r="C330">
        <v>86424.365344040503</v>
      </c>
      <c r="D330" s="30">
        <f t="shared" si="11"/>
        <v>864.24365344040507</v>
      </c>
    </row>
    <row r="331" spans="1:4">
      <c r="A331" s="22">
        <f t="shared" si="10"/>
        <v>369.24533218170467</v>
      </c>
      <c r="B331">
        <v>3692.4533218170468</v>
      </c>
      <c r="C331">
        <v>86265.746048220506</v>
      </c>
      <c r="D331" s="30">
        <f t="shared" si="11"/>
        <v>862.65746048220501</v>
      </c>
    </row>
    <row r="332" spans="1:4">
      <c r="A332" s="22">
        <f t="shared" si="10"/>
        <v>370.36765841933908</v>
      </c>
      <c r="B332">
        <v>3703.6765841933907</v>
      </c>
      <c r="C332">
        <v>86107.126752400509</v>
      </c>
      <c r="D332" s="30">
        <f t="shared" si="11"/>
        <v>861.07126752400507</v>
      </c>
    </row>
    <row r="333" spans="1:4">
      <c r="A333" s="22">
        <f t="shared" si="10"/>
        <v>371.48998465697343</v>
      </c>
      <c r="B333">
        <v>3714.8998465697341</v>
      </c>
      <c r="C333">
        <v>85948.507456580512</v>
      </c>
      <c r="D333" s="30">
        <f t="shared" si="11"/>
        <v>859.48507456580512</v>
      </c>
    </row>
    <row r="334" spans="1:4">
      <c r="A334" s="22">
        <f t="shared" si="10"/>
        <v>372.61231089460773</v>
      </c>
      <c r="B334">
        <v>3726.1231089460775</v>
      </c>
      <c r="C334">
        <v>85789.888160760514</v>
      </c>
      <c r="D334" s="30">
        <f t="shared" si="11"/>
        <v>857.89888160760518</v>
      </c>
    </row>
    <row r="335" spans="1:4">
      <c r="A335" s="22">
        <f t="shared" si="10"/>
        <v>373.73463713224214</v>
      </c>
      <c r="B335">
        <v>3737.3463713224214</v>
      </c>
      <c r="C335">
        <v>85631.268864940517</v>
      </c>
      <c r="D335" s="30">
        <f t="shared" si="11"/>
        <v>856.31268864940512</v>
      </c>
    </row>
    <row r="336" spans="1:4">
      <c r="A336" s="22">
        <f t="shared" si="10"/>
        <v>374.8569633698765</v>
      </c>
      <c r="B336">
        <v>3748.5696336987648</v>
      </c>
      <c r="C336">
        <v>85472.64956912052</v>
      </c>
      <c r="D336" s="30">
        <f t="shared" si="11"/>
        <v>854.72649569120517</v>
      </c>
    </row>
    <row r="337" spans="1:4">
      <c r="A337" s="22">
        <f t="shared" si="10"/>
        <v>375.97928960751085</v>
      </c>
      <c r="B337">
        <v>3759.7928960751087</v>
      </c>
      <c r="C337">
        <v>85314.030273300523</v>
      </c>
      <c r="D337" s="30">
        <f t="shared" si="11"/>
        <v>853.14030273300523</v>
      </c>
    </row>
    <row r="338" spans="1:4">
      <c r="A338" s="22">
        <f t="shared" si="10"/>
        <v>377.1016158451452</v>
      </c>
      <c r="B338">
        <v>3771.0161584514522</v>
      </c>
      <c r="C338">
        <v>85155.410977480526</v>
      </c>
      <c r="D338" s="30">
        <f t="shared" si="11"/>
        <v>851.55410977480528</v>
      </c>
    </row>
    <row r="339" spans="1:4">
      <c r="A339" s="22">
        <f t="shared" si="10"/>
        <v>378.22394208277956</v>
      </c>
      <c r="B339">
        <v>3782.2394208277956</v>
      </c>
      <c r="C339">
        <v>84996.791681660528</v>
      </c>
      <c r="D339" s="30">
        <f t="shared" si="11"/>
        <v>849.96791681660534</v>
      </c>
    </row>
    <row r="340" spans="1:4">
      <c r="A340" s="22">
        <f t="shared" si="10"/>
        <v>379.34626832041397</v>
      </c>
      <c r="B340">
        <v>3793.4626832041395</v>
      </c>
      <c r="C340">
        <v>84838.172385840531</v>
      </c>
      <c r="D340" s="30">
        <f t="shared" si="11"/>
        <v>848.38172385840528</v>
      </c>
    </row>
    <row r="341" spans="1:4">
      <c r="A341" s="22">
        <f t="shared" si="10"/>
        <v>380.46859455804827</v>
      </c>
      <c r="B341">
        <v>3804.6859455804829</v>
      </c>
      <c r="C341">
        <v>84679.553090020534</v>
      </c>
      <c r="D341" s="30">
        <f t="shared" si="11"/>
        <v>846.79553090020534</v>
      </c>
    </row>
    <row r="342" spans="1:4">
      <c r="A342" s="22">
        <f t="shared" si="10"/>
        <v>381.59092079568268</v>
      </c>
      <c r="B342">
        <v>3815.9092079568268</v>
      </c>
      <c r="C342">
        <v>84520.933794200537</v>
      </c>
      <c r="D342" s="30">
        <f t="shared" si="11"/>
        <v>845.20933794200539</v>
      </c>
    </row>
    <row r="343" spans="1:4">
      <c r="A343" s="22">
        <f t="shared" si="10"/>
        <v>382.71324703331703</v>
      </c>
      <c r="B343">
        <v>3827.1324703331702</v>
      </c>
      <c r="C343">
        <v>84362.31449838054</v>
      </c>
      <c r="D343" s="30">
        <f t="shared" si="11"/>
        <v>843.62314498380545</v>
      </c>
    </row>
    <row r="344" spans="1:4">
      <c r="A344" s="22">
        <f t="shared" si="10"/>
        <v>383.83557327095139</v>
      </c>
      <c r="B344">
        <v>3838.3557327095136</v>
      </c>
      <c r="C344">
        <v>84203.695202560542</v>
      </c>
      <c r="D344" s="30">
        <f t="shared" si="11"/>
        <v>842.03695202560539</v>
      </c>
    </row>
    <row r="345" spans="1:4">
      <c r="A345" s="22">
        <f t="shared" si="10"/>
        <v>384.95789950858574</v>
      </c>
      <c r="B345">
        <v>3849.5789950858575</v>
      </c>
      <c r="C345">
        <v>84045.075906740545</v>
      </c>
      <c r="D345" s="30">
        <f t="shared" si="11"/>
        <v>840.45075906740544</v>
      </c>
    </row>
    <row r="346" spans="1:4">
      <c r="A346" s="22">
        <f t="shared" si="10"/>
        <v>386.08022574622009</v>
      </c>
      <c r="B346">
        <v>3860.8022574622009</v>
      </c>
      <c r="C346">
        <v>83886.456610920548</v>
      </c>
      <c r="D346" s="30">
        <f t="shared" si="11"/>
        <v>838.8645661092055</v>
      </c>
    </row>
    <row r="347" spans="1:4">
      <c r="A347" s="22">
        <f t="shared" si="10"/>
        <v>387.20255198385451</v>
      </c>
      <c r="B347">
        <v>3872.0255198385448</v>
      </c>
      <c r="C347">
        <v>83727.837315100551</v>
      </c>
      <c r="D347" s="30">
        <f t="shared" si="11"/>
        <v>837.27837315100555</v>
      </c>
    </row>
    <row r="348" spans="1:4">
      <c r="A348" s="22">
        <f t="shared" si="10"/>
        <v>388.3248782214888</v>
      </c>
      <c r="B348">
        <v>3883.2487822148883</v>
      </c>
      <c r="C348">
        <v>83569.218019280554</v>
      </c>
      <c r="D348" s="30">
        <f t="shared" si="11"/>
        <v>835.69218019280549</v>
      </c>
    </row>
    <row r="349" spans="1:4">
      <c r="A349" s="22">
        <f t="shared" si="10"/>
        <v>389.44720445912316</v>
      </c>
      <c r="B349">
        <v>3894.4720445912317</v>
      </c>
      <c r="C349">
        <v>83410.598723460556</v>
      </c>
      <c r="D349" s="30">
        <f t="shared" si="11"/>
        <v>834.10598723460555</v>
      </c>
    </row>
    <row r="350" spans="1:4">
      <c r="A350" s="22">
        <f t="shared" si="10"/>
        <v>390.56953069675757</v>
      </c>
      <c r="B350">
        <v>3905.6953069675756</v>
      </c>
      <c r="C350">
        <v>83251.979427640559</v>
      </c>
      <c r="D350" s="30">
        <f t="shared" si="11"/>
        <v>832.51979427640561</v>
      </c>
    </row>
    <row r="351" spans="1:4">
      <c r="A351" s="22">
        <f t="shared" si="10"/>
        <v>391.69185693439192</v>
      </c>
      <c r="B351">
        <v>3916.918569343919</v>
      </c>
      <c r="C351">
        <v>83093.360131820562</v>
      </c>
      <c r="D351" s="30">
        <f t="shared" si="11"/>
        <v>830.93360131820566</v>
      </c>
    </row>
    <row r="352" spans="1:4">
      <c r="A352" s="22">
        <f t="shared" si="10"/>
        <v>392.81418317202628</v>
      </c>
      <c r="B352">
        <v>3928.1418317202629</v>
      </c>
      <c r="C352">
        <v>82934.740836000565</v>
      </c>
      <c r="D352" s="30">
        <f t="shared" si="11"/>
        <v>829.3474083600056</v>
      </c>
    </row>
    <row r="353" spans="1:4">
      <c r="A353" s="22">
        <f t="shared" si="10"/>
        <v>393.93650940966063</v>
      </c>
      <c r="B353">
        <v>3939.3650940966063</v>
      </c>
      <c r="C353">
        <v>82776.121540180568</v>
      </c>
      <c r="D353" s="30">
        <f t="shared" si="11"/>
        <v>827.76121540180566</v>
      </c>
    </row>
    <row r="354" spans="1:4">
      <c r="A354" s="22">
        <f t="shared" si="10"/>
        <v>395.05883564729498</v>
      </c>
      <c r="B354">
        <v>3950.5883564729497</v>
      </c>
      <c r="C354">
        <v>82617.50224436057</v>
      </c>
      <c r="D354" s="30">
        <f t="shared" si="11"/>
        <v>826.17502244360571</v>
      </c>
    </row>
    <row r="355" spans="1:4">
      <c r="A355" s="22">
        <f t="shared" si="10"/>
        <v>396.18116188492934</v>
      </c>
      <c r="B355">
        <v>3961.8116188492936</v>
      </c>
      <c r="C355">
        <v>82458.882948540573</v>
      </c>
      <c r="D355" s="30">
        <f t="shared" si="11"/>
        <v>824.58882948540577</v>
      </c>
    </row>
    <row r="356" spans="1:4">
      <c r="A356" s="22">
        <f t="shared" si="10"/>
        <v>397.30348812256369</v>
      </c>
      <c r="B356">
        <v>3973.034881225637</v>
      </c>
      <c r="C356">
        <v>82300.263652720576</v>
      </c>
      <c r="D356" s="30">
        <f t="shared" si="11"/>
        <v>823.00263652720571</v>
      </c>
    </row>
    <row r="357" spans="1:4">
      <c r="A357" s="22">
        <f t="shared" si="10"/>
        <v>398.4258143601981</v>
      </c>
      <c r="B357">
        <v>3984.2581436019809</v>
      </c>
      <c r="C357">
        <v>82141.644356900579</v>
      </c>
      <c r="D357" s="30">
        <f t="shared" si="11"/>
        <v>821.41644356900576</v>
      </c>
    </row>
    <row r="358" spans="1:4">
      <c r="A358" s="22">
        <f t="shared" si="10"/>
        <v>399.54814059783246</v>
      </c>
      <c r="B358">
        <v>3995.4814059783243</v>
      </c>
      <c r="C358">
        <v>81983.025061080582</v>
      </c>
      <c r="D358" s="30">
        <f t="shared" si="11"/>
        <v>819.83025061080582</v>
      </c>
    </row>
    <row r="359" spans="1:4">
      <c r="A359" s="22">
        <f t="shared" si="10"/>
        <v>400.67046683546675</v>
      </c>
      <c r="B359">
        <v>4006.7046683546678</v>
      </c>
      <c r="C359">
        <v>81824.405765260584</v>
      </c>
      <c r="D359" s="30">
        <f t="shared" si="11"/>
        <v>818.24405765260587</v>
      </c>
    </row>
    <row r="360" spans="1:4">
      <c r="A360" s="22">
        <f t="shared" si="10"/>
        <v>401.79279307310117</v>
      </c>
      <c r="B360">
        <v>4017.9279307310117</v>
      </c>
      <c r="C360">
        <v>81665.786469440587</v>
      </c>
      <c r="D360" s="30">
        <f t="shared" si="11"/>
        <v>816.65786469440582</v>
      </c>
    </row>
    <row r="361" spans="1:4">
      <c r="A361" s="22">
        <f t="shared" si="10"/>
        <v>402.91511931073552</v>
      </c>
      <c r="B361">
        <v>4029.1511931073551</v>
      </c>
      <c r="C361">
        <v>81507.16717362059</v>
      </c>
      <c r="D361" s="30">
        <f t="shared" si="11"/>
        <v>815.07167173620587</v>
      </c>
    </row>
    <row r="362" spans="1:4">
      <c r="A362" s="22">
        <f t="shared" si="10"/>
        <v>404.03744554836987</v>
      </c>
      <c r="B362">
        <v>4040.374455483699</v>
      </c>
      <c r="C362">
        <v>81348.547877800593</v>
      </c>
      <c r="D362" s="30">
        <f t="shared" si="11"/>
        <v>813.48547877800593</v>
      </c>
    </row>
    <row r="363" spans="1:4">
      <c r="A363" s="22">
        <f t="shared" si="10"/>
        <v>405.15977178600423</v>
      </c>
      <c r="B363">
        <v>4051.5977178600424</v>
      </c>
      <c r="C363">
        <v>81189.928581980595</v>
      </c>
      <c r="D363" s="30">
        <f t="shared" si="11"/>
        <v>811.89928581980598</v>
      </c>
    </row>
    <row r="364" spans="1:4">
      <c r="A364" s="22">
        <f t="shared" si="10"/>
        <v>406.28209802363858</v>
      </c>
      <c r="B364">
        <v>4062.8209802363858</v>
      </c>
      <c r="C364">
        <v>81031.309286160598</v>
      </c>
      <c r="D364" s="30">
        <f t="shared" si="11"/>
        <v>810.31309286160604</v>
      </c>
    </row>
    <row r="365" spans="1:4">
      <c r="A365" s="22">
        <f t="shared" si="10"/>
        <v>407.40442426127299</v>
      </c>
      <c r="B365">
        <v>4074.0442426127297</v>
      </c>
      <c r="C365">
        <v>80872.689990340601</v>
      </c>
      <c r="D365" s="30">
        <f t="shared" si="11"/>
        <v>808.72689990340598</v>
      </c>
    </row>
    <row r="366" spans="1:4">
      <c r="A366" s="22">
        <f t="shared" si="10"/>
        <v>408.52675049890729</v>
      </c>
      <c r="B366">
        <v>4085.2675049890731</v>
      </c>
      <c r="C366">
        <v>80714.070694520604</v>
      </c>
      <c r="D366" s="30">
        <f t="shared" si="11"/>
        <v>807.14070694520603</v>
      </c>
    </row>
    <row r="367" spans="1:4">
      <c r="A367" s="22">
        <f t="shared" si="10"/>
        <v>409.6490767365417</v>
      </c>
      <c r="B367">
        <v>4096.490767365417</v>
      </c>
      <c r="C367">
        <v>80555.451398700607</v>
      </c>
      <c r="D367" s="30">
        <f t="shared" si="11"/>
        <v>805.55451398700609</v>
      </c>
    </row>
    <row r="368" spans="1:4">
      <c r="A368" s="22">
        <f t="shared" si="10"/>
        <v>410.771402974176</v>
      </c>
      <c r="B368">
        <v>4107.71402974176</v>
      </c>
      <c r="C368">
        <v>80396.832102880609</v>
      </c>
      <c r="D368" s="30">
        <f t="shared" si="11"/>
        <v>803.96832102880614</v>
      </c>
    </row>
    <row r="369" spans="1:4">
      <c r="A369" s="22">
        <f t="shared" si="10"/>
        <v>411.89372921181041</v>
      </c>
      <c r="B369">
        <v>4118.9372921181039</v>
      </c>
      <c r="C369">
        <v>80238.212807060612</v>
      </c>
      <c r="D369" s="30">
        <f t="shared" si="11"/>
        <v>802.38212807060609</v>
      </c>
    </row>
    <row r="370" spans="1:4">
      <c r="A370" s="22">
        <f t="shared" si="10"/>
        <v>413.01605544944476</v>
      </c>
      <c r="B370">
        <v>4130.1605544944478</v>
      </c>
      <c r="C370">
        <v>80079.593511240615</v>
      </c>
      <c r="D370" s="30">
        <f t="shared" si="11"/>
        <v>800.79593511240614</v>
      </c>
    </row>
    <row r="371" spans="1:4">
      <c r="A371" s="22">
        <f t="shared" si="10"/>
        <v>414.13838168707917</v>
      </c>
      <c r="B371">
        <v>4141.3838168707916</v>
      </c>
      <c r="C371">
        <v>79920.974215420618</v>
      </c>
      <c r="D371" s="30">
        <f t="shared" si="11"/>
        <v>799.2097421542062</v>
      </c>
    </row>
    <row r="372" spans="1:4">
      <c r="A372" s="22">
        <f t="shared" si="10"/>
        <v>415.26070792471347</v>
      </c>
      <c r="B372">
        <v>4152.6070792471346</v>
      </c>
      <c r="C372">
        <v>79762.354919600621</v>
      </c>
      <c r="D372" s="30">
        <f t="shared" si="11"/>
        <v>797.62354919600625</v>
      </c>
    </row>
    <row r="373" spans="1:4">
      <c r="A373" s="22">
        <f t="shared" si="10"/>
        <v>416.38303416234783</v>
      </c>
      <c r="B373">
        <v>4163.8303416234785</v>
      </c>
      <c r="C373">
        <v>79603.735623780623</v>
      </c>
      <c r="D373" s="30">
        <f t="shared" si="11"/>
        <v>796.03735623780619</v>
      </c>
    </row>
    <row r="374" spans="1:4">
      <c r="A374" s="22">
        <f t="shared" si="10"/>
        <v>417.50536039998224</v>
      </c>
      <c r="B374">
        <v>4175.0536039998224</v>
      </c>
      <c r="C374">
        <v>79445.116327960626</v>
      </c>
      <c r="D374" s="30">
        <f t="shared" si="11"/>
        <v>794.45116327960625</v>
      </c>
    </row>
    <row r="375" spans="1:4">
      <c r="A375" s="22">
        <f t="shared" si="10"/>
        <v>418.62768663761653</v>
      </c>
      <c r="B375">
        <v>4186.2768663761653</v>
      </c>
      <c r="C375">
        <v>79286.497032140629</v>
      </c>
      <c r="D375" s="30">
        <f t="shared" si="11"/>
        <v>792.8649703214063</v>
      </c>
    </row>
    <row r="376" spans="1:4">
      <c r="A376" s="22">
        <f t="shared" si="10"/>
        <v>419.75001287525095</v>
      </c>
      <c r="B376">
        <v>4197.5001287525092</v>
      </c>
      <c r="C376">
        <v>79127.877736320632</v>
      </c>
      <c r="D376" s="30">
        <f t="shared" si="11"/>
        <v>791.27877736320636</v>
      </c>
    </row>
    <row r="377" spans="1:4">
      <c r="A377" s="22">
        <f t="shared" si="10"/>
        <v>420.8723391128853</v>
      </c>
      <c r="B377">
        <v>4208.7233911288531</v>
      </c>
      <c r="C377">
        <v>78969.258440500635</v>
      </c>
      <c r="D377" s="30">
        <f t="shared" si="11"/>
        <v>789.6925844050063</v>
      </c>
    </row>
    <row r="378" spans="1:4">
      <c r="A378" s="22">
        <f t="shared" si="10"/>
        <v>421.9946653505196</v>
      </c>
      <c r="B378">
        <v>4219.9466535051961</v>
      </c>
      <c r="C378">
        <v>78810.639144680637</v>
      </c>
      <c r="D378" s="30">
        <f t="shared" si="11"/>
        <v>788.10639144680636</v>
      </c>
    </row>
    <row r="379" spans="1:4">
      <c r="A379" s="22">
        <f t="shared" si="10"/>
        <v>423.11699158815401</v>
      </c>
      <c r="B379">
        <v>4231.16991588154</v>
      </c>
      <c r="C379">
        <v>78652.01984886064</v>
      </c>
      <c r="D379" s="30">
        <f t="shared" si="11"/>
        <v>786.52019848860641</v>
      </c>
    </row>
    <row r="380" spans="1:4">
      <c r="A380" s="22">
        <f t="shared" si="10"/>
        <v>424.23931782578836</v>
      </c>
      <c r="B380">
        <v>4242.3931782578838</v>
      </c>
      <c r="C380">
        <v>78493.400553040643</v>
      </c>
      <c r="D380" s="30">
        <f t="shared" si="11"/>
        <v>784.93400553040647</v>
      </c>
    </row>
    <row r="381" spans="1:4">
      <c r="A381" s="22">
        <f t="shared" si="10"/>
        <v>425.36164406342277</v>
      </c>
      <c r="B381">
        <v>4253.6164406342277</v>
      </c>
      <c r="C381">
        <v>78334.781257220646</v>
      </c>
      <c r="D381" s="30">
        <f t="shared" si="11"/>
        <v>783.34781257220641</v>
      </c>
    </row>
    <row r="382" spans="1:4">
      <c r="A382" s="22">
        <f t="shared" si="10"/>
        <v>426.48397030105707</v>
      </c>
      <c r="B382">
        <v>4264.8397030105707</v>
      </c>
      <c r="C382">
        <v>78176.161961400649</v>
      </c>
      <c r="D382" s="30">
        <f t="shared" si="11"/>
        <v>781.76161961400646</v>
      </c>
    </row>
    <row r="383" spans="1:4">
      <c r="A383" s="22">
        <f t="shared" si="10"/>
        <v>427.60629653869148</v>
      </c>
      <c r="B383">
        <v>4276.0629653869146</v>
      </c>
      <c r="C383">
        <v>78017.542665580651</v>
      </c>
      <c r="D383" s="30">
        <f t="shared" si="11"/>
        <v>780.17542665580652</v>
      </c>
    </row>
    <row r="384" spans="1:4">
      <c r="A384" s="22">
        <f t="shared" si="10"/>
        <v>428.72862277632584</v>
      </c>
      <c r="B384">
        <v>4287.2862277632585</v>
      </c>
      <c r="C384">
        <v>77858.923369760654</v>
      </c>
      <c r="D384" s="30">
        <f t="shared" si="11"/>
        <v>778.58923369760657</v>
      </c>
    </row>
    <row r="385" spans="1:4">
      <c r="A385" s="22">
        <f t="shared" si="10"/>
        <v>429.85094901396013</v>
      </c>
      <c r="B385">
        <v>4298.5094901396014</v>
      </c>
      <c r="C385">
        <v>77700.304073940657</v>
      </c>
      <c r="D385" s="30">
        <f t="shared" si="11"/>
        <v>777.00304073940652</v>
      </c>
    </row>
    <row r="386" spans="1:4">
      <c r="A386" s="22">
        <f t="shared" si="10"/>
        <v>430.97327525159454</v>
      </c>
      <c r="B386">
        <v>4309.7327525159453</v>
      </c>
      <c r="C386">
        <v>77541.68477812066</v>
      </c>
      <c r="D386" s="30">
        <f t="shared" si="11"/>
        <v>775.41684778120657</v>
      </c>
    </row>
    <row r="387" spans="1:4">
      <c r="A387" s="22">
        <f t="shared" ref="A387:A450" si="12">B387/10</f>
        <v>432.0956014892289</v>
      </c>
      <c r="B387">
        <v>4320.9560148922892</v>
      </c>
      <c r="C387">
        <v>77383.065482300663</v>
      </c>
      <c r="D387" s="30">
        <f t="shared" ref="D387:D450" si="13">C387/100</f>
        <v>773.83065482300663</v>
      </c>
    </row>
    <row r="388" spans="1:4">
      <c r="A388" s="22">
        <f t="shared" si="12"/>
        <v>433.21792772686319</v>
      </c>
      <c r="B388">
        <v>4332.1792772686322</v>
      </c>
      <c r="C388">
        <v>77224.446186480665</v>
      </c>
      <c r="D388" s="30">
        <f t="shared" si="13"/>
        <v>772.24446186480668</v>
      </c>
    </row>
    <row r="389" spans="1:4">
      <c r="A389" s="22">
        <f t="shared" si="12"/>
        <v>434.34025396449761</v>
      </c>
      <c r="B389">
        <v>4343.4025396449761</v>
      </c>
      <c r="C389">
        <v>77065.826890660668</v>
      </c>
      <c r="D389" s="30">
        <f t="shared" si="13"/>
        <v>770.65826890660674</v>
      </c>
    </row>
    <row r="390" spans="1:4">
      <c r="A390" s="22">
        <f t="shared" si="12"/>
        <v>435.46258020213202</v>
      </c>
      <c r="B390">
        <v>4354.6258020213199</v>
      </c>
      <c r="C390">
        <v>76907.207594840671</v>
      </c>
      <c r="D390" s="30">
        <f t="shared" si="13"/>
        <v>769.07207594840668</v>
      </c>
    </row>
    <row r="391" spans="1:4">
      <c r="A391" s="22">
        <f t="shared" si="12"/>
        <v>436.58490643976631</v>
      </c>
      <c r="B391">
        <v>4365.8490643976629</v>
      </c>
      <c r="C391">
        <v>76748.588299020674</v>
      </c>
      <c r="D391" s="30">
        <f t="shared" si="13"/>
        <v>767.48588299020673</v>
      </c>
    </row>
    <row r="392" spans="1:4">
      <c r="A392" s="22">
        <f t="shared" si="12"/>
        <v>437.70723267740067</v>
      </c>
      <c r="B392">
        <v>4377.0723267740068</v>
      </c>
      <c r="C392">
        <v>76589.969003200677</v>
      </c>
      <c r="D392" s="30">
        <f t="shared" si="13"/>
        <v>765.89969003200679</v>
      </c>
    </row>
    <row r="393" spans="1:4">
      <c r="A393" s="22">
        <f t="shared" si="12"/>
        <v>438.82955891503508</v>
      </c>
      <c r="B393">
        <v>4388.2955891503507</v>
      </c>
      <c r="C393">
        <v>76431.349707380679</v>
      </c>
      <c r="D393" s="30">
        <f t="shared" si="13"/>
        <v>764.31349707380684</v>
      </c>
    </row>
    <row r="394" spans="1:4">
      <c r="A394" s="22">
        <f t="shared" si="12"/>
        <v>439.95188515266943</v>
      </c>
      <c r="B394">
        <v>4399.5188515266946</v>
      </c>
      <c r="C394">
        <v>76272.730411560682</v>
      </c>
      <c r="D394" s="30">
        <f t="shared" si="13"/>
        <v>762.72730411560678</v>
      </c>
    </row>
    <row r="395" spans="1:4">
      <c r="A395" s="22">
        <f t="shared" si="12"/>
        <v>441.07421139030373</v>
      </c>
      <c r="B395">
        <v>4410.7421139030375</v>
      </c>
      <c r="C395">
        <v>76114.111115740685</v>
      </c>
      <c r="D395" s="30">
        <f t="shared" si="13"/>
        <v>761.14111115740684</v>
      </c>
    </row>
    <row r="396" spans="1:4">
      <c r="A396" s="22">
        <f t="shared" si="12"/>
        <v>442.19653762793814</v>
      </c>
      <c r="B396">
        <v>4421.9653762793814</v>
      </c>
      <c r="C396">
        <v>75955.491819920688</v>
      </c>
      <c r="D396" s="30">
        <f t="shared" si="13"/>
        <v>759.5549181992069</v>
      </c>
    </row>
    <row r="397" spans="1:4">
      <c r="A397" s="22">
        <f t="shared" si="12"/>
        <v>443.31886386557255</v>
      </c>
      <c r="B397">
        <v>4433.1886386557253</v>
      </c>
      <c r="C397">
        <v>75796.87252410069</v>
      </c>
      <c r="D397" s="30">
        <f t="shared" si="13"/>
        <v>757.96872524100695</v>
      </c>
    </row>
    <row r="398" spans="1:4">
      <c r="A398" s="22">
        <f t="shared" si="12"/>
        <v>444.44119010320685</v>
      </c>
      <c r="B398">
        <v>4444.4119010320683</v>
      </c>
      <c r="C398">
        <v>75638.253228280693</v>
      </c>
      <c r="D398" s="30">
        <f t="shared" si="13"/>
        <v>756.38253228280689</v>
      </c>
    </row>
    <row r="399" spans="1:4">
      <c r="A399" s="22">
        <f t="shared" si="12"/>
        <v>445.5635163408412</v>
      </c>
      <c r="B399">
        <v>4455.6351634084122</v>
      </c>
      <c r="C399">
        <v>75479.633932460696</v>
      </c>
      <c r="D399" s="30">
        <f t="shared" si="13"/>
        <v>754.79633932460695</v>
      </c>
    </row>
    <row r="400" spans="1:4">
      <c r="A400" s="22">
        <f t="shared" si="12"/>
        <v>446.68584257847562</v>
      </c>
      <c r="B400">
        <v>4466.858425784756</v>
      </c>
      <c r="C400">
        <v>75321.014636640699</v>
      </c>
      <c r="D400" s="30">
        <f t="shared" si="13"/>
        <v>753.210146366407</v>
      </c>
    </row>
    <row r="401" spans="1:4">
      <c r="A401" s="22">
        <f t="shared" si="12"/>
        <v>447.80816881610991</v>
      </c>
      <c r="B401">
        <v>4478.081688161099</v>
      </c>
      <c r="C401">
        <v>75162.395340820702</v>
      </c>
      <c r="D401" s="30">
        <f t="shared" si="13"/>
        <v>751.62395340820706</v>
      </c>
    </row>
    <row r="402" spans="1:4">
      <c r="A402" s="22">
        <f t="shared" si="12"/>
        <v>448.93049505374427</v>
      </c>
      <c r="B402">
        <v>4489.3049505374429</v>
      </c>
      <c r="C402">
        <v>75003.776045000704</v>
      </c>
      <c r="D402" s="30">
        <f t="shared" si="13"/>
        <v>750.037760450007</v>
      </c>
    </row>
    <row r="403" spans="1:4">
      <c r="A403" s="22">
        <f t="shared" si="12"/>
        <v>450.05282129137868</v>
      </c>
      <c r="B403">
        <v>4500.5282129137868</v>
      </c>
      <c r="C403">
        <v>74845.156749180707</v>
      </c>
      <c r="D403" s="30">
        <f t="shared" si="13"/>
        <v>748.45156749180705</v>
      </c>
    </row>
    <row r="404" spans="1:4">
      <c r="A404" s="22">
        <f t="shared" si="12"/>
        <v>451.17514752901309</v>
      </c>
      <c r="B404">
        <v>4511.7514752901307</v>
      </c>
      <c r="C404">
        <v>74686.53745336071</v>
      </c>
      <c r="D404" s="30">
        <f t="shared" si="13"/>
        <v>746.86537453360711</v>
      </c>
    </row>
    <row r="405" spans="1:4">
      <c r="A405" s="22">
        <f t="shared" si="12"/>
        <v>452.29747376664739</v>
      </c>
      <c r="B405">
        <v>4522.9747376664736</v>
      </c>
      <c r="C405">
        <v>74527.918157540713</v>
      </c>
      <c r="D405" s="30">
        <f t="shared" si="13"/>
        <v>745.27918157540716</v>
      </c>
    </row>
    <row r="406" spans="1:4">
      <c r="A406" s="22">
        <f t="shared" si="12"/>
        <v>453.41980000428174</v>
      </c>
      <c r="B406">
        <v>4534.1980000428175</v>
      </c>
      <c r="C406">
        <v>74369.298861720716</v>
      </c>
      <c r="D406" s="30">
        <f t="shared" si="13"/>
        <v>743.69298861720711</v>
      </c>
    </row>
    <row r="407" spans="1:4">
      <c r="A407" s="22">
        <f t="shared" si="12"/>
        <v>454.54212624191615</v>
      </c>
      <c r="B407">
        <v>4545.4212624191614</v>
      </c>
      <c r="C407">
        <v>74210.679565900718</v>
      </c>
      <c r="D407" s="30">
        <f t="shared" si="13"/>
        <v>742.10679565900716</v>
      </c>
    </row>
    <row r="408" spans="1:4">
      <c r="A408" s="22">
        <f t="shared" si="12"/>
        <v>455.66445247955045</v>
      </c>
      <c r="B408">
        <v>4556.6445247955044</v>
      </c>
      <c r="C408">
        <v>74052.060270080721</v>
      </c>
      <c r="D408" s="30">
        <f t="shared" si="13"/>
        <v>740.52060270080722</v>
      </c>
    </row>
    <row r="409" spans="1:4">
      <c r="A409" s="22">
        <f t="shared" si="12"/>
        <v>456.7867787171848</v>
      </c>
      <c r="B409">
        <v>4567.8677871718482</v>
      </c>
      <c r="C409">
        <v>73893.440974260724</v>
      </c>
      <c r="D409" s="30">
        <f t="shared" si="13"/>
        <v>738.93440974260727</v>
      </c>
    </row>
    <row r="410" spans="1:4">
      <c r="A410" s="22">
        <f t="shared" si="12"/>
        <v>457.90910495481921</v>
      </c>
      <c r="B410">
        <v>4579.0910495481921</v>
      </c>
      <c r="C410">
        <v>73734.821678440727</v>
      </c>
      <c r="D410" s="30">
        <f t="shared" si="13"/>
        <v>737.34821678440721</v>
      </c>
    </row>
    <row r="411" spans="1:4">
      <c r="A411" s="22">
        <f t="shared" si="12"/>
        <v>459.03143119245351</v>
      </c>
      <c r="B411">
        <v>4590.3143119245351</v>
      </c>
      <c r="C411">
        <v>73576.20238262073</v>
      </c>
      <c r="D411" s="30">
        <f t="shared" si="13"/>
        <v>735.76202382620727</v>
      </c>
    </row>
    <row r="412" spans="1:4">
      <c r="A412" s="22">
        <f t="shared" si="12"/>
        <v>460.15375743008792</v>
      </c>
      <c r="B412">
        <v>4601.537574300879</v>
      </c>
      <c r="C412">
        <v>73417.583086800732</v>
      </c>
      <c r="D412" s="30">
        <f t="shared" si="13"/>
        <v>734.17583086800732</v>
      </c>
    </row>
    <row r="413" spans="1:4">
      <c r="A413" s="22">
        <f t="shared" si="12"/>
        <v>461.27608366772228</v>
      </c>
      <c r="B413">
        <v>4612.7608366772229</v>
      </c>
      <c r="C413">
        <v>73258.963790980735</v>
      </c>
      <c r="D413" s="30">
        <f t="shared" si="13"/>
        <v>732.58963790980738</v>
      </c>
    </row>
    <row r="414" spans="1:4">
      <c r="A414" s="22">
        <f t="shared" si="12"/>
        <v>462.39840990535669</v>
      </c>
      <c r="B414">
        <v>4623.9840990535668</v>
      </c>
      <c r="C414">
        <v>73100.344495160738</v>
      </c>
      <c r="D414" s="30">
        <f t="shared" si="13"/>
        <v>731.00344495160743</v>
      </c>
    </row>
    <row r="415" spans="1:4">
      <c r="A415" s="22">
        <f t="shared" si="12"/>
        <v>463.52073614299098</v>
      </c>
      <c r="B415">
        <v>4635.2073614299097</v>
      </c>
      <c r="C415">
        <v>72941.725199340741</v>
      </c>
      <c r="D415" s="30">
        <f t="shared" si="13"/>
        <v>729.41725199340738</v>
      </c>
    </row>
    <row r="416" spans="1:4">
      <c r="A416" s="22">
        <f t="shared" si="12"/>
        <v>464.64306238062534</v>
      </c>
      <c r="B416">
        <v>4646.4306238062536</v>
      </c>
      <c r="C416">
        <v>72783.105903520744</v>
      </c>
      <c r="D416" s="30">
        <f t="shared" si="13"/>
        <v>727.83105903520743</v>
      </c>
    </row>
    <row r="417" spans="1:4">
      <c r="A417" s="22">
        <f t="shared" si="12"/>
        <v>465.76538861825975</v>
      </c>
      <c r="B417">
        <v>4657.6538861825975</v>
      </c>
      <c r="C417">
        <v>72624.486607700746</v>
      </c>
      <c r="D417" s="30">
        <f t="shared" si="13"/>
        <v>726.24486607700749</v>
      </c>
    </row>
    <row r="418" spans="1:4">
      <c r="A418" s="22">
        <f t="shared" si="12"/>
        <v>466.88771485589405</v>
      </c>
      <c r="B418">
        <v>4668.8771485589405</v>
      </c>
      <c r="C418">
        <v>72465.867311880749</v>
      </c>
      <c r="D418" s="30">
        <f t="shared" si="13"/>
        <v>724.65867311880754</v>
      </c>
    </row>
    <row r="419" spans="1:4">
      <c r="A419" s="22">
        <f t="shared" si="12"/>
        <v>468.01004109352846</v>
      </c>
      <c r="B419">
        <v>4680.1004109352843</v>
      </c>
      <c r="C419">
        <v>72307.248016060752</v>
      </c>
      <c r="D419" s="30">
        <f t="shared" si="13"/>
        <v>723.07248016060748</v>
      </c>
    </row>
    <row r="420" spans="1:4">
      <c r="A420" s="22">
        <f t="shared" si="12"/>
        <v>469.13236733116281</v>
      </c>
      <c r="B420">
        <v>4691.3236733116282</v>
      </c>
      <c r="C420">
        <v>72148.628720240755</v>
      </c>
      <c r="D420" s="30">
        <f t="shared" si="13"/>
        <v>721.48628720240754</v>
      </c>
    </row>
    <row r="421" spans="1:4">
      <c r="A421" s="22">
        <f t="shared" si="12"/>
        <v>470.25469356879711</v>
      </c>
      <c r="B421">
        <v>4702.5469356879712</v>
      </c>
      <c r="C421">
        <v>71990.009424420758</v>
      </c>
      <c r="D421" s="30">
        <f t="shared" si="13"/>
        <v>719.90009424420759</v>
      </c>
    </row>
    <row r="422" spans="1:4">
      <c r="A422" s="22">
        <f t="shared" si="12"/>
        <v>471.37701980643152</v>
      </c>
      <c r="B422">
        <v>4713.7701980643151</v>
      </c>
      <c r="C422">
        <v>71831.39012860076</v>
      </c>
      <c r="D422" s="30">
        <f t="shared" si="13"/>
        <v>718.31390128600765</v>
      </c>
    </row>
    <row r="423" spans="1:4">
      <c r="A423" s="22">
        <f t="shared" si="12"/>
        <v>472.49934604406587</v>
      </c>
      <c r="B423">
        <v>4724.993460440659</v>
      </c>
      <c r="C423">
        <v>71672.770832780763</v>
      </c>
      <c r="D423" s="30">
        <f t="shared" si="13"/>
        <v>716.72770832780759</v>
      </c>
    </row>
    <row r="424" spans="1:4">
      <c r="A424" s="22">
        <f t="shared" si="12"/>
        <v>473.62167228170028</v>
      </c>
      <c r="B424">
        <v>4736.2167228170028</v>
      </c>
      <c r="C424">
        <v>71514.151536960766</v>
      </c>
      <c r="D424" s="30">
        <f t="shared" si="13"/>
        <v>715.14151536960765</v>
      </c>
    </row>
    <row r="425" spans="1:4">
      <c r="A425" s="22">
        <f t="shared" si="12"/>
        <v>474.74399851933458</v>
      </c>
      <c r="B425">
        <v>4747.4399851933458</v>
      </c>
      <c r="C425">
        <v>71355.532241140769</v>
      </c>
      <c r="D425" s="30">
        <f t="shared" si="13"/>
        <v>713.5553224114077</v>
      </c>
    </row>
    <row r="426" spans="1:4">
      <c r="A426" s="22">
        <f t="shared" si="12"/>
        <v>475.86632475696899</v>
      </c>
      <c r="B426">
        <v>4758.6632475696897</v>
      </c>
      <c r="C426">
        <v>71196.912945320772</v>
      </c>
      <c r="D426" s="30">
        <f t="shared" si="13"/>
        <v>711.96912945320776</v>
      </c>
    </row>
    <row r="427" spans="1:4">
      <c r="A427" s="22">
        <f t="shared" si="12"/>
        <v>476.98865099460335</v>
      </c>
      <c r="B427">
        <v>4769.8865099460336</v>
      </c>
      <c r="C427">
        <v>71038.293649500774</v>
      </c>
      <c r="D427" s="30">
        <f t="shared" si="13"/>
        <v>710.3829364950077</v>
      </c>
    </row>
    <row r="428" spans="1:4">
      <c r="A428" s="22">
        <f t="shared" si="12"/>
        <v>478.11097723223764</v>
      </c>
      <c r="B428">
        <v>4781.1097723223766</v>
      </c>
      <c r="C428">
        <v>70879.674353680777</v>
      </c>
      <c r="D428" s="30">
        <f t="shared" si="13"/>
        <v>708.79674353680775</v>
      </c>
    </row>
    <row r="429" spans="1:4">
      <c r="A429" s="22">
        <f t="shared" si="12"/>
        <v>479.23330346987206</v>
      </c>
      <c r="B429">
        <v>4792.3330346987204</v>
      </c>
      <c r="C429">
        <v>70721.05505786078</v>
      </c>
      <c r="D429" s="30">
        <f t="shared" si="13"/>
        <v>707.21055057860781</v>
      </c>
    </row>
    <row r="430" spans="1:4">
      <c r="A430" s="22">
        <f t="shared" si="12"/>
        <v>480.35562970750641</v>
      </c>
      <c r="B430">
        <v>4803.5562970750643</v>
      </c>
      <c r="C430">
        <v>70562.435762040783</v>
      </c>
      <c r="D430" s="30">
        <f t="shared" si="13"/>
        <v>705.62435762040786</v>
      </c>
    </row>
    <row r="431" spans="1:4">
      <c r="A431" s="22">
        <f t="shared" si="12"/>
        <v>481.47795594514071</v>
      </c>
      <c r="B431">
        <v>4814.7795594514073</v>
      </c>
      <c r="C431">
        <v>70403.816466220786</v>
      </c>
      <c r="D431" s="30">
        <f t="shared" si="13"/>
        <v>704.03816466220781</v>
      </c>
    </row>
    <row r="432" spans="1:4">
      <c r="A432" s="22">
        <f t="shared" si="12"/>
        <v>482.60028218277512</v>
      </c>
      <c r="B432">
        <v>4826.0028218277512</v>
      </c>
      <c r="C432">
        <v>70245.197170400788</v>
      </c>
      <c r="D432" s="30">
        <f t="shared" si="13"/>
        <v>702.45197170400786</v>
      </c>
    </row>
    <row r="433" spans="1:4">
      <c r="A433" s="22">
        <f t="shared" si="12"/>
        <v>483.72260842040953</v>
      </c>
      <c r="B433">
        <v>4837.2260842040951</v>
      </c>
      <c r="C433">
        <v>70086.577874580791</v>
      </c>
      <c r="D433" s="30">
        <f t="shared" si="13"/>
        <v>700.86577874580792</v>
      </c>
    </row>
    <row r="434" spans="1:4">
      <c r="A434" s="22">
        <f t="shared" si="12"/>
        <v>484.84493465804388</v>
      </c>
      <c r="B434">
        <v>4848.4493465804389</v>
      </c>
      <c r="C434">
        <v>69927.958578760794</v>
      </c>
      <c r="D434" s="30">
        <f t="shared" si="13"/>
        <v>699.27958578760797</v>
      </c>
    </row>
    <row r="435" spans="1:4">
      <c r="A435" s="22">
        <f t="shared" si="12"/>
        <v>485.96726089567818</v>
      </c>
      <c r="B435">
        <v>4859.6726089567819</v>
      </c>
      <c r="C435">
        <v>69769.339282940797</v>
      </c>
      <c r="D435" s="30">
        <f t="shared" si="13"/>
        <v>697.69339282940791</v>
      </c>
    </row>
    <row r="436" spans="1:4">
      <c r="A436" s="22">
        <f t="shared" si="12"/>
        <v>487.08958713331259</v>
      </c>
      <c r="B436">
        <v>4870.8958713331258</v>
      </c>
      <c r="C436">
        <v>69610.719987120799</v>
      </c>
      <c r="D436" s="30">
        <f t="shared" si="13"/>
        <v>696.10719987120797</v>
      </c>
    </row>
    <row r="437" spans="1:4">
      <c r="A437" s="22">
        <f t="shared" si="12"/>
        <v>488.21191337094695</v>
      </c>
      <c r="B437">
        <v>4882.1191337094697</v>
      </c>
      <c r="C437">
        <v>69452.100691300802</v>
      </c>
      <c r="D437" s="30">
        <f t="shared" si="13"/>
        <v>694.52100691300802</v>
      </c>
    </row>
    <row r="438" spans="1:4">
      <c r="A438" s="22">
        <f t="shared" si="12"/>
        <v>489.33423960858124</v>
      </c>
      <c r="B438">
        <v>4893.3423960858127</v>
      </c>
      <c r="C438">
        <v>69293.481395480805</v>
      </c>
      <c r="D438" s="30">
        <f t="shared" si="13"/>
        <v>692.93481395480808</v>
      </c>
    </row>
    <row r="439" spans="1:4">
      <c r="A439" s="22">
        <f t="shared" si="12"/>
        <v>490.45656584621565</v>
      </c>
      <c r="B439">
        <v>4904.5656584621565</v>
      </c>
      <c r="C439">
        <v>69134.862099660808</v>
      </c>
      <c r="D439" s="30">
        <f t="shared" si="13"/>
        <v>691.34862099660813</v>
      </c>
    </row>
    <row r="440" spans="1:4">
      <c r="A440" s="22">
        <f t="shared" si="12"/>
        <v>491.57889208385006</v>
      </c>
      <c r="B440">
        <v>4915.7889208385004</v>
      </c>
      <c r="C440">
        <v>68976.242803840811</v>
      </c>
      <c r="D440" s="30">
        <f t="shared" si="13"/>
        <v>689.76242803840807</v>
      </c>
    </row>
    <row r="441" spans="1:4">
      <c r="A441" s="22">
        <f t="shared" si="12"/>
        <v>492.70121832148436</v>
      </c>
      <c r="B441">
        <v>4927.0121832148434</v>
      </c>
      <c r="C441">
        <v>68817.623508020813</v>
      </c>
      <c r="D441" s="30">
        <f t="shared" si="13"/>
        <v>688.17623508020813</v>
      </c>
    </row>
    <row r="442" spans="1:4">
      <c r="A442" s="22">
        <f t="shared" si="12"/>
        <v>493.82354455911872</v>
      </c>
      <c r="B442">
        <v>4938.2354455911873</v>
      </c>
      <c r="C442">
        <v>68659.004212200816</v>
      </c>
      <c r="D442" s="30">
        <f t="shared" si="13"/>
        <v>686.59004212200819</v>
      </c>
    </row>
    <row r="443" spans="1:4">
      <c r="A443" s="22">
        <f t="shared" si="12"/>
        <v>494.94587079675313</v>
      </c>
      <c r="B443">
        <v>4949.4587079675312</v>
      </c>
      <c r="C443">
        <v>68500.384916380819</v>
      </c>
      <c r="D443" s="30">
        <f t="shared" si="13"/>
        <v>685.00384916380824</v>
      </c>
    </row>
    <row r="444" spans="1:4">
      <c r="A444" s="22">
        <f t="shared" si="12"/>
        <v>496.06819703438742</v>
      </c>
      <c r="B444">
        <v>4960.6819703438741</v>
      </c>
      <c r="C444">
        <v>68341.765620560822</v>
      </c>
      <c r="D444" s="30">
        <f t="shared" si="13"/>
        <v>683.41765620560818</v>
      </c>
    </row>
    <row r="445" spans="1:4">
      <c r="A445" s="22">
        <f t="shared" si="12"/>
        <v>497.19052327202178</v>
      </c>
      <c r="B445">
        <v>4971.905232720218</v>
      </c>
      <c r="C445">
        <v>68183.146324740825</v>
      </c>
      <c r="D445" s="30">
        <f t="shared" si="13"/>
        <v>681.83146324740824</v>
      </c>
    </row>
    <row r="446" spans="1:4">
      <c r="A446" s="22">
        <f t="shared" si="12"/>
        <v>498.31284950965619</v>
      </c>
      <c r="B446">
        <v>4983.1284950965619</v>
      </c>
      <c r="C446">
        <v>68024.527028920827</v>
      </c>
      <c r="D446" s="30">
        <f t="shared" si="13"/>
        <v>680.24527028920829</v>
      </c>
    </row>
    <row r="447" spans="1:4">
      <c r="A447" s="22">
        <f t="shared" si="12"/>
        <v>499.4351757472906</v>
      </c>
      <c r="B447">
        <v>4994.3517574729058</v>
      </c>
      <c r="C447">
        <v>67865.90773310083</v>
      </c>
      <c r="D447" s="30">
        <f t="shared" si="13"/>
        <v>678.65907733100835</v>
      </c>
    </row>
    <row r="448" spans="1:4">
      <c r="A448" s="22">
        <f t="shared" si="12"/>
        <v>500.5575019849249</v>
      </c>
      <c r="B448">
        <v>5005.5750198492487</v>
      </c>
      <c r="C448">
        <v>67707.288437280833</v>
      </c>
      <c r="D448" s="30">
        <f t="shared" si="13"/>
        <v>677.07288437280829</v>
      </c>
    </row>
    <row r="449" spans="1:4">
      <c r="A449" s="22">
        <f t="shared" si="12"/>
        <v>501.67982822255925</v>
      </c>
      <c r="B449">
        <v>5016.7982822255926</v>
      </c>
      <c r="C449">
        <v>67548.669141460836</v>
      </c>
      <c r="D449" s="30">
        <f t="shared" si="13"/>
        <v>675.48669141460834</v>
      </c>
    </row>
    <row r="450" spans="1:4">
      <c r="A450" s="22">
        <f t="shared" si="12"/>
        <v>502.80215446019366</v>
      </c>
      <c r="B450">
        <v>5028.0215446019365</v>
      </c>
      <c r="C450">
        <v>67390.049845640839</v>
      </c>
      <c r="D450" s="30">
        <f t="shared" si="13"/>
        <v>673.9004984564084</v>
      </c>
    </row>
    <row r="451" spans="1:4">
      <c r="A451" s="22">
        <f t="shared" ref="A451:A514" si="14">B451/10</f>
        <v>503.92448069782796</v>
      </c>
      <c r="B451">
        <v>5039.2448069782795</v>
      </c>
      <c r="C451">
        <v>67231.430549820841</v>
      </c>
      <c r="D451" s="30">
        <f t="shared" ref="D451:D514" si="15">C451/100</f>
        <v>672.31430549820845</v>
      </c>
    </row>
    <row r="452" spans="1:4">
      <c r="A452" s="22">
        <f t="shared" si="14"/>
        <v>505.04680693546231</v>
      </c>
      <c r="B452">
        <v>5050.4680693546234</v>
      </c>
      <c r="C452">
        <v>67072.811254000844</v>
      </c>
      <c r="D452" s="30">
        <f t="shared" si="15"/>
        <v>670.7281125400084</v>
      </c>
    </row>
    <row r="453" spans="1:4">
      <c r="A453" s="22">
        <f t="shared" si="14"/>
        <v>506.16913317309672</v>
      </c>
      <c r="B453">
        <v>5061.6913317309672</v>
      </c>
      <c r="C453">
        <v>66914.191958180847</v>
      </c>
      <c r="D453" s="30">
        <f t="shared" si="15"/>
        <v>669.14191958180845</v>
      </c>
    </row>
    <row r="454" spans="1:4">
      <c r="A454" s="22">
        <f t="shared" si="14"/>
        <v>507.29145941073102</v>
      </c>
      <c r="B454">
        <v>5072.9145941073102</v>
      </c>
      <c r="C454">
        <v>66755.57266236085</v>
      </c>
      <c r="D454" s="30">
        <f t="shared" si="15"/>
        <v>667.55572662360851</v>
      </c>
    </row>
    <row r="455" spans="1:4">
      <c r="A455" s="22">
        <f t="shared" si="14"/>
        <v>508.41378564836543</v>
      </c>
      <c r="B455">
        <v>5084.1378564836541</v>
      </c>
      <c r="C455">
        <v>66596.953366540853</v>
      </c>
      <c r="D455" s="30">
        <f t="shared" si="15"/>
        <v>665.96953366540856</v>
      </c>
    </row>
    <row r="456" spans="1:4">
      <c r="A456" s="22">
        <f t="shared" si="14"/>
        <v>509.53611188599979</v>
      </c>
      <c r="B456">
        <v>5095.361118859998</v>
      </c>
      <c r="C456">
        <v>66438.334070720855</v>
      </c>
      <c r="D456" s="30">
        <f t="shared" si="15"/>
        <v>664.3833407072085</v>
      </c>
    </row>
    <row r="457" spans="1:4">
      <c r="A457" s="22">
        <f t="shared" si="14"/>
        <v>510.6584381236342</v>
      </c>
      <c r="B457">
        <v>5106.5843812363419</v>
      </c>
      <c r="C457">
        <v>66279.714774900858</v>
      </c>
      <c r="D457" s="30">
        <f t="shared" si="15"/>
        <v>662.79714774900856</v>
      </c>
    </row>
    <row r="458" spans="1:4">
      <c r="A458" s="22">
        <f t="shared" si="14"/>
        <v>511.7807643612685</v>
      </c>
      <c r="B458">
        <v>5117.8076436126848</v>
      </c>
      <c r="C458">
        <v>66121.095479080861</v>
      </c>
      <c r="D458" s="30">
        <f t="shared" si="15"/>
        <v>661.21095479080861</v>
      </c>
    </row>
    <row r="459" spans="1:4">
      <c r="A459" s="22">
        <f t="shared" si="14"/>
        <v>512.90309059890285</v>
      </c>
      <c r="B459">
        <v>5129.0309059890287</v>
      </c>
      <c r="C459">
        <v>65962.476183260864</v>
      </c>
      <c r="D459" s="30">
        <f t="shared" si="15"/>
        <v>659.62476183260867</v>
      </c>
    </row>
    <row r="460" spans="1:4">
      <c r="A460" s="22">
        <f t="shared" si="14"/>
        <v>514.02541683653726</v>
      </c>
      <c r="B460">
        <v>5140.2541683653726</v>
      </c>
      <c r="C460">
        <v>65803.856887440867</v>
      </c>
      <c r="D460" s="30">
        <f t="shared" si="15"/>
        <v>658.03856887440861</v>
      </c>
    </row>
    <row r="461" spans="1:4">
      <c r="A461" s="22">
        <f t="shared" si="14"/>
        <v>515.14774307417156</v>
      </c>
      <c r="B461">
        <v>5151.4774307417156</v>
      </c>
      <c r="C461">
        <v>65645.237591620869</v>
      </c>
      <c r="D461" s="30">
        <f t="shared" si="15"/>
        <v>656.45237591620867</v>
      </c>
    </row>
    <row r="462" spans="1:4">
      <c r="A462" s="22">
        <f t="shared" si="14"/>
        <v>516.27006931180597</v>
      </c>
      <c r="B462">
        <v>5162.7006931180595</v>
      </c>
      <c r="C462">
        <v>65486.618295800872</v>
      </c>
      <c r="D462" s="30">
        <f t="shared" si="15"/>
        <v>654.86618295800872</v>
      </c>
    </row>
    <row r="463" spans="1:4">
      <c r="A463" s="22">
        <f t="shared" si="14"/>
        <v>517.39239554944038</v>
      </c>
      <c r="B463">
        <v>5173.9239554944033</v>
      </c>
      <c r="C463">
        <v>65327.998999980875</v>
      </c>
      <c r="D463" s="30">
        <f t="shared" si="15"/>
        <v>653.27998999980878</v>
      </c>
    </row>
    <row r="464" spans="1:4">
      <c r="A464" s="22">
        <f t="shared" si="14"/>
        <v>518.51472178707468</v>
      </c>
      <c r="B464">
        <v>5185.1472178707463</v>
      </c>
      <c r="C464">
        <v>65169.379704160878</v>
      </c>
      <c r="D464" s="30">
        <f t="shared" si="15"/>
        <v>651.69379704160883</v>
      </c>
    </row>
    <row r="465" spans="1:4">
      <c r="A465" s="22">
        <f t="shared" si="14"/>
        <v>519.63704802470897</v>
      </c>
      <c r="B465">
        <v>5196.3704802470902</v>
      </c>
      <c r="C465">
        <v>65010.760408340881</v>
      </c>
      <c r="D465" s="30">
        <f t="shared" si="15"/>
        <v>650.10760408340877</v>
      </c>
    </row>
    <row r="466" spans="1:4">
      <c r="A466" s="22">
        <f t="shared" si="14"/>
        <v>520.75937426234339</v>
      </c>
      <c r="B466">
        <v>5207.5937426234341</v>
      </c>
      <c r="C466">
        <v>64852.141112520883</v>
      </c>
      <c r="D466" s="30">
        <f t="shared" si="15"/>
        <v>648.52141112520883</v>
      </c>
    </row>
    <row r="467" spans="1:4">
      <c r="A467" s="22">
        <f t="shared" si="14"/>
        <v>521.8817004999778</v>
      </c>
      <c r="B467">
        <v>5218.817004999778</v>
      </c>
      <c r="C467">
        <v>64693.521816700886</v>
      </c>
      <c r="D467" s="30">
        <f t="shared" si="15"/>
        <v>646.93521816700888</v>
      </c>
    </row>
    <row r="468" spans="1:4">
      <c r="A468" s="22">
        <f t="shared" si="14"/>
        <v>523.00402673761209</v>
      </c>
      <c r="B468">
        <v>5230.0402673761209</v>
      </c>
      <c r="C468">
        <v>64534.902520880889</v>
      </c>
      <c r="D468" s="30">
        <f t="shared" si="15"/>
        <v>645.34902520880894</v>
      </c>
    </row>
    <row r="469" spans="1:4">
      <c r="A469" s="22">
        <f t="shared" si="14"/>
        <v>524.1263529752465</v>
      </c>
      <c r="B469">
        <v>5241.2635297524648</v>
      </c>
      <c r="C469">
        <v>64376.283225060892</v>
      </c>
      <c r="D469" s="30">
        <f t="shared" si="15"/>
        <v>643.76283225060888</v>
      </c>
    </row>
    <row r="470" spans="1:4">
      <c r="A470" s="22">
        <f t="shared" si="14"/>
        <v>525.24867921288092</v>
      </c>
      <c r="B470">
        <v>5252.4867921288087</v>
      </c>
      <c r="C470">
        <v>64217.663929240895</v>
      </c>
      <c r="D470" s="30">
        <f t="shared" si="15"/>
        <v>642.17663929240894</v>
      </c>
    </row>
    <row r="471" spans="1:4">
      <c r="A471" s="22">
        <f t="shared" si="14"/>
        <v>526.37100545051521</v>
      </c>
      <c r="B471">
        <v>5263.7100545051517</v>
      </c>
      <c r="C471">
        <v>64059.044633420897</v>
      </c>
      <c r="D471" s="30">
        <f t="shared" si="15"/>
        <v>640.59044633420899</v>
      </c>
    </row>
    <row r="472" spans="1:4">
      <c r="A472" s="22">
        <f t="shared" si="14"/>
        <v>527.49333168814951</v>
      </c>
      <c r="B472">
        <v>5274.9333168814956</v>
      </c>
      <c r="C472">
        <v>63900.4253376009</v>
      </c>
      <c r="D472" s="30">
        <f t="shared" si="15"/>
        <v>639.00425337600905</v>
      </c>
    </row>
    <row r="473" spans="1:4">
      <c r="A473" s="22">
        <f t="shared" si="14"/>
        <v>528.61565792578392</v>
      </c>
      <c r="B473">
        <v>5286.1565792578394</v>
      </c>
      <c r="C473">
        <v>63741.806041780903</v>
      </c>
      <c r="D473" s="30">
        <f t="shared" si="15"/>
        <v>637.41806041780899</v>
      </c>
    </row>
    <row r="474" spans="1:4">
      <c r="A474" s="22">
        <f t="shared" si="14"/>
        <v>529.73798416341822</v>
      </c>
      <c r="B474">
        <v>5297.3798416341824</v>
      </c>
      <c r="C474">
        <v>63583.186745960906</v>
      </c>
      <c r="D474" s="30">
        <f t="shared" si="15"/>
        <v>635.83186745960904</v>
      </c>
    </row>
    <row r="475" spans="1:4">
      <c r="A475" s="22">
        <f t="shared" si="14"/>
        <v>530.86031040105263</v>
      </c>
      <c r="B475">
        <v>5308.6031040105263</v>
      </c>
      <c r="C475">
        <v>63424.567450140908</v>
      </c>
      <c r="D475" s="30">
        <f t="shared" si="15"/>
        <v>634.2456745014091</v>
      </c>
    </row>
    <row r="476" spans="1:4">
      <c r="A476" s="22">
        <f t="shared" si="14"/>
        <v>531.98263663868704</v>
      </c>
      <c r="B476">
        <v>5319.8263663868702</v>
      </c>
      <c r="C476">
        <v>63265.948154320911</v>
      </c>
      <c r="D476" s="30">
        <f t="shared" si="15"/>
        <v>632.65948154320915</v>
      </c>
    </row>
    <row r="477" spans="1:4">
      <c r="A477" s="22">
        <f t="shared" si="14"/>
        <v>533.10496287632145</v>
      </c>
      <c r="B477">
        <v>5331.0496287632141</v>
      </c>
      <c r="C477">
        <v>63107.328858500914</v>
      </c>
      <c r="D477" s="30">
        <f t="shared" si="15"/>
        <v>631.0732885850091</v>
      </c>
    </row>
    <row r="478" spans="1:4">
      <c r="A478" s="22">
        <f t="shared" si="14"/>
        <v>534.22728911395575</v>
      </c>
      <c r="B478">
        <v>5342.272891139557</v>
      </c>
      <c r="C478">
        <v>62948.709562680917</v>
      </c>
      <c r="D478" s="30">
        <f t="shared" si="15"/>
        <v>629.48709562680915</v>
      </c>
    </row>
    <row r="479" spans="1:4">
      <c r="A479" s="22">
        <f t="shared" si="14"/>
        <v>535.34961535159005</v>
      </c>
      <c r="B479">
        <v>5353.4961535159009</v>
      </c>
      <c r="C479">
        <v>62790.09026686092</v>
      </c>
      <c r="D479" s="30">
        <f t="shared" si="15"/>
        <v>627.90090266860921</v>
      </c>
    </row>
    <row r="480" spans="1:4">
      <c r="A480" s="22">
        <f t="shared" si="14"/>
        <v>536.47194158922446</v>
      </c>
      <c r="B480">
        <v>5364.7194158922448</v>
      </c>
      <c r="C480">
        <v>62631.470971040922</v>
      </c>
      <c r="D480" s="30">
        <f t="shared" si="15"/>
        <v>626.31470971040926</v>
      </c>
    </row>
    <row r="481" spans="1:4">
      <c r="A481" s="22">
        <f t="shared" si="14"/>
        <v>537.59426782685875</v>
      </c>
      <c r="B481">
        <v>5375.9426782685878</v>
      </c>
      <c r="C481">
        <v>62472.851675220925</v>
      </c>
      <c r="D481" s="30">
        <f t="shared" si="15"/>
        <v>624.7285167522092</v>
      </c>
    </row>
    <row r="482" spans="1:4">
      <c r="A482" s="22">
        <f t="shared" si="14"/>
        <v>538.71659406449317</v>
      </c>
      <c r="B482">
        <v>5387.1659406449317</v>
      </c>
      <c r="C482">
        <v>62314.232379400928</v>
      </c>
      <c r="D482" s="30">
        <f t="shared" si="15"/>
        <v>623.14232379400926</v>
      </c>
    </row>
    <row r="483" spans="1:4">
      <c r="A483" s="22">
        <f t="shared" si="14"/>
        <v>539.83892030212758</v>
      </c>
      <c r="B483">
        <v>5398.3892030212755</v>
      </c>
      <c r="C483">
        <v>62155.613083580931</v>
      </c>
      <c r="D483" s="30">
        <f t="shared" si="15"/>
        <v>621.55613083580931</v>
      </c>
    </row>
    <row r="484" spans="1:4">
      <c r="A484" s="22">
        <f t="shared" si="14"/>
        <v>540.96124653976187</v>
      </c>
      <c r="B484">
        <v>5409.6124653976185</v>
      </c>
      <c r="C484">
        <v>61996.993787760934</v>
      </c>
      <c r="D484" s="30">
        <f t="shared" si="15"/>
        <v>619.96993787760937</v>
      </c>
    </row>
    <row r="485" spans="1:4">
      <c r="A485" s="22">
        <f t="shared" si="14"/>
        <v>542.08357277739628</v>
      </c>
      <c r="B485">
        <v>5420.8357277739624</v>
      </c>
      <c r="C485">
        <v>61838.374491940936</v>
      </c>
      <c r="D485" s="30">
        <f t="shared" si="15"/>
        <v>618.38374491940931</v>
      </c>
    </row>
    <row r="486" spans="1:4">
      <c r="A486" s="22">
        <f t="shared" si="14"/>
        <v>543.20589901503058</v>
      </c>
      <c r="B486">
        <v>5432.0589901503063</v>
      </c>
      <c r="C486">
        <v>61679.755196120939</v>
      </c>
      <c r="D486" s="30">
        <f t="shared" si="15"/>
        <v>616.79755196120936</v>
      </c>
    </row>
    <row r="487" spans="1:4">
      <c r="A487" s="22">
        <f t="shared" si="14"/>
        <v>544.32822525266488</v>
      </c>
      <c r="B487">
        <v>5443.2822525266492</v>
      </c>
      <c r="C487">
        <v>61521.135900300942</v>
      </c>
      <c r="D487" s="30">
        <f t="shared" si="15"/>
        <v>615.21135900300942</v>
      </c>
    </row>
    <row r="488" spans="1:4">
      <c r="A488" s="22">
        <f t="shared" si="14"/>
        <v>545.45055149029929</v>
      </c>
      <c r="B488">
        <v>5454.5055149029931</v>
      </c>
      <c r="C488">
        <v>61362.516604480945</v>
      </c>
      <c r="D488" s="30">
        <f t="shared" si="15"/>
        <v>613.62516604480948</v>
      </c>
    </row>
    <row r="489" spans="1:4">
      <c r="A489" s="22">
        <f t="shared" si="14"/>
        <v>546.5728777279337</v>
      </c>
      <c r="B489">
        <v>5465.728777279337</v>
      </c>
      <c r="C489">
        <v>61203.897308660948</v>
      </c>
      <c r="D489" s="30">
        <f t="shared" si="15"/>
        <v>612.03897308660953</v>
      </c>
    </row>
    <row r="490" spans="1:4">
      <c r="A490" s="22">
        <f t="shared" si="14"/>
        <v>547.69520396556811</v>
      </c>
      <c r="B490">
        <v>5476.9520396556809</v>
      </c>
      <c r="C490">
        <v>61045.27801284095</v>
      </c>
      <c r="D490" s="30">
        <f t="shared" si="15"/>
        <v>610.45278012840947</v>
      </c>
    </row>
    <row r="491" spans="1:4">
      <c r="A491" s="22">
        <f t="shared" si="14"/>
        <v>548.81753020320241</v>
      </c>
      <c r="B491">
        <v>5488.1753020320239</v>
      </c>
      <c r="C491">
        <v>60886.658717020953</v>
      </c>
      <c r="D491" s="30">
        <f t="shared" si="15"/>
        <v>608.86658717020953</v>
      </c>
    </row>
    <row r="492" spans="1:4">
      <c r="A492" s="22">
        <f t="shared" si="14"/>
        <v>549.93985644083682</v>
      </c>
      <c r="B492">
        <v>5499.3985644083677</v>
      </c>
      <c r="C492">
        <v>60728.039421200956</v>
      </c>
      <c r="D492" s="30">
        <f t="shared" si="15"/>
        <v>607.28039421200958</v>
      </c>
    </row>
    <row r="493" spans="1:4">
      <c r="A493" s="22">
        <f t="shared" si="14"/>
        <v>551.06218267847112</v>
      </c>
      <c r="B493">
        <v>5510.6218267847116</v>
      </c>
      <c r="C493">
        <v>60569.420125380959</v>
      </c>
      <c r="D493" s="30">
        <f t="shared" si="15"/>
        <v>605.69420125380964</v>
      </c>
    </row>
    <row r="494" spans="1:4">
      <c r="A494" s="22">
        <f t="shared" si="14"/>
        <v>552.18450891610541</v>
      </c>
      <c r="B494">
        <v>5521.8450891610546</v>
      </c>
      <c r="C494">
        <v>60410.800829560962</v>
      </c>
      <c r="D494" s="30">
        <f t="shared" si="15"/>
        <v>604.10800829560958</v>
      </c>
    </row>
    <row r="495" spans="1:4">
      <c r="A495" s="22">
        <f t="shared" si="14"/>
        <v>553.30683515373983</v>
      </c>
      <c r="B495">
        <v>5533.0683515373985</v>
      </c>
      <c r="C495">
        <v>60252.181533740964</v>
      </c>
      <c r="D495" s="30">
        <f t="shared" si="15"/>
        <v>602.52181533740963</v>
      </c>
    </row>
    <row r="496" spans="1:4">
      <c r="A496" s="22">
        <f t="shared" si="14"/>
        <v>554.42916139137424</v>
      </c>
      <c r="B496">
        <v>5544.2916139137424</v>
      </c>
      <c r="C496">
        <v>60093.562237920967</v>
      </c>
      <c r="D496" s="30">
        <f t="shared" si="15"/>
        <v>600.93562237920969</v>
      </c>
    </row>
    <row r="497" spans="1:4">
      <c r="A497" s="22">
        <f t="shared" si="14"/>
        <v>555.55148762900853</v>
      </c>
      <c r="B497">
        <v>5555.5148762900853</v>
      </c>
      <c r="C497">
        <v>59934.94294210097</v>
      </c>
      <c r="D497" s="30">
        <f t="shared" si="15"/>
        <v>599.34942942100975</v>
      </c>
    </row>
    <row r="498" spans="1:4">
      <c r="A498" s="22">
        <f t="shared" si="14"/>
        <v>556.67381386664294</v>
      </c>
      <c r="B498">
        <v>5566.7381386664292</v>
      </c>
      <c r="C498">
        <v>59776.323646280973</v>
      </c>
      <c r="D498" s="30">
        <f t="shared" si="15"/>
        <v>597.76323646280969</v>
      </c>
    </row>
    <row r="499" spans="1:4">
      <c r="A499" s="22">
        <f t="shared" si="14"/>
        <v>557.79614010427736</v>
      </c>
      <c r="B499">
        <v>5577.9614010427731</v>
      </c>
      <c r="C499">
        <v>59617.704350460976</v>
      </c>
      <c r="D499" s="30">
        <f t="shared" si="15"/>
        <v>596.17704350460974</v>
      </c>
    </row>
    <row r="500" spans="1:4">
      <c r="A500" s="22">
        <f t="shared" si="14"/>
        <v>558.91846634191165</v>
      </c>
      <c r="B500">
        <v>5589.184663419117</v>
      </c>
      <c r="C500">
        <v>59459.085054640978</v>
      </c>
      <c r="D500" s="30">
        <f t="shared" si="15"/>
        <v>594.5908505464098</v>
      </c>
    </row>
    <row r="501" spans="1:4">
      <c r="A501" s="22">
        <f t="shared" si="14"/>
        <v>560.04079257954595</v>
      </c>
      <c r="B501">
        <v>5600.40792579546</v>
      </c>
      <c r="C501">
        <v>59300.465758820981</v>
      </c>
      <c r="D501" s="30">
        <f t="shared" si="15"/>
        <v>593.00465758820985</v>
      </c>
    </row>
    <row r="502" spans="1:4">
      <c r="A502" s="22">
        <f t="shared" si="14"/>
        <v>561.16311881718036</v>
      </c>
      <c r="B502">
        <v>5611.6311881718038</v>
      </c>
      <c r="C502">
        <v>59141.846463000984</v>
      </c>
      <c r="D502" s="30">
        <f t="shared" si="15"/>
        <v>591.41846463000979</v>
      </c>
    </row>
    <row r="503" spans="1:4">
      <c r="A503" s="22">
        <f t="shared" si="14"/>
        <v>562.28544505481477</v>
      </c>
      <c r="B503">
        <v>5622.8544505481477</v>
      </c>
      <c r="C503">
        <v>58983.227167180987</v>
      </c>
      <c r="D503" s="30">
        <f t="shared" si="15"/>
        <v>589.83227167180985</v>
      </c>
    </row>
    <row r="504" spans="1:4">
      <c r="A504" s="22">
        <f t="shared" si="14"/>
        <v>563.40777129244907</v>
      </c>
      <c r="B504">
        <v>5634.0777129244907</v>
      </c>
      <c r="C504">
        <v>58824.60787136099</v>
      </c>
      <c r="D504" s="30">
        <f t="shared" si="15"/>
        <v>588.2460787136099</v>
      </c>
    </row>
    <row r="505" spans="1:4">
      <c r="A505" s="22">
        <f t="shared" si="14"/>
        <v>564.53009753008348</v>
      </c>
      <c r="B505">
        <v>5645.3009753008346</v>
      </c>
      <c r="C505">
        <v>58665.988575540992</v>
      </c>
      <c r="D505" s="30">
        <f t="shared" si="15"/>
        <v>586.65988575540996</v>
      </c>
    </row>
    <row r="506" spans="1:4">
      <c r="A506" s="22">
        <f t="shared" si="14"/>
        <v>565.65242376771789</v>
      </c>
      <c r="B506">
        <v>5656.5242376771785</v>
      </c>
      <c r="C506">
        <v>58507.369279720995</v>
      </c>
      <c r="D506" s="30">
        <f t="shared" si="15"/>
        <v>585.0736927972099</v>
      </c>
    </row>
    <row r="507" spans="1:4">
      <c r="A507" s="22">
        <f t="shared" si="14"/>
        <v>566.77475000535219</v>
      </c>
      <c r="B507">
        <v>5667.7475000535214</v>
      </c>
      <c r="C507">
        <v>58348.749983900998</v>
      </c>
      <c r="D507" s="30">
        <f t="shared" si="15"/>
        <v>583.48749983900996</v>
      </c>
    </row>
    <row r="508" spans="1:4">
      <c r="A508" s="22">
        <f t="shared" si="14"/>
        <v>567.89707624298649</v>
      </c>
      <c r="B508">
        <v>5678.9707624298653</v>
      </c>
      <c r="C508">
        <v>58190.130688081001</v>
      </c>
      <c r="D508" s="30">
        <f t="shared" si="15"/>
        <v>581.90130688081001</v>
      </c>
    </row>
    <row r="509" spans="1:4">
      <c r="A509" s="22">
        <f t="shared" si="14"/>
        <v>569.0194024806209</v>
      </c>
      <c r="B509">
        <v>5690.1940248062092</v>
      </c>
      <c r="C509">
        <v>58031.511392261003</v>
      </c>
      <c r="D509" s="30">
        <f t="shared" si="15"/>
        <v>580.31511392261007</v>
      </c>
    </row>
    <row r="510" spans="1:4">
      <c r="A510" s="22">
        <f t="shared" si="14"/>
        <v>570.14172871825531</v>
      </c>
      <c r="B510">
        <v>5701.4172871825531</v>
      </c>
      <c r="C510">
        <v>57872.892096441006</v>
      </c>
      <c r="D510" s="30">
        <f t="shared" si="15"/>
        <v>578.72892096441001</v>
      </c>
    </row>
    <row r="511" spans="1:4">
      <c r="A511" s="22">
        <f t="shared" si="14"/>
        <v>571.26405495588961</v>
      </c>
      <c r="B511">
        <v>5712.6405495588961</v>
      </c>
      <c r="C511">
        <v>57714.272800621009</v>
      </c>
      <c r="D511" s="30">
        <f t="shared" si="15"/>
        <v>577.14272800621006</v>
      </c>
    </row>
    <row r="512" spans="1:4">
      <c r="A512" s="22">
        <f t="shared" si="14"/>
        <v>572.38638119352402</v>
      </c>
      <c r="B512">
        <v>5723.8638119352399</v>
      </c>
      <c r="C512">
        <v>57555.653504801012</v>
      </c>
      <c r="D512" s="30">
        <f t="shared" si="15"/>
        <v>575.55653504801012</v>
      </c>
    </row>
    <row r="513" spans="1:4">
      <c r="A513" s="22">
        <f t="shared" si="14"/>
        <v>573.50870743115843</v>
      </c>
      <c r="B513">
        <v>5735.0870743115838</v>
      </c>
      <c r="C513">
        <v>57397.034208981015</v>
      </c>
      <c r="D513" s="30">
        <f t="shared" si="15"/>
        <v>573.97034208981017</v>
      </c>
    </row>
    <row r="514" spans="1:4">
      <c r="A514" s="22">
        <f t="shared" si="14"/>
        <v>574.63103366879272</v>
      </c>
      <c r="B514">
        <v>5746.3103366879268</v>
      </c>
      <c r="C514">
        <v>57238.414913161017</v>
      </c>
      <c r="D514" s="30">
        <f t="shared" si="15"/>
        <v>572.38414913161023</v>
      </c>
    </row>
    <row r="515" spans="1:4">
      <c r="A515" s="22">
        <f t="shared" ref="A515:A578" si="16">B515/10</f>
        <v>575.75335990642702</v>
      </c>
      <c r="B515">
        <v>5757.5335990642707</v>
      </c>
      <c r="C515">
        <v>57079.79561734102</v>
      </c>
      <c r="D515" s="30">
        <f t="shared" ref="D515:D578" si="17">C515/100</f>
        <v>570.79795617341017</v>
      </c>
    </row>
    <row r="516" spans="1:4">
      <c r="A516" s="22">
        <f t="shared" si="16"/>
        <v>576.87568614406143</v>
      </c>
      <c r="B516">
        <v>5768.7568614406146</v>
      </c>
      <c r="C516">
        <v>56921.176321521023</v>
      </c>
      <c r="D516" s="30">
        <f t="shared" si="17"/>
        <v>569.21176321521023</v>
      </c>
    </row>
    <row r="517" spans="1:4">
      <c r="A517" s="22">
        <f t="shared" si="16"/>
        <v>577.99801238169573</v>
      </c>
      <c r="B517">
        <v>5779.9801238169575</v>
      </c>
      <c r="C517">
        <v>56762.557025701026</v>
      </c>
      <c r="D517" s="30">
        <f t="shared" si="17"/>
        <v>567.62557025701028</v>
      </c>
    </row>
    <row r="518" spans="1:4">
      <c r="A518" s="22">
        <f t="shared" si="16"/>
        <v>579.12033861933014</v>
      </c>
      <c r="B518">
        <v>5791.2033861933014</v>
      </c>
      <c r="C518">
        <v>56603.937729881029</v>
      </c>
      <c r="D518" s="30">
        <f t="shared" si="17"/>
        <v>566.03937729881034</v>
      </c>
    </row>
    <row r="519" spans="1:4">
      <c r="A519" s="22">
        <f t="shared" si="16"/>
        <v>580.24266485696455</v>
      </c>
      <c r="B519">
        <v>5802.4266485696453</v>
      </c>
      <c r="C519">
        <v>56445.318434061031</v>
      </c>
      <c r="D519" s="30">
        <f t="shared" si="17"/>
        <v>564.45318434061028</v>
      </c>
    </row>
    <row r="520" spans="1:4">
      <c r="A520" s="22">
        <f t="shared" si="16"/>
        <v>581.36499109459896</v>
      </c>
      <c r="B520">
        <v>5813.6499109459892</v>
      </c>
      <c r="C520">
        <v>56286.699138241034</v>
      </c>
      <c r="D520" s="30">
        <f t="shared" si="17"/>
        <v>562.86699138241033</v>
      </c>
    </row>
    <row r="521" spans="1:4">
      <c r="A521" s="22">
        <f t="shared" si="16"/>
        <v>582.48731733223326</v>
      </c>
      <c r="B521">
        <v>5824.8731733223321</v>
      </c>
      <c r="C521">
        <v>56128.079842421037</v>
      </c>
      <c r="D521" s="30">
        <f t="shared" si="17"/>
        <v>561.28079842421039</v>
      </c>
    </row>
    <row r="522" spans="1:4">
      <c r="A522" s="22">
        <f t="shared" si="16"/>
        <v>583.60964356986756</v>
      </c>
      <c r="B522">
        <v>5836.096435698676</v>
      </c>
      <c r="C522">
        <v>55969.46054660104</v>
      </c>
      <c r="D522" s="30">
        <f t="shared" si="17"/>
        <v>559.69460546601044</v>
      </c>
    </row>
    <row r="523" spans="1:4">
      <c r="A523" s="22">
        <f t="shared" si="16"/>
        <v>584.73196980750197</v>
      </c>
      <c r="B523">
        <v>5847.3196980750199</v>
      </c>
      <c r="C523">
        <v>55810.841250781043</v>
      </c>
      <c r="D523" s="30">
        <f t="shared" si="17"/>
        <v>558.10841250781039</v>
      </c>
    </row>
    <row r="524" spans="1:4">
      <c r="A524" s="22">
        <f t="shared" si="16"/>
        <v>585.85429604513627</v>
      </c>
      <c r="B524">
        <v>5858.5429604513629</v>
      </c>
      <c r="C524">
        <v>55652.221954961045</v>
      </c>
      <c r="D524" s="30">
        <f t="shared" si="17"/>
        <v>556.52221954961044</v>
      </c>
    </row>
    <row r="525" spans="1:4">
      <c r="A525" s="22">
        <f t="shared" si="16"/>
        <v>586.97662228277068</v>
      </c>
      <c r="B525">
        <v>5869.7662228277068</v>
      </c>
      <c r="C525">
        <v>55493.602659141048</v>
      </c>
      <c r="D525" s="30">
        <f t="shared" si="17"/>
        <v>554.9360265914105</v>
      </c>
    </row>
    <row r="526" spans="1:4">
      <c r="A526" s="22">
        <f t="shared" si="16"/>
        <v>588.09894852040509</v>
      </c>
      <c r="B526">
        <v>5880.9894852040507</v>
      </c>
      <c r="C526">
        <v>55334.983363321051</v>
      </c>
      <c r="D526" s="30">
        <f t="shared" si="17"/>
        <v>553.34983363321055</v>
      </c>
    </row>
    <row r="527" spans="1:4">
      <c r="A527" s="22">
        <f t="shared" si="16"/>
        <v>589.22127475803939</v>
      </c>
      <c r="B527">
        <v>5892.2127475803936</v>
      </c>
      <c r="C527">
        <v>55176.364067501054</v>
      </c>
      <c r="D527" s="30">
        <f t="shared" si="17"/>
        <v>551.76364067501049</v>
      </c>
    </row>
    <row r="528" spans="1:4">
      <c r="A528" s="22">
        <f t="shared" si="16"/>
        <v>590.3436009956738</v>
      </c>
      <c r="B528">
        <v>5903.4360099567375</v>
      </c>
      <c r="C528">
        <v>55017.744771681057</v>
      </c>
      <c r="D528" s="30">
        <f t="shared" si="17"/>
        <v>550.17744771681055</v>
      </c>
    </row>
    <row r="529" spans="1:4">
      <c r="A529" s="22">
        <f t="shared" si="16"/>
        <v>591.46592723330809</v>
      </c>
      <c r="B529">
        <v>5914.6592723330814</v>
      </c>
      <c r="C529">
        <v>54859.125475861059</v>
      </c>
      <c r="D529" s="30">
        <f t="shared" si="17"/>
        <v>548.5912547586106</v>
      </c>
    </row>
    <row r="530" spans="1:4">
      <c r="A530" s="22">
        <f t="shared" si="16"/>
        <v>592.5882534709425</v>
      </c>
      <c r="B530">
        <v>5925.8825347094253</v>
      </c>
      <c r="C530">
        <v>54700.506180041062</v>
      </c>
      <c r="D530" s="30">
        <f t="shared" si="17"/>
        <v>547.00506180041066</v>
      </c>
    </row>
    <row r="531" spans="1:4">
      <c r="A531" s="22">
        <f t="shared" si="16"/>
        <v>593.7105797085768</v>
      </c>
      <c r="B531">
        <v>5937.1057970857682</v>
      </c>
      <c r="C531">
        <v>54541.886884221065</v>
      </c>
      <c r="D531" s="30">
        <f t="shared" si="17"/>
        <v>545.4188688422106</v>
      </c>
    </row>
    <row r="532" spans="1:4">
      <c r="A532" s="22">
        <f t="shared" si="16"/>
        <v>594.83290594621121</v>
      </c>
      <c r="B532">
        <v>5948.3290594621121</v>
      </c>
      <c r="C532">
        <v>54383.267588401068</v>
      </c>
      <c r="D532" s="30">
        <f t="shared" si="17"/>
        <v>543.83267588401065</v>
      </c>
    </row>
    <row r="533" spans="1:4">
      <c r="A533" s="22">
        <f t="shared" si="16"/>
        <v>595.95523218384562</v>
      </c>
      <c r="B533">
        <v>5959.552321838456</v>
      </c>
      <c r="C533">
        <v>54224.648292581071</v>
      </c>
      <c r="D533" s="30">
        <f t="shared" si="17"/>
        <v>542.24648292581071</v>
      </c>
    </row>
    <row r="534" spans="1:4">
      <c r="A534" s="22">
        <f t="shared" si="16"/>
        <v>597.07755842147992</v>
      </c>
      <c r="B534">
        <v>5970.775584214799</v>
      </c>
      <c r="C534">
        <v>54066.028996761073</v>
      </c>
      <c r="D534" s="30">
        <f t="shared" si="17"/>
        <v>540.66028996761077</v>
      </c>
    </row>
    <row r="535" spans="1:4">
      <c r="A535" s="22">
        <f t="shared" si="16"/>
        <v>598.19988465911433</v>
      </c>
      <c r="B535">
        <v>5981.9988465911429</v>
      </c>
      <c r="C535">
        <v>53907.409700941076</v>
      </c>
      <c r="D535" s="30">
        <f t="shared" si="17"/>
        <v>539.07409700941071</v>
      </c>
    </row>
    <row r="536" spans="1:4">
      <c r="A536" s="22">
        <f t="shared" si="16"/>
        <v>599.32221089674863</v>
      </c>
      <c r="B536">
        <v>5993.2221089674867</v>
      </c>
      <c r="C536">
        <v>53748.790405121079</v>
      </c>
      <c r="D536" s="30">
        <f t="shared" si="17"/>
        <v>537.48790405121076</v>
      </c>
    </row>
    <row r="537" spans="1:4">
      <c r="A537" s="22">
        <f t="shared" si="16"/>
        <v>600.44453713438293</v>
      </c>
      <c r="B537">
        <v>6004.4453713438297</v>
      </c>
      <c r="C537">
        <v>53590.171109301082</v>
      </c>
      <c r="D537" s="30">
        <f t="shared" si="17"/>
        <v>535.90171109301082</v>
      </c>
    </row>
    <row r="538" spans="1:4">
      <c r="A538" s="22">
        <f t="shared" si="16"/>
        <v>601.56686337201734</v>
      </c>
      <c r="B538">
        <v>6015.6686337201736</v>
      </c>
      <c r="C538">
        <v>53431.551813481085</v>
      </c>
      <c r="D538" s="30">
        <f t="shared" si="17"/>
        <v>534.31551813481087</v>
      </c>
    </row>
    <row r="539" spans="1:4">
      <c r="A539" s="22">
        <f t="shared" si="16"/>
        <v>602.68918960965175</v>
      </c>
      <c r="B539">
        <v>6026.8918960965175</v>
      </c>
      <c r="C539">
        <v>53272.932517661087</v>
      </c>
      <c r="D539" s="30">
        <f t="shared" si="17"/>
        <v>532.72932517661093</v>
      </c>
    </row>
    <row r="540" spans="1:4">
      <c r="A540" s="22">
        <f t="shared" si="16"/>
        <v>603.81151584728605</v>
      </c>
      <c r="B540">
        <v>6038.1151584728605</v>
      </c>
      <c r="C540">
        <v>53114.31322184109</v>
      </c>
      <c r="D540" s="30">
        <f t="shared" si="17"/>
        <v>531.14313221841087</v>
      </c>
    </row>
    <row r="541" spans="1:4">
      <c r="A541" s="22">
        <f t="shared" si="16"/>
        <v>604.93384208492046</v>
      </c>
      <c r="B541">
        <v>6049.3384208492043</v>
      </c>
      <c r="C541">
        <v>52955.693926021093</v>
      </c>
      <c r="D541" s="30">
        <f t="shared" si="17"/>
        <v>529.55693926021092</v>
      </c>
    </row>
    <row r="542" spans="1:4">
      <c r="A542" s="22">
        <f t="shared" si="16"/>
        <v>606.05616832255487</v>
      </c>
      <c r="B542">
        <v>6060.5616832255482</v>
      </c>
      <c r="C542">
        <v>52797.074630201096</v>
      </c>
      <c r="D542" s="30">
        <f t="shared" si="17"/>
        <v>527.97074630201098</v>
      </c>
    </row>
    <row r="543" spans="1:4">
      <c r="A543" s="22">
        <f t="shared" si="16"/>
        <v>607.17849456018916</v>
      </c>
      <c r="B543">
        <v>6071.7849456018921</v>
      </c>
      <c r="C543">
        <v>52638.455334381099</v>
      </c>
      <c r="D543" s="30">
        <f t="shared" si="17"/>
        <v>526.38455334381104</v>
      </c>
    </row>
    <row r="544" spans="1:4">
      <c r="A544" s="22">
        <f t="shared" si="16"/>
        <v>608.30082079782346</v>
      </c>
      <c r="B544">
        <v>6083.0082079782351</v>
      </c>
      <c r="C544">
        <v>52479.836038561101</v>
      </c>
      <c r="D544" s="30">
        <f t="shared" si="17"/>
        <v>524.79836038561098</v>
      </c>
    </row>
    <row r="545" spans="1:4">
      <c r="A545" s="22">
        <f t="shared" si="16"/>
        <v>609.42314703545787</v>
      </c>
      <c r="B545">
        <v>6094.231470354579</v>
      </c>
      <c r="C545">
        <v>52321.216742741104</v>
      </c>
      <c r="D545" s="30">
        <f t="shared" si="17"/>
        <v>523.21216742741103</v>
      </c>
    </row>
    <row r="546" spans="1:4">
      <c r="A546" s="22">
        <f t="shared" si="16"/>
        <v>610.54547327309228</v>
      </c>
      <c r="B546">
        <v>6105.4547327309228</v>
      </c>
      <c r="C546">
        <v>52162.597446921107</v>
      </c>
      <c r="D546" s="30">
        <f t="shared" si="17"/>
        <v>521.62597446921109</v>
      </c>
    </row>
    <row r="547" spans="1:4">
      <c r="A547" s="22">
        <f t="shared" si="16"/>
        <v>611.66779951072658</v>
      </c>
      <c r="B547">
        <v>6116.6779951072658</v>
      </c>
      <c r="C547">
        <v>52003.97815110111</v>
      </c>
      <c r="D547" s="30">
        <f t="shared" si="17"/>
        <v>520.03978151101114</v>
      </c>
    </row>
    <row r="548" spans="1:4">
      <c r="A548" s="22">
        <f t="shared" si="16"/>
        <v>612.79012574836099</v>
      </c>
      <c r="B548">
        <v>6127.9012574836097</v>
      </c>
      <c r="C548">
        <v>51845.358855281112</v>
      </c>
      <c r="D548" s="30">
        <f t="shared" si="17"/>
        <v>518.45358855281108</v>
      </c>
    </row>
    <row r="549" spans="1:4">
      <c r="A549" s="22">
        <f t="shared" si="16"/>
        <v>613.9124519859954</v>
      </c>
      <c r="B549">
        <v>6139.1245198599536</v>
      </c>
      <c r="C549">
        <v>51686.739559461115</v>
      </c>
      <c r="D549" s="30">
        <f t="shared" si="17"/>
        <v>516.86739559461114</v>
      </c>
    </row>
    <row r="550" spans="1:4">
      <c r="A550" s="22">
        <f t="shared" si="16"/>
        <v>615.0347782236297</v>
      </c>
      <c r="B550">
        <v>6150.3477822362966</v>
      </c>
      <c r="C550">
        <v>51528.120263641118</v>
      </c>
      <c r="D550" s="30">
        <f t="shared" si="17"/>
        <v>515.28120263641119</v>
      </c>
    </row>
    <row r="551" spans="1:4">
      <c r="A551" s="22">
        <f t="shared" si="16"/>
        <v>616.157104461264</v>
      </c>
      <c r="B551">
        <v>6161.5710446126404</v>
      </c>
      <c r="C551">
        <v>51369.500967821121</v>
      </c>
      <c r="D551" s="30">
        <f t="shared" si="17"/>
        <v>513.69500967821125</v>
      </c>
    </row>
    <row r="552" spans="1:4">
      <c r="A552" s="22">
        <f t="shared" si="16"/>
        <v>617.27943069889841</v>
      </c>
      <c r="B552">
        <v>6172.7943069889843</v>
      </c>
      <c r="C552">
        <v>51210.881672001124</v>
      </c>
      <c r="D552" s="30">
        <f t="shared" si="17"/>
        <v>512.10881672001119</v>
      </c>
    </row>
    <row r="553" spans="1:4">
      <c r="A553" s="22">
        <f t="shared" si="16"/>
        <v>618.40175693653282</v>
      </c>
      <c r="B553">
        <v>6184.0175693653282</v>
      </c>
      <c r="C553">
        <v>51052.262376181126</v>
      </c>
      <c r="D553" s="30">
        <f t="shared" si="17"/>
        <v>510.52262376181125</v>
      </c>
    </row>
    <row r="554" spans="1:4">
      <c r="A554" s="22">
        <f t="shared" si="16"/>
        <v>619.52408317416712</v>
      </c>
      <c r="B554">
        <v>6195.2408317416712</v>
      </c>
      <c r="C554">
        <v>50893.643080361129</v>
      </c>
      <c r="D554" s="30">
        <f t="shared" si="17"/>
        <v>508.9364308036113</v>
      </c>
    </row>
    <row r="555" spans="1:4">
      <c r="A555" s="22">
        <f t="shared" si="16"/>
        <v>620.64640941180153</v>
      </c>
      <c r="B555">
        <v>6206.4640941180151</v>
      </c>
      <c r="C555">
        <v>50735.023784541132</v>
      </c>
      <c r="D555" s="30">
        <f t="shared" si="17"/>
        <v>507.3502378454113</v>
      </c>
    </row>
    <row r="556" spans="1:4">
      <c r="A556" s="22">
        <f t="shared" si="16"/>
        <v>621.76873564943594</v>
      </c>
      <c r="B556">
        <v>6217.6873564943589</v>
      </c>
      <c r="C556">
        <v>50576.404488721135</v>
      </c>
      <c r="D556" s="30">
        <f t="shared" si="17"/>
        <v>505.76404488721136</v>
      </c>
    </row>
    <row r="557" spans="1:4">
      <c r="A557" s="22">
        <f t="shared" si="16"/>
        <v>622.89106188707024</v>
      </c>
      <c r="B557">
        <v>6228.9106188707019</v>
      </c>
      <c r="C557">
        <v>50417.785192901138</v>
      </c>
      <c r="D557" s="30">
        <f t="shared" si="17"/>
        <v>504.17785192901135</v>
      </c>
    </row>
    <row r="558" spans="1:4">
      <c r="A558" s="22">
        <f t="shared" si="16"/>
        <v>624.01338812470453</v>
      </c>
      <c r="B558">
        <v>6240.1338812470458</v>
      </c>
      <c r="C558">
        <v>50259.16589708114</v>
      </c>
      <c r="D558" s="30">
        <f t="shared" si="17"/>
        <v>502.59165897081141</v>
      </c>
    </row>
    <row r="559" spans="1:4">
      <c r="A559" s="22">
        <f t="shared" si="16"/>
        <v>625.13571436233894</v>
      </c>
      <c r="B559">
        <v>6251.3571436233897</v>
      </c>
      <c r="C559">
        <v>50100.546601261143</v>
      </c>
      <c r="D559" s="30">
        <f t="shared" si="17"/>
        <v>501.00546601261141</v>
      </c>
    </row>
    <row r="560" spans="1:4">
      <c r="A560" s="22">
        <f t="shared" si="16"/>
        <v>626.25804059997324</v>
      </c>
      <c r="B560">
        <v>6262.5804059997326</v>
      </c>
      <c r="C560">
        <v>49941.927305441146</v>
      </c>
      <c r="D560" s="30">
        <f t="shared" si="17"/>
        <v>499.41927305441146</v>
      </c>
    </row>
    <row r="561" spans="1:4">
      <c r="A561" s="22">
        <f t="shared" si="16"/>
        <v>627.38036683760765</v>
      </c>
      <c r="B561">
        <v>6273.8036683760765</v>
      </c>
      <c r="C561">
        <v>49783.308009621149</v>
      </c>
      <c r="D561" s="30">
        <f t="shared" si="17"/>
        <v>497.83308009621146</v>
      </c>
    </row>
    <row r="562" spans="1:4">
      <c r="A562" s="22">
        <f t="shared" si="16"/>
        <v>628.50269307524206</v>
      </c>
      <c r="B562">
        <v>6285.0269307524204</v>
      </c>
      <c r="C562">
        <v>49624.688713801152</v>
      </c>
      <c r="D562" s="30">
        <f t="shared" si="17"/>
        <v>496.24688713801152</v>
      </c>
    </row>
    <row r="563" spans="1:4">
      <c r="A563" s="22">
        <f t="shared" si="16"/>
        <v>629.62501931287647</v>
      </c>
      <c r="B563">
        <v>6296.2501931287643</v>
      </c>
      <c r="C563">
        <v>49466.069417981154</v>
      </c>
      <c r="D563" s="30">
        <f t="shared" si="17"/>
        <v>494.66069417981157</v>
      </c>
    </row>
    <row r="564" spans="1:4">
      <c r="A564" s="22">
        <f t="shared" si="16"/>
        <v>630.74734555051077</v>
      </c>
      <c r="B564">
        <v>6307.4734555051073</v>
      </c>
      <c r="C564">
        <v>49307.450122161157</v>
      </c>
      <c r="D564" s="30">
        <f t="shared" si="17"/>
        <v>493.07450122161157</v>
      </c>
    </row>
    <row r="565" spans="1:4">
      <c r="A565" s="22">
        <f t="shared" si="16"/>
        <v>631.86967178814507</v>
      </c>
      <c r="B565">
        <v>6318.6967178814511</v>
      </c>
      <c r="C565">
        <v>49148.83082634116</v>
      </c>
      <c r="D565" s="30">
        <f t="shared" si="17"/>
        <v>491.48830826341162</v>
      </c>
    </row>
    <row r="566" spans="1:4">
      <c r="A566" s="22">
        <f t="shared" si="16"/>
        <v>632.99199802577948</v>
      </c>
      <c r="B566">
        <v>6329.919980257795</v>
      </c>
      <c r="C566">
        <v>48990.211530521163</v>
      </c>
      <c r="D566" s="30">
        <f t="shared" si="17"/>
        <v>489.90211530521162</v>
      </c>
    </row>
    <row r="567" spans="1:4">
      <c r="A567" s="22">
        <f t="shared" si="16"/>
        <v>634.11432426341378</v>
      </c>
      <c r="B567">
        <v>6341.143242634138</v>
      </c>
      <c r="C567">
        <v>48831.592234701166</v>
      </c>
      <c r="D567" s="30">
        <f t="shared" si="17"/>
        <v>488.31592234701168</v>
      </c>
    </row>
    <row r="568" spans="1:4">
      <c r="A568" s="22">
        <f t="shared" si="16"/>
        <v>635.23665050104819</v>
      </c>
      <c r="B568">
        <v>6352.3665050104819</v>
      </c>
      <c r="C568">
        <v>48672.972938881168</v>
      </c>
      <c r="D568" s="30">
        <f t="shared" si="17"/>
        <v>486.72972938881168</v>
      </c>
    </row>
    <row r="569" spans="1:4">
      <c r="A569" s="22">
        <f t="shared" si="16"/>
        <v>636.3589767386826</v>
      </c>
      <c r="B569">
        <v>6363.5897673868258</v>
      </c>
      <c r="C569">
        <v>48514.353643061171</v>
      </c>
      <c r="D569" s="30">
        <f t="shared" si="17"/>
        <v>485.14353643061173</v>
      </c>
    </row>
    <row r="570" spans="1:4">
      <c r="A570" s="22">
        <f t="shared" si="16"/>
        <v>637.4813029763169</v>
      </c>
      <c r="B570">
        <v>6374.8130297631687</v>
      </c>
      <c r="C570">
        <v>48355.734347241174</v>
      </c>
      <c r="D570" s="30">
        <f t="shared" si="17"/>
        <v>483.55734347241173</v>
      </c>
    </row>
    <row r="571" spans="1:4">
      <c r="A571" s="22">
        <f t="shared" si="16"/>
        <v>638.60362921395131</v>
      </c>
      <c r="B571">
        <v>6386.0362921395126</v>
      </c>
      <c r="C571">
        <v>48197.115051421177</v>
      </c>
      <c r="D571" s="30">
        <f t="shared" si="17"/>
        <v>481.97115051421179</v>
      </c>
    </row>
    <row r="572" spans="1:4">
      <c r="A572" s="22">
        <f t="shared" si="16"/>
        <v>639.72595545158561</v>
      </c>
      <c r="B572">
        <v>6397.2595545158565</v>
      </c>
      <c r="C572">
        <v>48038.49575560118</v>
      </c>
      <c r="D572" s="30">
        <f t="shared" si="17"/>
        <v>480.38495755601178</v>
      </c>
    </row>
    <row r="573" spans="1:4">
      <c r="A573" s="22">
        <f t="shared" si="16"/>
        <v>640.84828168922002</v>
      </c>
      <c r="B573">
        <v>6408.4828168922004</v>
      </c>
      <c r="C573">
        <v>47879.876459781182</v>
      </c>
      <c r="D573" s="30">
        <f t="shared" si="17"/>
        <v>478.79876459781184</v>
      </c>
    </row>
    <row r="574" spans="1:4">
      <c r="A574" s="22">
        <f t="shared" si="16"/>
        <v>641.97060792685431</v>
      </c>
      <c r="B574">
        <v>6419.7060792685434</v>
      </c>
      <c r="C574">
        <v>47721.257163961185</v>
      </c>
      <c r="D574" s="30">
        <f t="shared" si="17"/>
        <v>477.21257163961184</v>
      </c>
    </row>
    <row r="575" spans="1:4">
      <c r="A575" s="22">
        <f t="shared" si="16"/>
        <v>643.09293416448872</v>
      </c>
      <c r="B575">
        <v>6430.9293416448872</v>
      </c>
      <c r="C575">
        <v>47562.637868141188</v>
      </c>
      <c r="D575" s="30">
        <f t="shared" si="17"/>
        <v>475.62637868141189</v>
      </c>
    </row>
    <row r="576" spans="1:4">
      <c r="A576" s="22">
        <f t="shared" si="16"/>
        <v>644.21526040212314</v>
      </c>
      <c r="B576">
        <v>6442.1526040212311</v>
      </c>
      <c r="C576">
        <v>47404.018572321191</v>
      </c>
      <c r="D576" s="30">
        <f t="shared" si="17"/>
        <v>474.04018572321189</v>
      </c>
    </row>
    <row r="577" spans="1:4">
      <c r="A577" s="22">
        <f t="shared" si="16"/>
        <v>645.33758663975743</v>
      </c>
      <c r="B577">
        <v>6453.3758663975741</v>
      </c>
      <c r="C577">
        <v>47245.399276501194</v>
      </c>
      <c r="D577" s="30">
        <f t="shared" si="17"/>
        <v>472.45399276501195</v>
      </c>
    </row>
    <row r="578" spans="1:4">
      <c r="A578" s="22">
        <f t="shared" si="16"/>
        <v>646.45991287739184</v>
      </c>
      <c r="B578">
        <v>6464.599128773918</v>
      </c>
      <c r="C578">
        <v>47086.779980681196</v>
      </c>
      <c r="D578" s="30">
        <f t="shared" si="17"/>
        <v>470.86779980681195</v>
      </c>
    </row>
    <row r="579" spans="1:4">
      <c r="A579" s="22">
        <f t="shared" ref="A579:A642" si="18">B579/10</f>
        <v>647.58223911502614</v>
      </c>
      <c r="B579">
        <v>6475.8223911502619</v>
      </c>
      <c r="C579">
        <v>46928.160684861199</v>
      </c>
      <c r="D579" s="30">
        <f t="shared" ref="D579:D642" si="19">C579/100</f>
        <v>469.281606848612</v>
      </c>
    </row>
    <row r="580" spans="1:4">
      <c r="A580" s="22">
        <f t="shared" si="18"/>
        <v>648.70456535266044</v>
      </c>
      <c r="B580">
        <v>6487.0456535266048</v>
      </c>
      <c r="C580">
        <v>46769.541389041202</v>
      </c>
      <c r="D580" s="30">
        <f t="shared" si="19"/>
        <v>467.695413890412</v>
      </c>
    </row>
    <row r="581" spans="1:4">
      <c r="A581" s="22">
        <f t="shared" si="18"/>
        <v>649.82689159029485</v>
      </c>
      <c r="B581">
        <v>6498.2689159029487</v>
      </c>
      <c r="C581">
        <v>46610.922093221205</v>
      </c>
      <c r="D581" s="30">
        <f t="shared" si="19"/>
        <v>466.10922093221205</v>
      </c>
    </row>
    <row r="582" spans="1:4">
      <c r="A582" s="22">
        <f t="shared" si="18"/>
        <v>650.94921782792926</v>
      </c>
      <c r="B582">
        <v>6509.4921782792926</v>
      </c>
      <c r="C582">
        <v>46452.302797401207</v>
      </c>
      <c r="D582" s="30">
        <f t="shared" si="19"/>
        <v>464.52302797401205</v>
      </c>
    </row>
    <row r="583" spans="1:4">
      <c r="A583" s="22">
        <f t="shared" si="18"/>
        <v>652.07154406556356</v>
      </c>
      <c r="B583">
        <v>6520.7154406556356</v>
      </c>
      <c r="C583">
        <v>46293.68350158121</v>
      </c>
      <c r="D583" s="30">
        <f t="shared" si="19"/>
        <v>462.93683501581211</v>
      </c>
    </row>
    <row r="584" spans="1:4">
      <c r="A584" s="22">
        <f t="shared" si="18"/>
        <v>653.19387030319797</v>
      </c>
      <c r="B584">
        <v>6531.9387030319795</v>
      </c>
      <c r="C584">
        <v>46135.064205761213</v>
      </c>
      <c r="D584" s="30">
        <f t="shared" si="19"/>
        <v>461.35064205761211</v>
      </c>
    </row>
    <row r="585" spans="1:4">
      <c r="A585" s="22">
        <f t="shared" si="18"/>
        <v>654.31619654083238</v>
      </c>
      <c r="B585">
        <v>6543.1619654083233</v>
      </c>
      <c r="C585">
        <v>45976.444909941216</v>
      </c>
      <c r="D585" s="30">
        <f t="shared" si="19"/>
        <v>459.76444909941216</v>
      </c>
    </row>
    <row r="586" spans="1:4">
      <c r="A586" s="22">
        <f t="shared" si="18"/>
        <v>655.43852277846668</v>
      </c>
      <c r="B586">
        <v>6554.3852277846672</v>
      </c>
      <c r="C586">
        <v>45817.825614121219</v>
      </c>
      <c r="D586" s="30">
        <f t="shared" si="19"/>
        <v>458.17825614121216</v>
      </c>
    </row>
    <row r="587" spans="1:4">
      <c r="A587" s="22">
        <f t="shared" si="18"/>
        <v>656.56084901610097</v>
      </c>
      <c r="B587">
        <v>6565.6084901610102</v>
      </c>
      <c r="C587">
        <v>45659.206318301221</v>
      </c>
      <c r="D587" s="30">
        <f t="shared" si="19"/>
        <v>456.59206318301221</v>
      </c>
    </row>
    <row r="588" spans="1:4">
      <c r="A588" s="22">
        <f t="shared" si="18"/>
        <v>657.68317525373539</v>
      </c>
      <c r="B588">
        <v>6576.8317525373541</v>
      </c>
      <c r="C588">
        <v>45500.587022481224</v>
      </c>
      <c r="D588" s="30">
        <f t="shared" si="19"/>
        <v>455.00587022481227</v>
      </c>
    </row>
    <row r="589" spans="1:4">
      <c r="A589" s="22">
        <f t="shared" si="18"/>
        <v>658.8055014913698</v>
      </c>
      <c r="B589">
        <v>6588.055014913698</v>
      </c>
      <c r="C589">
        <v>45341.967726661227</v>
      </c>
      <c r="D589" s="30">
        <f t="shared" si="19"/>
        <v>453.41967726661227</v>
      </c>
    </row>
    <row r="590" spans="1:4">
      <c r="A590" s="22">
        <f t="shared" si="18"/>
        <v>659.92782772900409</v>
      </c>
      <c r="B590">
        <v>6599.2782772900409</v>
      </c>
      <c r="C590">
        <v>45183.34843084123</v>
      </c>
      <c r="D590" s="30">
        <f t="shared" si="19"/>
        <v>451.83348430841232</v>
      </c>
    </row>
    <row r="591" spans="1:4">
      <c r="A591" s="22">
        <f t="shared" si="18"/>
        <v>661.0501539666385</v>
      </c>
      <c r="B591">
        <v>6610.5015396663848</v>
      </c>
      <c r="C591">
        <v>45024.729135021233</v>
      </c>
      <c r="D591" s="30">
        <f t="shared" si="19"/>
        <v>450.24729135021232</v>
      </c>
    </row>
    <row r="592" spans="1:4">
      <c r="A592" s="22">
        <f t="shared" si="18"/>
        <v>662.17248020427292</v>
      </c>
      <c r="B592">
        <v>6621.7248020427287</v>
      </c>
      <c r="C592">
        <v>44866.109839201235</v>
      </c>
      <c r="D592" s="30">
        <f t="shared" si="19"/>
        <v>448.66109839201238</v>
      </c>
    </row>
    <row r="593" spans="1:4">
      <c r="A593" s="22">
        <f t="shared" si="18"/>
        <v>663.29480644190721</v>
      </c>
      <c r="B593">
        <v>6632.9480644190717</v>
      </c>
      <c r="C593">
        <v>44707.490543381238</v>
      </c>
      <c r="D593" s="30">
        <f t="shared" si="19"/>
        <v>447.07490543381238</v>
      </c>
    </row>
    <row r="594" spans="1:4">
      <c r="A594" s="22">
        <f t="shared" si="18"/>
        <v>664.41713267954151</v>
      </c>
      <c r="B594">
        <v>6644.1713267954156</v>
      </c>
      <c r="C594">
        <v>44548.871247561241</v>
      </c>
      <c r="D594" s="30">
        <f t="shared" si="19"/>
        <v>445.48871247561243</v>
      </c>
    </row>
    <row r="595" spans="1:4">
      <c r="A595" s="22">
        <f t="shared" si="18"/>
        <v>665.53945891717592</v>
      </c>
      <c r="B595">
        <v>6655.3945891717594</v>
      </c>
      <c r="C595">
        <v>44390.251951741244</v>
      </c>
      <c r="D595" s="30">
        <f t="shared" si="19"/>
        <v>443.90251951741243</v>
      </c>
    </row>
    <row r="596" spans="1:4">
      <c r="A596" s="22">
        <f t="shared" si="18"/>
        <v>666.66178515481033</v>
      </c>
      <c r="B596">
        <v>6666.6178515481033</v>
      </c>
      <c r="C596">
        <v>44231.632655921247</v>
      </c>
      <c r="D596" s="30">
        <f t="shared" si="19"/>
        <v>442.31632655921248</v>
      </c>
    </row>
    <row r="597" spans="1:4">
      <c r="A597" s="22">
        <f t="shared" si="18"/>
        <v>667.78411139244463</v>
      </c>
      <c r="B597">
        <v>6677.8411139244463</v>
      </c>
      <c r="C597">
        <v>44073.013360101249</v>
      </c>
      <c r="D597" s="30">
        <f t="shared" si="19"/>
        <v>440.73013360101248</v>
      </c>
    </row>
    <row r="598" spans="1:4">
      <c r="A598" s="22">
        <f t="shared" si="18"/>
        <v>668.90643763007904</v>
      </c>
      <c r="B598">
        <v>6689.0643763007902</v>
      </c>
      <c r="C598">
        <v>43914.394064281252</v>
      </c>
      <c r="D598" s="30">
        <f t="shared" si="19"/>
        <v>439.14394064281254</v>
      </c>
    </row>
    <row r="599" spans="1:4">
      <c r="A599" s="22">
        <f t="shared" si="18"/>
        <v>670.02876386771345</v>
      </c>
      <c r="B599">
        <v>6700.2876386771341</v>
      </c>
      <c r="C599">
        <v>43755.774768461255</v>
      </c>
      <c r="D599" s="30">
        <f t="shared" si="19"/>
        <v>437.55774768461254</v>
      </c>
    </row>
    <row r="600" spans="1:4">
      <c r="A600" s="22">
        <f t="shared" si="18"/>
        <v>671.15109010534775</v>
      </c>
      <c r="B600">
        <v>6711.510901053477</v>
      </c>
      <c r="C600">
        <v>43597.155472641258</v>
      </c>
      <c r="D600" s="30">
        <f t="shared" si="19"/>
        <v>435.97155472641259</v>
      </c>
    </row>
    <row r="601" spans="1:4">
      <c r="A601" s="22">
        <f t="shared" si="18"/>
        <v>672.27341634298205</v>
      </c>
      <c r="B601">
        <v>6722.7341634298209</v>
      </c>
      <c r="C601">
        <v>43438.536176821261</v>
      </c>
      <c r="D601" s="30">
        <f t="shared" si="19"/>
        <v>434.38536176821259</v>
      </c>
    </row>
    <row r="602" spans="1:4">
      <c r="A602" s="22">
        <f t="shared" si="18"/>
        <v>673.39574258061646</v>
      </c>
      <c r="B602">
        <v>6733.9574258061648</v>
      </c>
      <c r="C602">
        <v>43279.916881001263</v>
      </c>
      <c r="D602" s="30">
        <f t="shared" si="19"/>
        <v>432.79916881001265</v>
      </c>
    </row>
    <row r="603" spans="1:4">
      <c r="A603" s="22">
        <f t="shared" si="18"/>
        <v>674.51806881825075</v>
      </c>
      <c r="B603">
        <v>6745.1806881825078</v>
      </c>
      <c r="C603">
        <v>43121.297585181266</v>
      </c>
      <c r="D603" s="30">
        <f t="shared" si="19"/>
        <v>431.21297585181264</v>
      </c>
    </row>
    <row r="604" spans="1:4">
      <c r="A604" s="22">
        <f t="shared" si="18"/>
        <v>675.64039505588516</v>
      </c>
      <c r="B604">
        <v>6756.4039505588516</v>
      </c>
      <c r="C604">
        <v>42962.678289361269</v>
      </c>
      <c r="D604" s="30">
        <f t="shared" si="19"/>
        <v>429.6267828936127</v>
      </c>
    </row>
    <row r="605" spans="1:4">
      <c r="A605" s="22">
        <f t="shared" si="18"/>
        <v>676.76272129351958</v>
      </c>
      <c r="B605">
        <v>6767.6272129351955</v>
      </c>
      <c r="C605">
        <v>42804.058993541272</v>
      </c>
      <c r="D605" s="30">
        <f t="shared" si="19"/>
        <v>428.0405899354127</v>
      </c>
    </row>
    <row r="606" spans="1:4">
      <c r="A606" s="22">
        <f t="shared" si="18"/>
        <v>677.88504753115399</v>
      </c>
      <c r="B606">
        <v>6778.8504753115394</v>
      </c>
      <c r="C606">
        <v>42645.439697721275</v>
      </c>
      <c r="D606" s="30">
        <f t="shared" si="19"/>
        <v>426.45439697721275</v>
      </c>
    </row>
    <row r="607" spans="1:4">
      <c r="A607" s="22">
        <f t="shared" si="18"/>
        <v>679.00737376878828</v>
      </c>
      <c r="B607">
        <v>6790.0737376878824</v>
      </c>
      <c r="C607">
        <v>42486.820401901277</v>
      </c>
      <c r="D607" s="30">
        <f t="shared" si="19"/>
        <v>424.86820401901275</v>
      </c>
    </row>
    <row r="608" spans="1:4">
      <c r="A608" s="22">
        <f t="shared" si="18"/>
        <v>680.12970000642258</v>
      </c>
      <c r="B608">
        <v>6801.2970000642263</v>
      </c>
      <c r="C608">
        <v>42328.20110608128</v>
      </c>
      <c r="D608" s="30">
        <f t="shared" si="19"/>
        <v>423.28201106081281</v>
      </c>
    </row>
    <row r="609" spans="1:4">
      <c r="A609" s="22">
        <f t="shared" si="18"/>
        <v>681.25202624405699</v>
      </c>
      <c r="B609">
        <v>6812.5202624405701</v>
      </c>
      <c r="C609">
        <v>42169.581810261283</v>
      </c>
      <c r="D609" s="30">
        <f t="shared" si="19"/>
        <v>421.6958181026128</v>
      </c>
    </row>
    <row r="610" spans="1:4">
      <c r="A610" s="22">
        <f t="shared" si="18"/>
        <v>682.37435248169129</v>
      </c>
      <c r="B610">
        <v>6823.7435248169131</v>
      </c>
      <c r="C610">
        <v>42010.962514441286</v>
      </c>
      <c r="D610" s="30">
        <f t="shared" si="19"/>
        <v>420.10962514441286</v>
      </c>
    </row>
    <row r="611" spans="1:4">
      <c r="A611" s="22">
        <f t="shared" si="18"/>
        <v>683.4966787193257</v>
      </c>
      <c r="B611">
        <v>6834.966787193257</v>
      </c>
      <c r="C611">
        <v>41852.343218621289</v>
      </c>
      <c r="D611" s="30">
        <f t="shared" si="19"/>
        <v>418.52343218621286</v>
      </c>
    </row>
    <row r="612" spans="1:4">
      <c r="A612" s="22">
        <f t="shared" si="18"/>
        <v>684.61900495696011</v>
      </c>
      <c r="B612">
        <v>6846.1900495696009</v>
      </c>
      <c r="C612">
        <v>41693.723922801291</v>
      </c>
      <c r="D612" s="30">
        <f t="shared" si="19"/>
        <v>416.93723922801291</v>
      </c>
    </row>
    <row r="613" spans="1:4">
      <c r="A613" s="22">
        <f t="shared" si="18"/>
        <v>685.74133119459441</v>
      </c>
      <c r="B613">
        <v>6857.4133119459439</v>
      </c>
      <c r="C613">
        <v>41535.104626981294</v>
      </c>
      <c r="D613" s="30">
        <f t="shared" si="19"/>
        <v>415.35104626981297</v>
      </c>
    </row>
    <row r="614" spans="1:4">
      <c r="A614" s="22">
        <f t="shared" si="18"/>
        <v>686.86365743222882</v>
      </c>
      <c r="B614">
        <v>6868.6365743222877</v>
      </c>
      <c r="C614">
        <v>41376.485331161297</v>
      </c>
      <c r="D614" s="30">
        <f t="shared" si="19"/>
        <v>413.76485331161297</v>
      </c>
    </row>
    <row r="615" spans="1:4">
      <c r="A615" s="22">
        <f t="shared" si="18"/>
        <v>687.98598366986312</v>
      </c>
      <c r="B615">
        <v>6879.8598366986316</v>
      </c>
      <c r="C615">
        <v>41217.8660353413</v>
      </c>
      <c r="D615" s="30">
        <f t="shared" si="19"/>
        <v>412.17866035341302</v>
      </c>
    </row>
    <row r="616" spans="1:4">
      <c r="A616" s="22">
        <f t="shared" si="18"/>
        <v>689.10830990749753</v>
      </c>
      <c r="B616">
        <v>6891.0830990749755</v>
      </c>
      <c r="C616">
        <v>41059.246739521303</v>
      </c>
      <c r="D616" s="30">
        <f t="shared" si="19"/>
        <v>410.59246739521302</v>
      </c>
    </row>
    <row r="617" spans="1:4">
      <c r="A617" s="22">
        <f t="shared" si="18"/>
        <v>690.23063614513183</v>
      </c>
      <c r="B617">
        <v>6902.3063614513185</v>
      </c>
      <c r="C617">
        <v>40900.627443701305</v>
      </c>
      <c r="D617" s="30">
        <f t="shared" si="19"/>
        <v>409.00627443701308</v>
      </c>
    </row>
    <row r="618" spans="1:4">
      <c r="A618" s="22">
        <f t="shared" si="18"/>
        <v>691.35296238276624</v>
      </c>
      <c r="B618">
        <v>6913.5296238276624</v>
      </c>
      <c r="C618">
        <v>40742.008147881308</v>
      </c>
      <c r="D618" s="30">
        <f t="shared" si="19"/>
        <v>407.42008147881307</v>
      </c>
    </row>
    <row r="619" spans="1:4">
      <c r="A619" s="22">
        <f t="shared" si="18"/>
        <v>692.47528862040065</v>
      </c>
      <c r="B619">
        <v>6924.7528862040062</v>
      </c>
      <c r="C619">
        <v>40583.388852061311</v>
      </c>
      <c r="D619" s="30">
        <f t="shared" si="19"/>
        <v>405.83388852061313</v>
      </c>
    </row>
    <row r="620" spans="1:4">
      <c r="A620" s="22">
        <f t="shared" si="18"/>
        <v>693.59761485803494</v>
      </c>
      <c r="B620">
        <v>6935.9761485803492</v>
      </c>
      <c r="C620">
        <v>40424.769556241314</v>
      </c>
      <c r="D620" s="30">
        <f t="shared" si="19"/>
        <v>404.24769556241313</v>
      </c>
    </row>
    <row r="621" spans="1:4">
      <c r="A621" s="22">
        <f t="shared" si="18"/>
        <v>694.71994109566936</v>
      </c>
      <c r="B621">
        <v>6947.1994109566931</v>
      </c>
      <c r="C621">
        <v>40266.150260421316</v>
      </c>
      <c r="D621" s="30">
        <f t="shared" si="19"/>
        <v>402.66150260421318</v>
      </c>
    </row>
    <row r="622" spans="1:4">
      <c r="A622" s="22">
        <f t="shared" si="18"/>
        <v>695.84226733330365</v>
      </c>
      <c r="B622">
        <v>6958.422673333037</v>
      </c>
      <c r="C622">
        <v>40107.530964601319</v>
      </c>
      <c r="D622" s="30">
        <f t="shared" si="19"/>
        <v>401.07530964601318</v>
      </c>
    </row>
    <row r="623" spans="1:4">
      <c r="A623" s="22">
        <f t="shared" si="18"/>
        <v>696.96459357093795</v>
      </c>
      <c r="B623">
        <v>6969.64593570938</v>
      </c>
      <c r="C623">
        <v>39948.911668781322</v>
      </c>
      <c r="D623" s="30">
        <f t="shared" si="19"/>
        <v>399.48911668781324</v>
      </c>
    </row>
    <row r="624" spans="1:4">
      <c r="A624" s="22">
        <f t="shared" si="18"/>
        <v>698.08691980857236</v>
      </c>
      <c r="B624">
        <v>6980.8691980857238</v>
      </c>
      <c r="C624">
        <v>39790.292372961325</v>
      </c>
      <c r="D624" s="30">
        <f t="shared" si="19"/>
        <v>397.90292372961324</v>
      </c>
    </row>
    <row r="625" spans="1:4">
      <c r="A625" s="22">
        <f t="shared" si="18"/>
        <v>699.20924604620677</v>
      </c>
      <c r="B625">
        <v>6992.0924604620677</v>
      </c>
      <c r="C625">
        <v>39631.673077141328</v>
      </c>
      <c r="D625" s="30">
        <f t="shared" si="19"/>
        <v>396.31673077141329</v>
      </c>
    </row>
    <row r="626" spans="1:4">
      <c r="A626" s="22">
        <f t="shared" si="18"/>
        <v>700.33157228384118</v>
      </c>
      <c r="B626">
        <v>7003.3157228384116</v>
      </c>
      <c r="C626">
        <v>39473.05378132133</v>
      </c>
      <c r="D626" s="30">
        <f t="shared" si="19"/>
        <v>394.73053781321329</v>
      </c>
    </row>
    <row r="627" spans="1:4">
      <c r="A627" s="22">
        <f t="shared" si="18"/>
        <v>701.45389852147548</v>
      </c>
      <c r="B627">
        <v>7014.5389852147546</v>
      </c>
      <c r="C627">
        <v>39314.434485501333</v>
      </c>
      <c r="D627" s="30">
        <f t="shared" si="19"/>
        <v>393.14434485501334</v>
      </c>
    </row>
    <row r="628" spans="1:4">
      <c r="A628" s="22">
        <f t="shared" si="18"/>
        <v>702.57622475910989</v>
      </c>
      <c r="B628">
        <v>7025.7622475910985</v>
      </c>
      <c r="C628">
        <v>39155.815189681336</v>
      </c>
      <c r="D628" s="30">
        <f t="shared" si="19"/>
        <v>391.55815189681334</v>
      </c>
    </row>
    <row r="629" spans="1:4">
      <c r="A629" s="22">
        <f t="shared" si="18"/>
        <v>703.69855099674419</v>
      </c>
      <c r="B629">
        <v>7036.9855099674423</v>
      </c>
      <c r="C629">
        <v>38997.195893861339</v>
      </c>
      <c r="D629" s="30">
        <f t="shared" si="19"/>
        <v>389.9719589386134</v>
      </c>
    </row>
    <row r="630" spans="1:4">
      <c r="A630" s="22">
        <f t="shared" si="18"/>
        <v>704.82087723437849</v>
      </c>
      <c r="B630">
        <v>7048.2087723437853</v>
      </c>
      <c r="C630">
        <v>38838.576598041342</v>
      </c>
      <c r="D630" s="30">
        <f t="shared" si="19"/>
        <v>388.3857659804134</v>
      </c>
    </row>
    <row r="631" spans="1:4">
      <c r="A631" s="22">
        <f t="shared" si="18"/>
        <v>705.9432034720129</v>
      </c>
      <c r="B631">
        <v>7059.4320347201292</v>
      </c>
      <c r="C631">
        <v>38679.957302221344</v>
      </c>
      <c r="D631" s="30">
        <f t="shared" si="19"/>
        <v>386.79957302221345</v>
      </c>
    </row>
    <row r="632" spans="1:4">
      <c r="A632" s="22">
        <f t="shared" si="18"/>
        <v>707.06552970964731</v>
      </c>
      <c r="B632">
        <v>7070.6552970964731</v>
      </c>
      <c r="C632">
        <v>38521.338006401347</v>
      </c>
      <c r="D632" s="30">
        <f t="shared" si="19"/>
        <v>385.21338006401345</v>
      </c>
    </row>
    <row r="633" spans="1:4">
      <c r="A633" s="22">
        <f t="shared" si="18"/>
        <v>708.18785594728161</v>
      </c>
      <c r="B633">
        <v>7081.8785594728161</v>
      </c>
      <c r="C633">
        <v>38362.71871058135</v>
      </c>
      <c r="D633" s="30">
        <f t="shared" si="19"/>
        <v>383.6271871058135</v>
      </c>
    </row>
    <row r="634" spans="1:4">
      <c r="A634" s="22">
        <f t="shared" si="18"/>
        <v>709.31018218491602</v>
      </c>
      <c r="B634">
        <v>7093.1018218491599</v>
      </c>
      <c r="C634">
        <v>38204.099414761353</v>
      </c>
      <c r="D634" s="30">
        <f t="shared" si="19"/>
        <v>382.0409941476135</v>
      </c>
    </row>
    <row r="635" spans="1:4">
      <c r="A635" s="22">
        <f t="shared" si="18"/>
        <v>710.43250842255043</v>
      </c>
      <c r="B635">
        <v>7104.3250842255038</v>
      </c>
      <c r="C635">
        <v>38045.480118941356</v>
      </c>
      <c r="D635" s="30">
        <f t="shared" si="19"/>
        <v>380.45480118941356</v>
      </c>
    </row>
    <row r="636" spans="1:4">
      <c r="A636" s="22">
        <f t="shared" si="18"/>
        <v>711.55483466018472</v>
      </c>
      <c r="B636">
        <v>7115.5483466018468</v>
      </c>
      <c r="C636">
        <v>37886.860823121358</v>
      </c>
      <c r="D636" s="30">
        <f t="shared" si="19"/>
        <v>378.86860823121356</v>
      </c>
    </row>
    <row r="637" spans="1:4">
      <c r="A637" s="22">
        <f t="shared" si="18"/>
        <v>712.67716089781902</v>
      </c>
      <c r="B637">
        <v>7126.7716089781907</v>
      </c>
      <c r="C637">
        <v>37728.241527301361</v>
      </c>
      <c r="D637" s="30">
        <f t="shared" si="19"/>
        <v>377.28241527301361</v>
      </c>
    </row>
    <row r="638" spans="1:4">
      <c r="A638" s="22">
        <f t="shared" si="18"/>
        <v>713.79948713545343</v>
      </c>
      <c r="B638">
        <v>7137.9948713545346</v>
      </c>
      <c r="C638">
        <v>37569.622231481364</v>
      </c>
      <c r="D638" s="30">
        <f t="shared" si="19"/>
        <v>375.69622231481367</v>
      </c>
    </row>
    <row r="639" spans="1:4">
      <c r="A639" s="22">
        <f t="shared" si="18"/>
        <v>714.92181337308784</v>
      </c>
      <c r="B639">
        <v>7149.2181337308784</v>
      </c>
      <c r="C639">
        <v>37411.002935661367</v>
      </c>
      <c r="D639" s="30">
        <f t="shared" si="19"/>
        <v>374.11002935661367</v>
      </c>
    </row>
    <row r="640" spans="1:4">
      <c r="A640" s="22">
        <f t="shared" si="18"/>
        <v>716.04413961072214</v>
      </c>
      <c r="B640">
        <v>7160.4413961072214</v>
      </c>
      <c r="C640">
        <v>37252.38363984137</v>
      </c>
      <c r="D640" s="30">
        <f t="shared" si="19"/>
        <v>372.52383639841372</v>
      </c>
    </row>
    <row r="641" spans="1:4">
      <c r="A641" s="22">
        <f t="shared" si="18"/>
        <v>717.16646584835655</v>
      </c>
      <c r="B641">
        <v>7171.6646584835653</v>
      </c>
      <c r="C641">
        <v>37093.764344021372</v>
      </c>
      <c r="D641" s="30">
        <f t="shared" si="19"/>
        <v>370.93764344021372</v>
      </c>
    </row>
    <row r="642" spans="1:4">
      <c r="A642" s="22">
        <f t="shared" si="18"/>
        <v>718.28879208599096</v>
      </c>
      <c r="B642">
        <v>7182.8879208599092</v>
      </c>
      <c r="C642">
        <v>36935.145048201375</v>
      </c>
      <c r="D642" s="30">
        <f t="shared" si="19"/>
        <v>369.35145048201377</v>
      </c>
    </row>
    <row r="643" spans="1:4">
      <c r="A643" s="22">
        <f t="shared" ref="A643:A706" si="20">B643/10</f>
        <v>719.41111832362526</v>
      </c>
      <c r="B643">
        <v>7194.1111832362521</v>
      </c>
      <c r="C643">
        <v>36776.525752381378</v>
      </c>
      <c r="D643" s="30">
        <f t="shared" ref="D643:D706" si="21">C643/100</f>
        <v>367.76525752381377</v>
      </c>
    </row>
    <row r="644" spans="1:4">
      <c r="A644" s="22">
        <f t="shared" si="20"/>
        <v>720.53344456125956</v>
      </c>
      <c r="B644">
        <v>7205.334445612596</v>
      </c>
      <c r="C644">
        <v>36617.906456561381</v>
      </c>
      <c r="D644" s="30">
        <f t="shared" si="21"/>
        <v>366.17906456561383</v>
      </c>
    </row>
    <row r="645" spans="1:4">
      <c r="A645" s="22">
        <f t="shared" si="20"/>
        <v>721.65577079889397</v>
      </c>
      <c r="B645">
        <v>7216.5577079889399</v>
      </c>
      <c r="C645">
        <v>36459.287160741384</v>
      </c>
      <c r="D645" s="30">
        <f t="shared" si="21"/>
        <v>364.59287160741383</v>
      </c>
    </row>
    <row r="646" spans="1:4">
      <c r="A646" s="22">
        <f t="shared" si="20"/>
        <v>722.77809703652827</v>
      </c>
      <c r="B646">
        <v>7227.7809703652829</v>
      </c>
      <c r="C646">
        <v>36300.667864921386</v>
      </c>
      <c r="D646" s="30">
        <f t="shared" si="21"/>
        <v>363.00667864921388</v>
      </c>
    </row>
    <row r="647" spans="1:4">
      <c r="A647" s="22">
        <f t="shared" si="20"/>
        <v>723.90042327416268</v>
      </c>
      <c r="B647">
        <v>7239.0042327416268</v>
      </c>
      <c r="C647">
        <v>36142.048569101389</v>
      </c>
      <c r="D647" s="30">
        <f t="shared" si="21"/>
        <v>361.42048569101388</v>
      </c>
    </row>
    <row r="648" spans="1:4">
      <c r="A648" s="22">
        <f t="shared" si="20"/>
        <v>725.02274951179709</v>
      </c>
      <c r="B648">
        <v>7250.2274951179706</v>
      </c>
      <c r="C648">
        <v>35983.429273281392</v>
      </c>
      <c r="D648" s="30">
        <f t="shared" si="21"/>
        <v>359.83429273281394</v>
      </c>
    </row>
    <row r="649" spans="1:4">
      <c r="A649" s="22">
        <f t="shared" si="20"/>
        <v>726.1450757494315</v>
      </c>
      <c r="B649">
        <v>7261.4507574943145</v>
      </c>
      <c r="C649">
        <v>35824.809977461395</v>
      </c>
      <c r="D649" s="30">
        <f t="shared" si="21"/>
        <v>358.24809977461393</v>
      </c>
    </row>
    <row r="650" spans="1:4">
      <c r="A650" s="22">
        <f t="shared" si="20"/>
        <v>727.2674019870658</v>
      </c>
      <c r="B650">
        <v>7272.6740198706575</v>
      </c>
      <c r="C650">
        <v>35666.190681641398</v>
      </c>
      <c r="D650" s="30">
        <f t="shared" si="21"/>
        <v>356.66190681641399</v>
      </c>
    </row>
    <row r="651" spans="1:4">
      <c r="A651" s="22">
        <f t="shared" si="20"/>
        <v>728.38972822470009</v>
      </c>
      <c r="B651">
        <v>7283.8972822470014</v>
      </c>
      <c r="C651">
        <v>35507.5713858214</v>
      </c>
      <c r="D651" s="30">
        <f t="shared" si="21"/>
        <v>355.07571385821399</v>
      </c>
    </row>
    <row r="652" spans="1:4">
      <c r="A652" s="22">
        <f t="shared" si="20"/>
        <v>729.5120544623345</v>
      </c>
      <c r="B652">
        <v>7295.1205446233453</v>
      </c>
      <c r="C652">
        <v>35348.952090001403</v>
      </c>
      <c r="D652" s="30">
        <f t="shared" si="21"/>
        <v>353.48952090001404</v>
      </c>
    </row>
    <row r="653" spans="1:4">
      <c r="A653" s="22">
        <f t="shared" si="20"/>
        <v>730.6343806999688</v>
      </c>
      <c r="B653">
        <v>7306.3438069996882</v>
      </c>
      <c r="C653">
        <v>35190.332794181406</v>
      </c>
      <c r="D653" s="30">
        <f t="shared" si="21"/>
        <v>351.90332794181404</v>
      </c>
    </row>
    <row r="654" spans="1:4">
      <c r="A654" s="22">
        <f t="shared" si="20"/>
        <v>731.75670693760321</v>
      </c>
      <c r="B654">
        <v>7317.5670693760321</v>
      </c>
      <c r="C654">
        <v>35031.713498361409</v>
      </c>
      <c r="D654" s="30">
        <f t="shared" si="21"/>
        <v>350.3171349836141</v>
      </c>
    </row>
    <row r="655" spans="1:4">
      <c r="A655" s="22">
        <f t="shared" si="20"/>
        <v>732.87903317523762</v>
      </c>
      <c r="B655">
        <v>7328.790331752376</v>
      </c>
      <c r="C655">
        <v>34873.094202541412</v>
      </c>
      <c r="D655" s="30">
        <f t="shared" si="21"/>
        <v>348.73094202541409</v>
      </c>
    </row>
    <row r="656" spans="1:4">
      <c r="A656" s="22">
        <f t="shared" si="20"/>
        <v>734.00135941287192</v>
      </c>
      <c r="B656">
        <v>7340.013594128719</v>
      </c>
      <c r="C656">
        <v>34714.474906721414</v>
      </c>
      <c r="D656" s="30">
        <f t="shared" si="21"/>
        <v>347.14474906721415</v>
      </c>
    </row>
    <row r="657" spans="1:4">
      <c r="A657" s="22">
        <f t="shared" si="20"/>
        <v>735.12368565050633</v>
      </c>
      <c r="B657">
        <v>7351.2368565050629</v>
      </c>
      <c r="C657">
        <v>34555.855610901417</v>
      </c>
      <c r="D657" s="30">
        <f t="shared" si="21"/>
        <v>345.55855610901415</v>
      </c>
    </row>
    <row r="658" spans="1:4">
      <c r="A658" s="22">
        <f t="shared" si="20"/>
        <v>736.24601188814063</v>
      </c>
      <c r="B658">
        <v>7362.4601188814067</v>
      </c>
      <c r="C658">
        <v>34397.23631508142</v>
      </c>
      <c r="D658" s="30">
        <f t="shared" si="21"/>
        <v>343.9723631508142</v>
      </c>
    </row>
    <row r="659" spans="1:4">
      <c r="A659" s="22">
        <f t="shared" si="20"/>
        <v>737.36833812577504</v>
      </c>
      <c r="B659">
        <v>7373.6833812577506</v>
      </c>
      <c r="C659">
        <v>34238.617019261423</v>
      </c>
      <c r="D659" s="30">
        <f t="shared" si="21"/>
        <v>342.3861701926142</v>
      </c>
    </row>
    <row r="660" spans="1:4">
      <c r="A660" s="22">
        <f t="shared" si="20"/>
        <v>738.49066436340934</v>
      </c>
      <c r="B660">
        <v>7384.9066436340936</v>
      </c>
      <c r="C660">
        <v>34079.997723441425</v>
      </c>
      <c r="D660" s="30">
        <f t="shared" si="21"/>
        <v>340.79997723441426</v>
      </c>
    </row>
    <row r="661" spans="1:4">
      <c r="A661" s="22">
        <f t="shared" si="20"/>
        <v>739.61299060104375</v>
      </c>
      <c r="B661">
        <v>7396.1299060104375</v>
      </c>
      <c r="C661">
        <v>33921.378427621428</v>
      </c>
      <c r="D661" s="30">
        <f t="shared" si="21"/>
        <v>339.21378427621426</v>
      </c>
    </row>
    <row r="662" spans="1:4">
      <c r="A662" s="22">
        <f t="shared" si="20"/>
        <v>740.73531683867816</v>
      </c>
      <c r="B662">
        <v>7407.3531683867814</v>
      </c>
      <c r="C662">
        <v>33762.759131801431</v>
      </c>
      <c r="D662" s="30">
        <f t="shared" si="21"/>
        <v>337.62759131801431</v>
      </c>
    </row>
    <row r="663" spans="1:4">
      <c r="A663" s="22">
        <f t="shared" si="20"/>
        <v>741.85764307631246</v>
      </c>
      <c r="B663">
        <v>7418.5764307631243</v>
      </c>
      <c r="C663">
        <v>33604.139835981434</v>
      </c>
      <c r="D663" s="30">
        <f t="shared" si="21"/>
        <v>336.04139835981437</v>
      </c>
    </row>
    <row r="664" spans="1:4">
      <c r="A664" s="22">
        <f t="shared" si="20"/>
        <v>742.97996931394687</v>
      </c>
      <c r="B664">
        <v>7429.7996931394682</v>
      </c>
      <c r="C664">
        <v>33445.520540161437</v>
      </c>
      <c r="D664" s="30">
        <f t="shared" si="21"/>
        <v>334.45520540161436</v>
      </c>
    </row>
    <row r="665" spans="1:4">
      <c r="A665" s="22">
        <f t="shared" si="20"/>
        <v>744.10229555158116</v>
      </c>
      <c r="B665">
        <v>7441.0229555158121</v>
      </c>
      <c r="C665">
        <v>33286.901244341439</v>
      </c>
      <c r="D665" s="30">
        <f t="shared" si="21"/>
        <v>332.86901244341442</v>
      </c>
    </row>
    <row r="666" spans="1:4">
      <c r="A666" s="22">
        <f t="shared" si="20"/>
        <v>745.22462178921546</v>
      </c>
      <c r="B666">
        <v>7452.2462178921551</v>
      </c>
      <c r="C666">
        <v>33128.281948521442</v>
      </c>
      <c r="D666" s="30">
        <f t="shared" si="21"/>
        <v>331.28281948521442</v>
      </c>
    </row>
    <row r="667" spans="1:4">
      <c r="A667" s="22">
        <f t="shared" si="20"/>
        <v>746.34694802684987</v>
      </c>
      <c r="B667">
        <v>7463.469480268499</v>
      </c>
      <c r="C667">
        <v>32969.662652701445</v>
      </c>
      <c r="D667" s="30">
        <f t="shared" si="21"/>
        <v>329.69662652701447</v>
      </c>
    </row>
    <row r="668" spans="1:4">
      <c r="A668" s="22">
        <f t="shared" si="20"/>
        <v>747.46927426448428</v>
      </c>
      <c r="B668">
        <v>7474.6927426448428</v>
      </c>
      <c r="C668">
        <v>32811.043356881448</v>
      </c>
      <c r="D668" s="30">
        <f t="shared" si="21"/>
        <v>328.11043356881447</v>
      </c>
    </row>
    <row r="669" spans="1:4">
      <c r="A669" s="22">
        <f t="shared" si="20"/>
        <v>748.59160050211869</v>
      </c>
      <c r="B669">
        <v>7485.9160050211867</v>
      </c>
      <c r="C669">
        <v>32652.424061061447</v>
      </c>
      <c r="D669" s="30">
        <f t="shared" si="21"/>
        <v>326.52424061061447</v>
      </c>
    </row>
    <row r="670" spans="1:4">
      <c r="A670" s="22">
        <f t="shared" si="20"/>
        <v>749.71392673975299</v>
      </c>
      <c r="B670">
        <v>7497.1392673975297</v>
      </c>
      <c r="C670">
        <v>32493.804765241446</v>
      </c>
      <c r="D670" s="30">
        <f t="shared" si="21"/>
        <v>324.93804765241447</v>
      </c>
    </row>
    <row r="671" spans="1:4">
      <c r="A671" s="22">
        <f t="shared" si="20"/>
        <v>750.8362529773874</v>
      </c>
      <c r="B671">
        <v>7508.3625297738736</v>
      </c>
      <c r="C671">
        <v>32335.185469421445</v>
      </c>
      <c r="D671" s="30">
        <f t="shared" si="21"/>
        <v>323.35185469421447</v>
      </c>
    </row>
    <row r="672" spans="1:4">
      <c r="A672" s="22">
        <f t="shared" si="20"/>
        <v>751.9585792150217</v>
      </c>
      <c r="B672">
        <v>7519.5857921502175</v>
      </c>
      <c r="C672">
        <v>32176.566173601444</v>
      </c>
      <c r="D672" s="30">
        <f t="shared" si="21"/>
        <v>321.76566173601447</v>
      </c>
    </row>
    <row r="673" spans="1:4">
      <c r="A673" s="22">
        <f t="shared" si="20"/>
        <v>753.080905452656</v>
      </c>
      <c r="B673">
        <v>7530.8090545265604</v>
      </c>
      <c r="C673">
        <v>32017.946877781444</v>
      </c>
      <c r="D673" s="30">
        <f t="shared" si="21"/>
        <v>320.17946877781446</v>
      </c>
    </row>
    <row r="674" spans="1:4">
      <c r="A674" s="22">
        <f t="shared" si="20"/>
        <v>754.20323169029041</v>
      </c>
      <c r="B674">
        <v>7542.0323169029043</v>
      </c>
      <c r="C674">
        <v>31859.327581961443</v>
      </c>
      <c r="D674" s="30">
        <f t="shared" si="21"/>
        <v>318.59327581961441</v>
      </c>
    </row>
    <row r="675" spans="1:4">
      <c r="A675" s="22">
        <f t="shared" si="20"/>
        <v>755.32555792792482</v>
      </c>
      <c r="B675">
        <v>7553.2555792792482</v>
      </c>
      <c r="C675">
        <v>31700.708286141442</v>
      </c>
      <c r="D675" s="30">
        <f t="shared" si="21"/>
        <v>317.0070828614144</v>
      </c>
    </row>
    <row r="676" spans="1:4">
      <c r="A676" s="22">
        <f t="shared" si="20"/>
        <v>756.44788416555912</v>
      </c>
      <c r="B676">
        <v>7564.4788416555912</v>
      </c>
      <c r="C676">
        <v>31542.088990321441</v>
      </c>
      <c r="D676" s="30">
        <f t="shared" si="21"/>
        <v>315.4208899032144</v>
      </c>
    </row>
    <row r="677" spans="1:4">
      <c r="A677" s="22">
        <f t="shared" si="20"/>
        <v>757.57021040319353</v>
      </c>
      <c r="B677">
        <v>7575.7021040319351</v>
      </c>
      <c r="C677">
        <v>31383.46969450144</v>
      </c>
      <c r="D677" s="30">
        <f t="shared" si="21"/>
        <v>313.8346969450144</v>
      </c>
    </row>
    <row r="678" spans="1:4">
      <c r="A678" s="22">
        <f t="shared" si="20"/>
        <v>758.69253664082794</v>
      </c>
      <c r="B678">
        <v>7586.9253664082789</v>
      </c>
      <c r="C678">
        <v>31224.850398681439</v>
      </c>
      <c r="D678" s="30">
        <f t="shared" si="21"/>
        <v>312.2485039868144</v>
      </c>
    </row>
    <row r="679" spans="1:4">
      <c r="A679" s="22">
        <f t="shared" si="20"/>
        <v>759.81486287846224</v>
      </c>
      <c r="B679">
        <v>7598.1486287846219</v>
      </c>
      <c r="C679">
        <v>31066.231102861439</v>
      </c>
      <c r="D679" s="30">
        <f t="shared" si="21"/>
        <v>310.6623110286144</v>
      </c>
    </row>
    <row r="680" spans="1:4">
      <c r="A680" s="22">
        <f t="shared" si="20"/>
        <v>760.93718911609653</v>
      </c>
      <c r="B680">
        <v>7609.3718911609658</v>
      </c>
      <c r="C680">
        <v>30907.611807041438</v>
      </c>
      <c r="D680" s="30">
        <f t="shared" si="21"/>
        <v>309.0761180704144</v>
      </c>
    </row>
    <row r="681" spans="1:4">
      <c r="A681" s="22">
        <f t="shared" si="20"/>
        <v>762.05951535373094</v>
      </c>
      <c r="B681">
        <v>7620.5951535373097</v>
      </c>
      <c r="C681">
        <v>30748.992511221437</v>
      </c>
      <c r="D681" s="30">
        <f t="shared" si="21"/>
        <v>307.48992511221439</v>
      </c>
    </row>
    <row r="682" spans="1:4">
      <c r="A682" s="22">
        <f t="shared" si="20"/>
        <v>763.18184159136536</v>
      </c>
      <c r="B682">
        <v>7631.8184159136536</v>
      </c>
      <c r="C682">
        <v>30590.373215401436</v>
      </c>
      <c r="D682" s="30">
        <f t="shared" si="21"/>
        <v>305.90373215401434</v>
      </c>
    </row>
    <row r="683" spans="1:4">
      <c r="A683" s="22">
        <f t="shared" si="20"/>
        <v>764.30416782899965</v>
      </c>
      <c r="B683">
        <v>7643.0416782899965</v>
      </c>
      <c r="C683">
        <v>30431.753919581435</v>
      </c>
      <c r="D683" s="30">
        <f t="shared" si="21"/>
        <v>304.31753919581433</v>
      </c>
    </row>
    <row r="684" spans="1:4">
      <c r="A684" s="22">
        <f t="shared" si="20"/>
        <v>765.42649406663406</v>
      </c>
      <c r="B684">
        <v>7654.2649406663404</v>
      </c>
      <c r="C684">
        <v>30273.134623761434</v>
      </c>
      <c r="D684" s="30">
        <f t="shared" si="21"/>
        <v>302.73134623761433</v>
      </c>
    </row>
    <row r="685" spans="1:4">
      <c r="A685" s="22">
        <f t="shared" si="20"/>
        <v>766.54882030426847</v>
      </c>
      <c r="B685">
        <v>7665.4882030426843</v>
      </c>
      <c r="C685">
        <v>30114.515327941433</v>
      </c>
      <c r="D685" s="30">
        <f t="shared" si="21"/>
        <v>301.14515327941433</v>
      </c>
    </row>
    <row r="686" spans="1:4">
      <c r="A686" s="22">
        <f t="shared" si="20"/>
        <v>767.67114654190277</v>
      </c>
      <c r="B686">
        <v>7676.7114654190273</v>
      </c>
      <c r="C686">
        <v>29955.896032121433</v>
      </c>
      <c r="D686" s="30">
        <f t="shared" si="21"/>
        <v>299.55896032121433</v>
      </c>
    </row>
    <row r="687" spans="1:4">
      <c r="A687" s="22">
        <f t="shared" si="20"/>
        <v>768.79347277953707</v>
      </c>
      <c r="B687">
        <v>7687.9347277953711</v>
      </c>
      <c r="C687">
        <v>29797.276736301432</v>
      </c>
      <c r="D687" s="30">
        <f t="shared" si="21"/>
        <v>297.97276736301433</v>
      </c>
    </row>
    <row r="688" spans="1:4">
      <c r="A688" s="22">
        <f t="shared" si="20"/>
        <v>769.91579901717148</v>
      </c>
      <c r="B688">
        <v>7699.157990171715</v>
      </c>
      <c r="C688">
        <v>29638.657440481431</v>
      </c>
      <c r="D688" s="30">
        <f t="shared" si="21"/>
        <v>296.38657440481433</v>
      </c>
    </row>
    <row r="689" spans="1:4">
      <c r="A689" s="22">
        <f t="shared" si="20"/>
        <v>771.03812525480578</v>
      </c>
      <c r="B689">
        <v>7710.381252548058</v>
      </c>
      <c r="C689">
        <v>29480.03814466143</v>
      </c>
      <c r="D689" s="30">
        <f t="shared" si="21"/>
        <v>294.80038144661432</v>
      </c>
    </row>
    <row r="690" spans="1:4">
      <c r="A690" s="22">
        <f t="shared" si="20"/>
        <v>772.16045149244019</v>
      </c>
      <c r="B690">
        <v>7721.6045149244019</v>
      </c>
      <c r="C690">
        <v>29321.418848841429</v>
      </c>
      <c r="D690" s="30">
        <f t="shared" si="21"/>
        <v>293.21418848841427</v>
      </c>
    </row>
    <row r="691" spans="1:4">
      <c r="A691" s="22">
        <f t="shared" si="20"/>
        <v>773.2827777300746</v>
      </c>
      <c r="B691">
        <v>7732.8277773007458</v>
      </c>
      <c r="C691">
        <v>29162.799553021428</v>
      </c>
      <c r="D691" s="30">
        <f t="shared" si="21"/>
        <v>291.62799553021426</v>
      </c>
    </row>
    <row r="692" spans="1:4">
      <c r="A692" s="22">
        <f t="shared" si="20"/>
        <v>774.40510396770901</v>
      </c>
      <c r="B692">
        <v>7744.0510396770896</v>
      </c>
      <c r="C692">
        <v>29004.180257201428</v>
      </c>
      <c r="D692" s="30">
        <f t="shared" si="21"/>
        <v>290.04180257201426</v>
      </c>
    </row>
    <row r="693" spans="1:4">
      <c r="A693" s="22">
        <f t="shared" si="20"/>
        <v>775.52743020534331</v>
      </c>
      <c r="B693">
        <v>7755.2743020534326</v>
      </c>
      <c r="C693">
        <v>28845.560961381427</v>
      </c>
      <c r="D693" s="30">
        <f t="shared" si="21"/>
        <v>288.45560961381426</v>
      </c>
    </row>
    <row r="694" spans="1:4">
      <c r="A694" s="22">
        <f t="shared" si="20"/>
        <v>776.6497564429776</v>
      </c>
      <c r="B694">
        <v>7766.4975644297765</v>
      </c>
      <c r="C694">
        <v>28686.941665561426</v>
      </c>
      <c r="D694" s="30">
        <f t="shared" si="21"/>
        <v>286.86941665561426</v>
      </c>
    </row>
    <row r="695" spans="1:4">
      <c r="A695" s="22">
        <f t="shared" si="20"/>
        <v>777.77208268061202</v>
      </c>
      <c r="B695">
        <v>7777.7208268061204</v>
      </c>
      <c r="C695">
        <v>28528.322369741425</v>
      </c>
      <c r="D695" s="30">
        <f t="shared" si="21"/>
        <v>285.28322369741426</v>
      </c>
    </row>
    <row r="696" spans="1:4">
      <c r="A696" s="22">
        <f t="shared" si="20"/>
        <v>778.89440891824631</v>
      </c>
      <c r="B696">
        <v>7788.9440891824634</v>
      </c>
      <c r="C696">
        <v>28369.703073921424</v>
      </c>
      <c r="D696" s="30">
        <f t="shared" si="21"/>
        <v>283.69703073921426</v>
      </c>
    </row>
    <row r="697" spans="1:4">
      <c r="A697" s="22">
        <f t="shared" si="20"/>
        <v>780.01673515588072</v>
      </c>
      <c r="B697">
        <v>7800.1673515588072</v>
      </c>
      <c r="C697">
        <v>28211.083778101423</v>
      </c>
      <c r="D697" s="30">
        <f t="shared" si="21"/>
        <v>282.11083778101425</v>
      </c>
    </row>
    <row r="698" spans="1:4">
      <c r="A698" s="22">
        <f t="shared" si="20"/>
        <v>781.13906139351514</v>
      </c>
      <c r="B698">
        <v>7811.3906139351511</v>
      </c>
      <c r="C698">
        <v>28052.464482281423</v>
      </c>
      <c r="D698" s="30">
        <f t="shared" si="21"/>
        <v>280.52464482281425</v>
      </c>
    </row>
    <row r="699" spans="1:4">
      <c r="A699" s="22">
        <f t="shared" si="20"/>
        <v>782.26138763114943</v>
      </c>
      <c r="B699">
        <v>7822.6138763114941</v>
      </c>
      <c r="C699">
        <v>27893.845186461422</v>
      </c>
      <c r="D699" s="30">
        <f t="shared" si="21"/>
        <v>278.93845186461419</v>
      </c>
    </row>
    <row r="700" spans="1:4">
      <c r="A700" s="22">
        <f t="shared" si="20"/>
        <v>783.38371386878384</v>
      </c>
      <c r="B700">
        <v>7833.837138687838</v>
      </c>
      <c r="C700">
        <v>27735.225890641421</v>
      </c>
      <c r="D700" s="30">
        <f t="shared" si="21"/>
        <v>277.35225890641419</v>
      </c>
    </row>
    <row r="701" spans="1:4">
      <c r="A701" s="22">
        <f t="shared" si="20"/>
        <v>784.50604010641814</v>
      </c>
      <c r="B701">
        <v>7845.0604010641819</v>
      </c>
      <c r="C701">
        <v>27576.60659482142</v>
      </c>
      <c r="D701" s="30">
        <f t="shared" si="21"/>
        <v>275.76606594821419</v>
      </c>
    </row>
    <row r="702" spans="1:4">
      <c r="A702" s="22">
        <f t="shared" si="20"/>
        <v>785.62836634405255</v>
      </c>
      <c r="B702">
        <v>7856.2836634405257</v>
      </c>
      <c r="C702">
        <v>27417.987299001419</v>
      </c>
      <c r="D702" s="30">
        <f t="shared" si="21"/>
        <v>274.17987299001419</v>
      </c>
    </row>
    <row r="703" spans="1:4">
      <c r="A703" s="22">
        <f t="shared" si="20"/>
        <v>786.75069258168685</v>
      </c>
      <c r="B703">
        <v>7867.5069258168687</v>
      </c>
      <c r="C703">
        <v>27259.368003181418</v>
      </c>
      <c r="D703" s="30">
        <f t="shared" si="21"/>
        <v>272.59368003181419</v>
      </c>
    </row>
    <row r="704" spans="1:4">
      <c r="A704" s="22">
        <f t="shared" si="20"/>
        <v>787.87301881932126</v>
      </c>
      <c r="B704">
        <v>7878.7301881932126</v>
      </c>
      <c r="C704">
        <v>27100.748707361417</v>
      </c>
      <c r="D704" s="30">
        <f t="shared" si="21"/>
        <v>271.00748707361419</v>
      </c>
    </row>
    <row r="705" spans="1:4">
      <c r="A705" s="22">
        <f t="shared" si="20"/>
        <v>788.99534505695567</v>
      </c>
      <c r="B705">
        <v>7889.9534505695565</v>
      </c>
      <c r="C705">
        <v>26942.129411541417</v>
      </c>
      <c r="D705" s="30">
        <f t="shared" si="21"/>
        <v>269.42129411541418</v>
      </c>
    </row>
    <row r="706" spans="1:4">
      <c r="A706" s="22">
        <f t="shared" si="20"/>
        <v>790.11767129458997</v>
      </c>
      <c r="B706">
        <v>7901.1767129458995</v>
      </c>
      <c r="C706">
        <v>26783.510115721416</v>
      </c>
      <c r="D706" s="30">
        <f t="shared" si="21"/>
        <v>267.83510115721418</v>
      </c>
    </row>
    <row r="707" spans="1:4">
      <c r="A707" s="22">
        <f t="shared" ref="A707:A770" si="22">B707/10</f>
        <v>791.23999753222438</v>
      </c>
      <c r="B707">
        <v>7912.3999753222433</v>
      </c>
      <c r="C707">
        <v>26624.890819901415</v>
      </c>
      <c r="D707" s="30">
        <f t="shared" ref="D707:D770" si="23">C707/100</f>
        <v>266.24890819901412</v>
      </c>
    </row>
    <row r="708" spans="1:4">
      <c r="A708" s="22">
        <f t="shared" si="22"/>
        <v>792.36232376985868</v>
      </c>
      <c r="B708">
        <v>7923.6232376985872</v>
      </c>
      <c r="C708">
        <v>26466.271524081414</v>
      </c>
      <c r="D708" s="30">
        <f t="shared" si="23"/>
        <v>264.66271524081412</v>
      </c>
    </row>
    <row r="709" spans="1:4">
      <c r="A709" s="22">
        <f t="shared" si="22"/>
        <v>793.48465000749297</v>
      </c>
      <c r="B709">
        <v>7934.8465000749302</v>
      </c>
      <c r="C709">
        <v>26307.652228261413</v>
      </c>
      <c r="D709" s="30">
        <f t="shared" si="23"/>
        <v>263.07652228261412</v>
      </c>
    </row>
    <row r="710" spans="1:4">
      <c r="A710" s="22">
        <f t="shared" si="22"/>
        <v>794.60697624512738</v>
      </c>
      <c r="B710">
        <v>7946.0697624512741</v>
      </c>
      <c r="C710">
        <v>26149.032932441412</v>
      </c>
      <c r="D710" s="30">
        <f t="shared" si="23"/>
        <v>261.49032932441412</v>
      </c>
    </row>
    <row r="711" spans="1:4">
      <c r="A711" s="22">
        <f t="shared" si="22"/>
        <v>795.7293024827618</v>
      </c>
      <c r="B711">
        <v>7957.293024827618</v>
      </c>
      <c r="C711">
        <v>25990.413636621412</v>
      </c>
      <c r="D711" s="30">
        <f t="shared" si="23"/>
        <v>259.90413636621412</v>
      </c>
    </row>
    <row r="712" spans="1:4">
      <c r="A712" s="22">
        <f t="shared" si="22"/>
        <v>796.85162872039621</v>
      </c>
      <c r="B712">
        <v>7968.5162872039618</v>
      </c>
      <c r="C712">
        <v>25831.794340801411</v>
      </c>
      <c r="D712" s="30">
        <f t="shared" si="23"/>
        <v>258.31794340801412</v>
      </c>
    </row>
    <row r="713" spans="1:4">
      <c r="A713" s="22">
        <f t="shared" si="22"/>
        <v>797.9739549580305</v>
      </c>
      <c r="B713">
        <v>7979.7395495803048</v>
      </c>
      <c r="C713">
        <v>25673.17504498141</v>
      </c>
      <c r="D713" s="30">
        <f t="shared" si="23"/>
        <v>256.73175044981411</v>
      </c>
    </row>
    <row r="714" spans="1:4">
      <c r="A714" s="22">
        <f t="shared" si="22"/>
        <v>799.09628119566491</v>
      </c>
      <c r="B714">
        <v>7990.9628119566487</v>
      </c>
      <c r="C714">
        <v>25514.555749161409</v>
      </c>
      <c r="D714" s="30">
        <f t="shared" si="23"/>
        <v>255.14555749161408</v>
      </c>
    </row>
    <row r="715" spans="1:4">
      <c r="A715" s="22">
        <f t="shared" si="22"/>
        <v>800.21860743329921</v>
      </c>
      <c r="B715">
        <v>8002.1860743329926</v>
      </c>
      <c r="C715">
        <v>25355.936453341408</v>
      </c>
      <c r="D715" s="30">
        <f t="shared" si="23"/>
        <v>253.55936453341408</v>
      </c>
    </row>
    <row r="716" spans="1:4">
      <c r="A716" s="22">
        <f t="shared" si="22"/>
        <v>801.34093367093351</v>
      </c>
      <c r="B716">
        <v>8013.4093367093355</v>
      </c>
      <c r="C716">
        <v>25197.317157521407</v>
      </c>
      <c r="D716" s="30">
        <f t="shared" si="23"/>
        <v>251.97317157521408</v>
      </c>
    </row>
    <row r="717" spans="1:4">
      <c r="A717" s="22">
        <f t="shared" si="22"/>
        <v>802.46325990856792</v>
      </c>
      <c r="B717">
        <v>8024.6325990856794</v>
      </c>
      <c r="C717">
        <v>25038.697861701407</v>
      </c>
      <c r="D717" s="30">
        <f t="shared" si="23"/>
        <v>250.38697861701405</v>
      </c>
    </row>
    <row r="718" spans="1:4">
      <c r="A718" s="22">
        <f t="shared" si="22"/>
        <v>803.58558614620233</v>
      </c>
      <c r="B718">
        <v>8035.8558614620233</v>
      </c>
      <c r="C718">
        <v>24880.078565881406</v>
      </c>
      <c r="D718" s="30">
        <f t="shared" si="23"/>
        <v>248.80078565881405</v>
      </c>
    </row>
    <row r="719" spans="1:4">
      <c r="A719" s="22">
        <f t="shared" si="22"/>
        <v>804.70791238383663</v>
      </c>
      <c r="B719">
        <v>8047.0791238383663</v>
      </c>
      <c r="C719">
        <v>24721.459270061405</v>
      </c>
      <c r="D719" s="30">
        <f t="shared" si="23"/>
        <v>247.21459270061405</v>
      </c>
    </row>
    <row r="720" spans="1:4">
      <c r="A720" s="22">
        <f t="shared" si="22"/>
        <v>805.83023862147104</v>
      </c>
      <c r="B720">
        <v>8058.3023862147102</v>
      </c>
      <c r="C720">
        <v>24562.839974241404</v>
      </c>
      <c r="D720" s="30">
        <f t="shared" si="23"/>
        <v>245.62839974241405</v>
      </c>
    </row>
    <row r="721" spans="1:4">
      <c r="A721" s="22">
        <f t="shared" si="22"/>
        <v>806.95256485910545</v>
      </c>
      <c r="B721">
        <v>8069.5256485910541</v>
      </c>
      <c r="C721">
        <v>24404.220678421403</v>
      </c>
      <c r="D721" s="30">
        <f t="shared" si="23"/>
        <v>244.04220678421405</v>
      </c>
    </row>
    <row r="722" spans="1:4">
      <c r="A722" s="22">
        <f t="shared" si="22"/>
        <v>808.07489109673975</v>
      </c>
      <c r="B722">
        <v>8080.7489109673979</v>
      </c>
      <c r="C722">
        <v>24245.601382601402</v>
      </c>
      <c r="D722" s="30">
        <f t="shared" si="23"/>
        <v>242.45601382601401</v>
      </c>
    </row>
    <row r="723" spans="1:4">
      <c r="A723" s="22">
        <f t="shared" si="22"/>
        <v>809.19721733437405</v>
      </c>
      <c r="B723">
        <v>8091.9721733437409</v>
      </c>
      <c r="C723">
        <v>24086.982086781401</v>
      </c>
      <c r="D723" s="30">
        <f t="shared" si="23"/>
        <v>240.86982086781401</v>
      </c>
    </row>
    <row r="724" spans="1:4">
      <c r="A724" s="22">
        <f t="shared" si="22"/>
        <v>810.31954357200846</v>
      </c>
      <c r="B724">
        <v>8103.1954357200848</v>
      </c>
      <c r="C724">
        <v>23928.362790961401</v>
      </c>
      <c r="D724" s="30">
        <f t="shared" si="23"/>
        <v>239.28362790961401</v>
      </c>
    </row>
    <row r="725" spans="1:4">
      <c r="A725" s="22">
        <f t="shared" si="22"/>
        <v>811.44186980964287</v>
      </c>
      <c r="B725">
        <v>8114.4186980964287</v>
      </c>
      <c r="C725">
        <v>23769.7434951414</v>
      </c>
      <c r="D725" s="30">
        <f t="shared" si="23"/>
        <v>237.69743495141401</v>
      </c>
    </row>
    <row r="726" spans="1:4">
      <c r="A726" s="22">
        <f t="shared" si="22"/>
        <v>812.56419604727716</v>
      </c>
      <c r="B726">
        <v>8125.6419604727716</v>
      </c>
      <c r="C726">
        <v>23611.124199321399</v>
      </c>
      <c r="D726" s="30">
        <f t="shared" si="23"/>
        <v>236.11124199321398</v>
      </c>
    </row>
    <row r="727" spans="1:4">
      <c r="A727" s="22">
        <f t="shared" si="22"/>
        <v>813.68652228491158</v>
      </c>
      <c r="B727">
        <v>8136.8652228491155</v>
      </c>
      <c r="C727">
        <v>23452.504903501398</v>
      </c>
      <c r="D727" s="30">
        <f t="shared" si="23"/>
        <v>234.52504903501398</v>
      </c>
    </row>
    <row r="728" spans="1:4">
      <c r="A728" s="22">
        <f t="shared" si="22"/>
        <v>814.80884852254599</v>
      </c>
      <c r="B728">
        <v>8148.0884852254594</v>
      </c>
      <c r="C728">
        <v>23293.885607681397</v>
      </c>
      <c r="D728" s="30">
        <f t="shared" si="23"/>
        <v>232.93885607681398</v>
      </c>
    </row>
    <row r="729" spans="1:4">
      <c r="A729" s="22">
        <f t="shared" si="22"/>
        <v>815.93117476018028</v>
      </c>
      <c r="B729">
        <v>8159.3117476018024</v>
      </c>
      <c r="C729">
        <v>23135.266311861396</v>
      </c>
      <c r="D729" s="30">
        <f t="shared" si="23"/>
        <v>231.35266311861398</v>
      </c>
    </row>
    <row r="730" spans="1:4">
      <c r="A730" s="22">
        <f t="shared" si="22"/>
        <v>817.05350099781458</v>
      </c>
      <c r="B730">
        <v>8170.5350099781463</v>
      </c>
      <c r="C730">
        <v>22976.647016041396</v>
      </c>
      <c r="D730" s="30">
        <f t="shared" si="23"/>
        <v>229.76647016041395</v>
      </c>
    </row>
    <row r="731" spans="1:4">
      <c r="A731" s="22">
        <f t="shared" si="22"/>
        <v>818.17582723544899</v>
      </c>
      <c r="B731">
        <v>8181.7582723544901</v>
      </c>
      <c r="C731">
        <v>22818.027720221395</v>
      </c>
      <c r="D731" s="30">
        <f t="shared" si="23"/>
        <v>228.18027720221394</v>
      </c>
    </row>
    <row r="732" spans="1:4">
      <c r="A732" s="22">
        <f t="shared" si="22"/>
        <v>819.2981534730834</v>
      </c>
      <c r="B732">
        <v>8192.981534730834</v>
      </c>
      <c r="C732">
        <v>22659.408424401394</v>
      </c>
      <c r="D732" s="30">
        <f t="shared" si="23"/>
        <v>226.59408424401394</v>
      </c>
    </row>
    <row r="733" spans="1:4">
      <c r="A733" s="22">
        <f t="shared" si="22"/>
        <v>820.4204797107177</v>
      </c>
      <c r="B733">
        <v>8204.204797107177</v>
      </c>
      <c r="C733">
        <v>22500.789128581393</v>
      </c>
      <c r="D733" s="30">
        <f t="shared" si="23"/>
        <v>225.00789128581394</v>
      </c>
    </row>
    <row r="734" spans="1:4">
      <c r="A734" s="22">
        <f t="shared" si="22"/>
        <v>821.542805948352</v>
      </c>
      <c r="B734">
        <v>8215.42805948352</v>
      </c>
      <c r="C734">
        <v>22342.169832761392</v>
      </c>
      <c r="D734" s="30">
        <f t="shared" si="23"/>
        <v>223.42169832761391</v>
      </c>
    </row>
    <row r="735" spans="1:4">
      <c r="A735" s="22">
        <f t="shared" si="22"/>
        <v>822.66513218598652</v>
      </c>
      <c r="B735">
        <v>8226.6513218598648</v>
      </c>
      <c r="C735">
        <v>22183.550536941391</v>
      </c>
      <c r="D735" s="30">
        <f t="shared" si="23"/>
        <v>221.83550536941391</v>
      </c>
    </row>
    <row r="736" spans="1:4">
      <c r="A736" s="22">
        <f t="shared" si="22"/>
        <v>823.78745842362082</v>
      </c>
      <c r="B736">
        <v>8237.8745842362077</v>
      </c>
      <c r="C736">
        <v>22024.93124112139</v>
      </c>
      <c r="D736" s="30">
        <f t="shared" si="23"/>
        <v>220.24931241121391</v>
      </c>
    </row>
    <row r="737" spans="1:4">
      <c r="A737" s="22">
        <f t="shared" si="22"/>
        <v>824.90978466125512</v>
      </c>
      <c r="B737">
        <v>8249.0978466125507</v>
      </c>
      <c r="C737">
        <v>21866.31194530139</v>
      </c>
      <c r="D737" s="30">
        <f t="shared" si="23"/>
        <v>218.66311945301391</v>
      </c>
    </row>
    <row r="738" spans="1:4">
      <c r="A738" s="22">
        <f t="shared" si="22"/>
        <v>826.03211089888953</v>
      </c>
      <c r="B738">
        <v>8260.3211089888955</v>
      </c>
      <c r="C738">
        <v>21707.692649481389</v>
      </c>
      <c r="D738" s="30">
        <f t="shared" si="23"/>
        <v>217.07692649481388</v>
      </c>
    </row>
    <row r="739" spans="1:4">
      <c r="A739" s="22">
        <f t="shared" si="22"/>
        <v>827.15443713652382</v>
      </c>
      <c r="B739">
        <v>8271.5443713652385</v>
      </c>
      <c r="C739">
        <v>21549.073353661388</v>
      </c>
      <c r="D739" s="30">
        <f t="shared" si="23"/>
        <v>215.49073353661387</v>
      </c>
    </row>
    <row r="740" spans="1:4">
      <c r="A740" s="22">
        <f t="shared" si="22"/>
        <v>828.27676337415835</v>
      </c>
      <c r="B740">
        <v>8282.7676337415833</v>
      </c>
      <c r="C740">
        <v>21390.454057841387</v>
      </c>
      <c r="D740" s="30">
        <f t="shared" si="23"/>
        <v>213.90454057841387</v>
      </c>
    </row>
    <row r="741" spans="1:4">
      <c r="A741" s="22">
        <f t="shared" si="22"/>
        <v>829.39908961179265</v>
      </c>
      <c r="B741">
        <v>8293.9908961179262</v>
      </c>
      <c r="C741">
        <v>21231.834762021386</v>
      </c>
      <c r="D741" s="30">
        <f t="shared" si="23"/>
        <v>212.31834762021387</v>
      </c>
    </row>
    <row r="742" spans="1:4">
      <c r="A742" s="22">
        <f t="shared" si="22"/>
        <v>830.52141584942694</v>
      </c>
      <c r="B742">
        <v>8305.2141584942692</v>
      </c>
      <c r="C742">
        <v>21073.215466201385</v>
      </c>
      <c r="D742" s="30">
        <f t="shared" si="23"/>
        <v>210.73215466201384</v>
      </c>
    </row>
    <row r="743" spans="1:4">
      <c r="A743" s="22">
        <f t="shared" si="22"/>
        <v>831.64374208706136</v>
      </c>
      <c r="B743">
        <v>8316.437420870614</v>
      </c>
      <c r="C743">
        <v>20914.596170381385</v>
      </c>
      <c r="D743" s="30">
        <f t="shared" si="23"/>
        <v>209.14596170381384</v>
      </c>
    </row>
    <row r="744" spans="1:4">
      <c r="A744" s="22">
        <f t="shared" si="22"/>
        <v>832.76606832469565</v>
      </c>
      <c r="B744">
        <v>8327.660683246957</v>
      </c>
      <c r="C744">
        <v>20755.976874561384</v>
      </c>
      <c r="D744" s="30">
        <f t="shared" si="23"/>
        <v>207.55976874561384</v>
      </c>
    </row>
    <row r="745" spans="1:4">
      <c r="A745" s="22">
        <f t="shared" si="22"/>
        <v>833.88839456232995</v>
      </c>
      <c r="B745">
        <v>8338.8839456233</v>
      </c>
      <c r="C745">
        <v>20597.357578741383</v>
      </c>
      <c r="D745" s="30">
        <f t="shared" si="23"/>
        <v>205.97357578741384</v>
      </c>
    </row>
    <row r="746" spans="1:4">
      <c r="A746" s="22">
        <f t="shared" si="22"/>
        <v>835.01072079996447</v>
      </c>
      <c r="B746">
        <v>8350.1072079996447</v>
      </c>
      <c r="C746">
        <v>20438.738282921382</v>
      </c>
      <c r="D746" s="30">
        <f t="shared" si="23"/>
        <v>204.38738282921383</v>
      </c>
    </row>
    <row r="747" spans="1:4">
      <c r="A747" s="22">
        <f t="shared" si="22"/>
        <v>836.13304703759877</v>
      </c>
      <c r="B747">
        <v>8361.3304703759877</v>
      </c>
      <c r="C747">
        <v>20280.118987101381</v>
      </c>
      <c r="D747" s="30">
        <f t="shared" si="23"/>
        <v>202.8011898710138</v>
      </c>
    </row>
    <row r="748" spans="1:4">
      <c r="A748" s="22">
        <f t="shared" si="22"/>
        <v>837.25537327523307</v>
      </c>
      <c r="B748">
        <v>8372.5537327523307</v>
      </c>
      <c r="C748">
        <v>20121.49969128138</v>
      </c>
      <c r="D748" s="30">
        <f t="shared" si="23"/>
        <v>201.2149969128138</v>
      </c>
    </row>
    <row r="749" spans="1:4">
      <c r="A749" s="22">
        <f t="shared" si="22"/>
        <v>838.37769951286759</v>
      </c>
      <c r="B749">
        <v>8383.7769951286755</v>
      </c>
      <c r="C749">
        <v>19962.88039546138</v>
      </c>
      <c r="D749" s="30">
        <f t="shared" si="23"/>
        <v>199.6288039546138</v>
      </c>
    </row>
    <row r="750" spans="1:4">
      <c r="A750" s="22">
        <f t="shared" si="22"/>
        <v>839.50002575050189</v>
      </c>
      <c r="B750">
        <v>8395.0002575050185</v>
      </c>
      <c r="C750">
        <v>19804.261099641379</v>
      </c>
      <c r="D750" s="30">
        <f t="shared" si="23"/>
        <v>198.0426109964138</v>
      </c>
    </row>
    <row r="751" spans="1:4">
      <c r="A751" s="22">
        <f t="shared" si="22"/>
        <v>840.62235198813619</v>
      </c>
      <c r="B751">
        <v>8406.2235198813614</v>
      </c>
      <c r="C751">
        <v>19645.641803821378</v>
      </c>
      <c r="D751" s="30">
        <f t="shared" si="23"/>
        <v>196.45641803821377</v>
      </c>
    </row>
    <row r="752" spans="1:4">
      <c r="A752" s="22">
        <f t="shared" si="22"/>
        <v>841.7446782257706</v>
      </c>
      <c r="B752">
        <v>8417.4467822577062</v>
      </c>
      <c r="C752">
        <v>19487.022508001377</v>
      </c>
      <c r="D752" s="30">
        <f t="shared" si="23"/>
        <v>194.87022508001377</v>
      </c>
    </row>
    <row r="753" spans="1:4">
      <c r="A753" s="22">
        <f t="shared" si="22"/>
        <v>842.8670044634049</v>
      </c>
      <c r="B753">
        <v>8428.6700446340492</v>
      </c>
      <c r="C753">
        <v>19328.403212181376</v>
      </c>
      <c r="D753" s="30">
        <f t="shared" si="23"/>
        <v>193.28403212181377</v>
      </c>
    </row>
    <row r="754" spans="1:4">
      <c r="A754" s="22">
        <f t="shared" si="22"/>
        <v>843.98933070103919</v>
      </c>
      <c r="B754">
        <v>8439.8933070103922</v>
      </c>
      <c r="C754">
        <v>19169.783916361375</v>
      </c>
      <c r="D754" s="30">
        <f t="shared" si="23"/>
        <v>191.69783916361376</v>
      </c>
    </row>
    <row r="755" spans="1:4">
      <c r="A755" s="22">
        <f t="shared" si="22"/>
        <v>845.11165693867372</v>
      </c>
      <c r="B755">
        <v>8451.116569386737</v>
      </c>
      <c r="C755">
        <v>19011.164620541374</v>
      </c>
      <c r="D755" s="30">
        <f t="shared" si="23"/>
        <v>190.11164620541373</v>
      </c>
    </row>
    <row r="756" spans="1:4">
      <c r="A756" s="22">
        <f t="shared" si="22"/>
        <v>846.23398317630802</v>
      </c>
      <c r="B756">
        <v>8462.3398317630799</v>
      </c>
      <c r="C756">
        <v>18852.545324721374</v>
      </c>
      <c r="D756" s="30">
        <f t="shared" si="23"/>
        <v>188.52545324721373</v>
      </c>
    </row>
    <row r="757" spans="1:4">
      <c r="A757" s="22">
        <f t="shared" si="22"/>
        <v>847.35630941394231</v>
      </c>
      <c r="B757">
        <v>8473.5630941394229</v>
      </c>
      <c r="C757">
        <v>18693.926028901373</v>
      </c>
      <c r="D757" s="30">
        <f t="shared" si="23"/>
        <v>186.93926028901373</v>
      </c>
    </row>
    <row r="758" spans="1:4">
      <c r="A758" s="22">
        <f t="shared" si="22"/>
        <v>848.47863565157672</v>
      </c>
      <c r="B758">
        <v>8484.7863565157677</v>
      </c>
      <c r="C758">
        <v>18535.306733081372</v>
      </c>
      <c r="D758" s="30">
        <f t="shared" si="23"/>
        <v>185.35306733081373</v>
      </c>
    </row>
    <row r="759" spans="1:4">
      <c r="A759" s="22">
        <f t="shared" si="22"/>
        <v>849.60096188921102</v>
      </c>
      <c r="B759">
        <v>8496.0096188921107</v>
      </c>
      <c r="C759">
        <v>18376.687437261371</v>
      </c>
      <c r="D759" s="30">
        <f t="shared" si="23"/>
        <v>183.7668743726137</v>
      </c>
    </row>
    <row r="760" spans="1:4">
      <c r="A760" s="22">
        <f t="shared" si="22"/>
        <v>850.72328812684555</v>
      </c>
      <c r="B760">
        <v>8507.2328812684555</v>
      </c>
      <c r="C760">
        <v>18218.06814144137</v>
      </c>
      <c r="D760" s="30">
        <f t="shared" si="23"/>
        <v>182.1806814144137</v>
      </c>
    </row>
    <row r="761" spans="1:4">
      <c r="A761" s="22">
        <f t="shared" si="22"/>
        <v>851.84561436447984</v>
      </c>
      <c r="B761">
        <v>8518.4561436447984</v>
      </c>
      <c r="C761">
        <v>18059.448845621369</v>
      </c>
      <c r="D761" s="30">
        <f t="shared" si="23"/>
        <v>180.5944884562137</v>
      </c>
    </row>
    <row r="762" spans="1:4">
      <c r="A762" s="22">
        <f t="shared" si="22"/>
        <v>852.96794060211414</v>
      </c>
      <c r="B762">
        <v>8529.6794060211414</v>
      </c>
      <c r="C762">
        <v>17900.829549801369</v>
      </c>
      <c r="D762" s="30">
        <f t="shared" si="23"/>
        <v>179.00829549801369</v>
      </c>
    </row>
    <row r="763" spans="1:4">
      <c r="A763" s="22">
        <f t="shared" si="22"/>
        <v>854.09026683974867</v>
      </c>
      <c r="B763">
        <v>8540.9026683974862</v>
      </c>
      <c r="C763">
        <v>17742.210253981368</v>
      </c>
      <c r="D763" s="30">
        <f t="shared" si="23"/>
        <v>177.42210253981366</v>
      </c>
    </row>
    <row r="764" spans="1:4">
      <c r="A764" s="22">
        <f t="shared" si="22"/>
        <v>855.21259307738296</v>
      </c>
      <c r="B764">
        <v>8552.1259307738292</v>
      </c>
      <c r="C764">
        <v>17583.590958161367</v>
      </c>
      <c r="D764" s="30">
        <f t="shared" si="23"/>
        <v>175.83590958161366</v>
      </c>
    </row>
    <row r="765" spans="1:4">
      <c r="A765" s="22">
        <f t="shared" si="22"/>
        <v>856.33491931501726</v>
      </c>
      <c r="B765">
        <v>8563.3491931501721</v>
      </c>
      <c r="C765">
        <v>17424.971662341366</v>
      </c>
      <c r="D765" s="30">
        <f t="shared" si="23"/>
        <v>174.24971662341366</v>
      </c>
    </row>
    <row r="766" spans="1:4">
      <c r="A766" s="22">
        <f t="shared" si="22"/>
        <v>857.45724555265167</v>
      </c>
      <c r="B766">
        <v>8574.5724555265169</v>
      </c>
      <c r="C766">
        <v>17266.352366521365</v>
      </c>
      <c r="D766" s="30">
        <f t="shared" si="23"/>
        <v>172.66352366521366</v>
      </c>
    </row>
    <row r="767" spans="1:4">
      <c r="A767" s="22">
        <f t="shared" si="22"/>
        <v>858.57957179028597</v>
      </c>
      <c r="B767">
        <v>8585.7957179028599</v>
      </c>
      <c r="C767">
        <v>17107.733070701364</v>
      </c>
      <c r="D767" s="30">
        <f t="shared" si="23"/>
        <v>171.07733070701363</v>
      </c>
    </row>
    <row r="768" spans="1:4">
      <c r="A768" s="22">
        <f t="shared" si="22"/>
        <v>859.70189802792027</v>
      </c>
      <c r="B768">
        <v>8597.0189802792029</v>
      </c>
      <c r="C768">
        <v>16949.113774881363</v>
      </c>
      <c r="D768" s="30">
        <f t="shared" si="23"/>
        <v>169.49113774881363</v>
      </c>
    </row>
    <row r="769" spans="1:4">
      <c r="A769" s="22">
        <f t="shared" si="22"/>
        <v>860.82422426555479</v>
      </c>
      <c r="B769">
        <v>8608.2422426555477</v>
      </c>
      <c r="C769">
        <v>16790.494479061363</v>
      </c>
      <c r="D769" s="30">
        <f t="shared" si="23"/>
        <v>167.90494479061363</v>
      </c>
    </row>
    <row r="770" spans="1:4">
      <c r="A770" s="22">
        <f t="shared" si="22"/>
        <v>861.94655050318909</v>
      </c>
      <c r="B770">
        <v>8619.4655050318906</v>
      </c>
      <c r="C770">
        <v>16631.875183241362</v>
      </c>
      <c r="D770" s="30">
        <f t="shared" si="23"/>
        <v>166.31875183241362</v>
      </c>
    </row>
    <row r="771" spans="1:4">
      <c r="A771" s="22">
        <f t="shared" ref="A771:A834" si="24">B771/10</f>
        <v>863.06887674082338</v>
      </c>
      <c r="B771">
        <v>8630.6887674082336</v>
      </c>
      <c r="C771">
        <v>16473.255887421361</v>
      </c>
      <c r="D771" s="30">
        <f t="shared" ref="D771:D834" si="25">C771/100</f>
        <v>164.73255887421362</v>
      </c>
    </row>
    <row r="772" spans="1:4">
      <c r="A772" s="22">
        <f t="shared" si="24"/>
        <v>864.1912029784578</v>
      </c>
      <c r="B772">
        <v>8641.9120297845784</v>
      </c>
      <c r="C772">
        <v>16314.63659160136</v>
      </c>
      <c r="D772" s="30">
        <f t="shared" si="25"/>
        <v>163.14636591601359</v>
      </c>
    </row>
    <row r="773" spans="1:4">
      <c r="A773" s="22">
        <f t="shared" si="24"/>
        <v>865.31352921609209</v>
      </c>
      <c r="B773">
        <v>8653.1352921609214</v>
      </c>
      <c r="C773">
        <v>16156.017295781359</v>
      </c>
      <c r="D773" s="30">
        <f t="shared" si="25"/>
        <v>161.56017295781359</v>
      </c>
    </row>
    <row r="774" spans="1:4">
      <c r="A774" s="22">
        <f t="shared" si="24"/>
        <v>866.43585545372639</v>
      </c>
      <c r="B774">
        <v>8664.3585545372644</v>
      </c>
      <c r="C774">
        <v>15997.397999961358</v>
      </c>
      <c r="D774" s="30">
        <f t="shared" si="25"/>
        <v>159.97397999961359</v>
      </c>
    </row>
    <row r="775" spans="1:4">
      <c r="A775" s="22">
        <f t="shared" si="24"/>
        <v>867.55818169136091</v>
      </c>
      <c r="B775">
        <v>8675.5818169136091</v>
      </c>
      <c r="C775">
        <v>15838.778704141358</v>
      </c>
      <c r="D775" s="30">
        <f t="shared" si="25"/>
        <v>158.38778704141359</v>
      </c>
    </row>
    <row r="776" spans="1:4">
      <c r="A776" s="22">
        <f t="shared" si="24"/>
        <v>868.68050792899521</v>
      </c>
      <c r="B776">
        <v>8686.8050792899521</v>
      </c>
      <c r="C776">
        <v>15680.159408321357</v>
      </c>
      <c r="D776" s="30">
        <f t="shared" si="25"/>
        <v>156.80159408321356</v>
      </c>
    </row>
    <row r="777" spans="1:4">
      <c r="A777" s="22">
        <f t="shared" si="24"/>
        <v>869.80283416662951</v>
      </c>
      <c r="B777">
        <v>8698.0283416662951</v>
      </c>
      <c r="C777">
        <v>15521.540112501356</v>
      </c>
      <c r="D777" s="30">
        <f t="shared" si="25"/>
        <v>155.21540112501356</v>
      </c>
    </row>
    <row r="778" spans="1:4">
      <c r="A778" s="22">
        <f t="shared" si="24"/>
        <v>870.92516040426403</v>
      </c>
      <c r="B778">
        <v>8709.2516040426399</v>
      </c>
      <c r="C778">
        <v>15362.920816681355</v>
      </c>
      <c r="D778" s="30">
        <f t="shared" si="25"/>
        <v>153.62920816681356</v>
      </c>
    </row>
    <row r="779" spans="1:4">
      <c r="A779" s="22">
        <f t="shared" si="24"/>
        <v>872.04748664189833</v>
      </c>
      <c r="B779">
        <v>8720.4748664189829</v>
      </c>
      <c r="C779">
        <v>15204.301520861354</v>
      </c>
      <c r="D779" s="30">
        <f t="shared" si="25"/>
        <v>152.04301520861355</v>
      </c>
    </row>
    <row r="780" spans="1:4">
      <c r="A780" s="22">
        <f t="shared" si="24"/>
        <v>873.16981287953263</v>
      </c>
      <c r="B780">
        <v>8731.6981287953258</v>
      </c>
      <c r="C780">
        <v>15045.682225041353</v>
      </c>
      <c r="D780" s="30">
        <f t="shared" si="25"/>
        <v>150.45682225041352</v>
      </c>
    </row>
    <row r="781" spans="1:4">
      <c r="A781" s="22">
        <f t="shared" si="24"/>
        <v>874.29213911716704</v>
      </c>
      <c r="B781">
        <v>8742.9213911716706</v>
      </c>
      <c r="C781">
        <v>14887.062929221353</v>
      </c>
      <c r="D781" s="30">
        <f t="shared" si="25"/>
        <v>148.87062929221352</v>
      </c>
    </row>
    <row r="782" spans="1:4">
      <c r="A782" s="22">
        <f t="shared" si="24"/>
        <v>875.41446535480134</v>
      </c>
      <c r="B782">
        <v>8754.1446535480136</v>
      </c>
      <c r="C782">
        <v>14728.443633401352</v>
      </c>
      <c r="D782" s="30">
        <f t="shared" si="25"/>
        <v>147.28443633401352</v>
      </c>
    </row>
    <row r="783" spans="1:4">
      <c r="A783" s="22">
        <f t="shared" si="24"/>
        <v>876.53679159243586</v>
      </c>
      <c r="B783">
        <v>8765.3679159243584</v>
      </c>
      <c r="C783">
        <v>14569.824337581351</v>
      </c>
      <c r="D783" s="30">
        <f t="shared" si="25"/>
        <v>145.69824337581352</v>
      </c>
    </row>
    <row r="784" spans="1:4">
      <c r="A784" s="22">
        <f t="shared" si="24"/>
        <v>877.65911783007016</v>
      </c>
      <c r="B784">
        <v>8776.5911783007014</v>
      </c>
      <c r="C784">
        <v>14411.20504176135</v>
      </c>
      <c r="D784" s="30">
        <f t="shared" si="25"/>
        <v>144.11205041761349</v>
      </c>
    </row>
    <row r="785" spans="1:4">
      <c r="A785" s="22">
        <f t="shared" si="24"/>
        <v>878.78144406770446</v>
      </c>
      <c r="B785">
        <v>8787.8144406770443</v>
      </c>
      <c r="C785">
        <v>14252.585745941349</v>
      </c>
      <c r="D785" s="30">
        <f t="shared" si="25"/>
        <v>142.52585745941349</v>
      </c>
    </row>
    <row r="786" spans="1:4">
      <c r="A786" s="22">
        <f t="shared" si="24"/>
        <v>879.90377030533887</v>
      </c>
      <c r="B786">
        <v>8799.0377030533891</v>
      </c>
      <c r="C786">
        <v>14093.966450121348</v>
      </c>
      <c r="D786" s="30">
        <f t="shared" si="25"/>
        <v>140.93966450121349</v>
      </c>
    </row>
    <row r="787" spans="1:4">
      <c r="A787" s="22">
        <f t="shared" si="24"/>
        <v>881.02609654297316</v>
      </c>
      <c r="B787">
        <v>8810.2609654297321</v>
      </c>
      <c r="C787">
        <v>13935.347154301347</v>
      </c>
      <c r="D787" s="30">
        <f t="shared" si="25"/>
        <v>139.35347154301348</v>
      </c>
    </row>
    <row r="788" spans="1:4">
      <c r="A788" s="22">
        <f t="shared" si="24"/>
        <v>882.14842278060746</v>
      </c>
      <c r="B788">
        <v>8821.4842278060751</v>
      </c>
      <c r="C788">
        <v>13776.727858481347</v>
      </c>
      <c r="D788" s="30">
        <f t="shared" si="25"/>
        <v>137.76727858481345</v>
      </c>
    </row>
    <row r="789" spans="1:4">
      <c r="A789" s="22">
        <f t="shared" si="24"/>
        <v>883.27074901824199</v>
      </c>
      <c r="B789">
        <v>8832.7074901824199</v>
      </c>
      <c r="C789">
        <v>13618.108562661346</v>
      </c>
      <c r="D789" s="30">
        <f t="shared" si="25"/>
        <v>136.18108562661345</v>
      </c>
    </row>
    <row r="790" spans="1:4">
      <c r="A790" s="22">
        <f t="shared" si="24"/>
        <v>884.39307525587628</v>
      </c>
      <c r="B790">
        <v>8843.9307525587628</v>
      </c>
      <c r="C790">
        <v>13459.489266841345</v>
      </c>
      <c r="D790" s="30">
        <f t="shared" si="25"/>
        <v>134.59489266841345</v>
      </c>
    </row>
    <row r="791" spans="1:4">
      <c r="A791" s="22">
        <f t="shared" si="24"/>
        <v>885.51540149351058</v>
      </c>
      <c r="B791">
        <v>8855.1540149351058</v>
      </c>
      <c r="C791">
        <v>13300.869971021344</v>
      </c>
      <c r="D791" s="30">
        <f t="shared" si="25"/>
        <v>133.00869971021345</v>
      </c>
    </row>
    <row r="792" spans="1:4">
      <c r="A792" s="22">
        <f t="shared" si="24"/>
        <v>886.63772773114511</v>
      </c>
      <c r="B792">
        <v>8866.3772773114506</v>
      </c>
      <c r="C792">
        <v>13142.250675201343</v>
      </c>
      <c r="D792" s="30">
        <f t="shared" si="25"/>
        <v>131.42250675201342</v>
      </c>
    </row>
    <row r="793" spans="1:4">
      <c r="A793" s="22">
        <f t="shared" si="24"/>
        <v>887.7600539687794</v>
      </c>
      <c r="B793">
        <v>8877.6005396877936</v>
      </c>
      <c r="C793">
        <v>12983.631379381342</v>
      </c>
      <c r="D793" s="30">
        <f t="shared" si="25"/>
        <v>129.83631379381342</v>
      </c>
    </row>
    <row r="794" spans="1:4">
      <c r="A794" s="22">
        <f t="shared" si="24"/>
        <v>888.8823802064137</v>
      </c>
      <c r="B794">
        <v>8888.8238020641365</v>
      </c>
      <c r="C794">
        <v>12825.012083561342</v>
      </c>
      <c r="D794" s="30">
        <f t="shared" si="25"/>
        <v>128.25012083561342</v>
      </c>
    </row>
    <row r="795" spans="1:4">
      <c r="A795" s="22">
        <f t="shared" si="24"/>
        <v>890.00470644404811</v>
      </c>
      <c r="B795">
        <v>8900.0470644404813</v>
      </c>
      <c r="C795">
        <v>12666.392787741341</v>
      </c>
      <c r="D795" s="30">
        <f t="shared" si="25"/>
        <v>126.66392787741341</v>
      </c>
    </row>
    <row r="796" spans="1:4">
      <c r="A796" s="22">
        <f t="shared" si="24"/>
        <v>891.12703268168241</v>
      </c>
      <c r="B796">
        <v>8911.2703268168243</v>
      </c>
      <c r="C796">
        <v>12507.77349192134</v>
      </c>
      <c r="D796" s="30">
        <f t="shared" si="25"/>
        <v>125.0777349192134</v>
      </c>
    </row>
    <row r="797" spans="1:4">
      <c r="A797" s="22">
        <f t="shared" si="24"/>
        <v>892.24935891931671</v>
      </c>
      <c r="B797">
        <v>8922.4935891931673</v>
      </c>
      <c r="C797">
        <v>12349.154196101339</v>
      </c>
      <c r="D797" s="30">
        <f t="shared" si="25"/>
        <v>123.4915419610134</v>
      </c>
    </row>
    <row r="798" spans="1:4">
      <c r="A798" s="22">
        <f t="shared" si="24"/>
        <v>893.37168515695123</v>
      </c>
      <c r="B798">
        <v>8933.7168515695121</v>
      </c>
      <c r="C798">
        <v>12190.534900281338</v>
      </c>
      <c r="D798" s="30">
        <f t="shared" si="25"/>
        <v>121.90534900281338</v>
      </c>
    </row>
    <row r="799" spans="1:4">
      <c r="A799" s="22">
        <f t="shared" si="24"/>
        <v>894.49401139458553</v>
      </c>
      <c r="B799">
        <v>8944.940113945855</v>
      </c>
      <c r="C799">
        <v>12031.915604461337</v>
      </c>
      <c r="D799" s="30">
        <f t="shared" si="25"/>
        <v>120.31915604461338</v>
      </c>
    </row>
    <row r="800" spans="1:4">
      <c r="A800" s="22">
        <f t="shared" si="24"/>
        <v>895.61633763221982</v>
      </c>
      <c r="B800">
        <v>8956.163376322198</v>
      </c>
      <c r="C800">
        <v>11873.296308641337</v>
      </c>
      <c r="D800" s="30">
        <f t="shared" si="25"/>
        <v>118.73296308641336</v>
      </c>
    </row>
    <row r="801" spans="1:4">
      <c r="A801" s="22">
        <f t="shared" si="24"/>
        <v>896.73866386985424</v>
      </c>
      <c r="B801">
        <v>8967.3866386985428</v>
      </c>
      <c r="C801">
        <v>11714.677012821336</v>
      </c>
      <c r="D801" s="30">
        <f t="shared" si="25"/>
        <v>117.14677012821336</v>
      </c>
    </row>
    <row r="802" spans="1:4">
      <c r="A802" s="22">
        <f t="shared" si="24"/>
        <v>897.86099010748853</v>
      </c>
      <c r="B802">
        <v>8978.6099010748858</v>
      </c>
      <c r="C802">
        <v>11556.057717001335</v>
      </c>
      <c r="D802" s="30">
        <f t="shared" si="25"/>
        <v>115.56057717001335</v>
      </c>
    </row>
    <row r="803" spans="1:4">
      <c r="A803" s="22">
        <f t="shared" si="24"/>
        <v>898.98331634512306</v>
      </c>
      <c r="B803">
        <v>8989.8331634512306</v>
      </c>
      <c r="C803">
        <v>11397.438421181334</v>
      </c>
      <c r="D803" s="30">
        <f t="shared" si="25"/>
        <v>113.97438421181334</v>
      </c>
    </row>
    <row r="804" spans="1:4">
      <c r="A804" s="22">
        <f t="shared" si="24"/>
        <v>900.10564258275735</v>
      </c>
      <c r="B804">
        <v>9001.0564258275735</v>
      </c>
      <c r="C804">
        <v>11238.819125361333</v>
      </c>
      <c r="D804" s="30">
        <f t="shared" si="25"/>
        <v>112.38819125361333</v>
      </c>
    </row>
    <row r="805" spans="1:4">
      <c r="A805" s="22">
        <f t="shared" si="24"/>
        <v>901.22796882039165</v>
      </c>
      <c r="B805">
        <v>9012.2796882039165</v>
      </c>
      <c r="C805">
        <v>11080.199829541332</v>
      </c>
      <c r="D805" s="30">
        <f t="shared" si="25"/>
        <v>110.80199829541333</v>
      </c>
    </row>
    <row r="806" spans="1:4">
      <c r="A806" s="22">
        <f t="shared" si="24"/>
        <v>902.35029505802618</v>
      </c>
      <c r="B806">
        <v>9023.5029505802613</v>
      </c>
      <c r="C806">
        <v>10921.580533721331</v>
      </c>
      <c r="D806" s="30">
        <f t="shared" si="25"/>
        <v>109.21580533721331</v>
      </c>
    </row>
    <row r="807" spans="1:4">
      <c r="A807" s="22">
        <f t="shared" si="24"/>
        <v>903.47262129566047</v>
      </c>
      <c r="B807">
        <v>9034.7262129566043</v>
      </c>
      <c r="C807">
        <v>10762.961237901331</v>
      </c>
      <c r="D807" s="30">
        <f t="shared" si="25"/>
        <v>107.62961237901331</v>
      </c>
    </row>
    <row r="808" spans="1:4">
      <c r="A808" s="22">
        <f t="shared" si="24"/>
        <v>904.59494753329477</v>
      </c>
      <c r="B808">
        <v>9045.9494753329473</v>
      </c>
      <c r="C808">
        <v>10604.34194208133</v>
      </c>
      <c r="D808" s="30">
        <f t="shared" si="25"/>
        <v>106.04341942081329</v>
      </c>
    </row>
    <row r="809" spans="1:4">
      <c r="A809" s="22">
        <f t="shared" si="24"/>
        <v>905.71727377092918</v>
      </c>
      <c r="B809">
        <v>9057.1727377092921</v>
      </c>
      <c r="C809">
        <v>10445.722646261329</v>
      </c>
      <c r="D809" s="30">
        <f t="shared" si="25"/>
        <v>104.45722646261329</v>
      </c>
    </row>
    <row r="810" spans="1:4">
      <c r="A810" s="22">
        <f t="shared" si="24"/>
        <v>906.83960000856348</v>
      </c>
      <c r="B810">
        <v>9068.396000085635</v>
      </c>
      <c r="C810">
        <v>10287.103350441328</v>
      </c>
      <c r="D810" s="30">
        <f t="shared" si="25"/>
        <v>102.87103350441328</v>
      </c>
    </row>
    <row r="811" spans="1:4">
      <c r="A811" s="22">
        <f t="shared" si="24"/>
        <v>907.96192624619778</v>
      </c>
      <c r="B811">
        <v>9079.619262461978</v>
      </c>
      <c r="C811">
        <v>10128.484054621327</v>
      </c>
      <c r="D811" s="30">
        <f t="shared" si="25"/>
        <v>101.28484054621327</v>
      </c>
    </row>
    <row r="812" spans="1:4">
      <c r="A812" s="22">
        <f t="shared" si="24"/>
        <v>909.0842524838323</v>
      </c>
      <c r="B812">
        <v>9090.8425248383228</v>
      </c>
      <c r="C812">
        <v>9969.8647588013264</v>
      </c>
      <c r="D812" s="30">
        <f t="shared" si="25"/>
        <v>99.698647588013259</v>
      </c>
    </row>
    <row r="813" spans="1:4">
      <c r="A813" s="22">
        <f t="shared" si="24"/>
        <v>910.2065787214666</v>
      </c>
      <c r="B813">
        <v>9102.0657872146658</v>
      </c>
      <c r="C813">
        <v>9811.2454629813255</v>
      </c>
      <c r="D813" s="30">
        <f t="shared" si="25"/>
        <v>98.112454629813257</v>
      </c>
    </row>
    <row r="814" spans="1:4">
      <c r="A814" s="22">
        <f t="shared" si="24"/>
        <v>911.3289049591009</v>
      </c>
      <c r="B814">
        <v>9113.2890495910087</v>
      </c>
      <c r="C814">
        <v>9652.6261671613247</v>
      </c>
      <c r="D814" s="30">
        <f t="shared" si="25"/>
        <v>96.526261671613241</v>
      </c>
    </row>
    <row r="815" spans="1:4">
      <c r="A815" s="22">
        <f t="shared" si="24"/>
        <v>912.45123119673531</v>
      </c>
      <c r="B815">
        <v>9124.5123119673535</v>
      </c>
      <c r="C815">
        <v>9494.0068713413239</v>
      </c>
      <c r="D815" s="30">
        <f t="shared" si="25"/>
        <v>94.94006871341324</v>
      </c>
    </row>
    <row r="816" spans="1:4">
      <c r="A816" s="22">
        <f t="shared" si="24"/>
        <v>913.5735574343696</v>
      </c>
      <c r="B816">
        <v>9135.7355743436965</v>
      </c>
      <c r="C816">
        <v>9335.387575521323</v>
      </c>
      <c r="D816" s="30">
        <f t="shared" si="25"/>
        <v>93.353875755213224</v>
      </c>
    </row>
    <row r="817" spans="1:4">
      <c r="A817" s="22">
        <f t="shared" si="24"/>
        <v>914.6958836720039</v>
      </c>
      <c r="B817">
        <v>9146.9588367200395</v>
      </c>
      <c r="C817">
        <v>9176.7682797013222</v>
      </c>
      <c r="D817" s="30">
        <f t="shared" si="25"/>
        <v>91.767682797013222</v>
      </c>
    </row>
    <row r="818" spans="1:4">
      <c r="A818" s="22">
        <f t="shared" si="24"/>
        <v>915.81820990963843</v>
      </c>
      <c r="B818">
        <v>9158.1820990963843</v>
      </c>
      <c r="C818">
        <v>9018.1489838813213</v>
      </c>
      <c r="D818" s="30">
        <f t="shared" si="25"/>
        <v>90.181489838813206</v>
      </c>
    </row>
    <row r="819" spans="1:4">
      <c r="A819" s="22">
        <f t="shared" si="24"/>
        <v>916.94053614727272</v>
      </c>
      <c r="B819">
        <v>9169.4053614727272</v>
      </c>
      <c r="C819">
        <v>8859.5296880613205</v>
      </c>
      <c r="D819" s="30">
        <f t="shared" si="25"/>
        <v>88.595296880613205</v>
      </c>
    </row>
    <row r="820" spans="1:4">
      <c r="A820" s="22">
        <f t="shared" si="24"/>
        <v>918.06286238490702</v>
      </c>
      <c r="B820">
        <v>9180.6286238490702</v>
      </c>
      <c r="C820">
        <v>8700.9103922413196</v>
      </c>
      <c r="D820" s="30">
        <f t="shared" si="25"/>
        <v>87.009103922413203</v>
      </c>
    </row>
    <row r="821" spans="1:4">
      <c r="A821" s="22">
        <f t="shared" si="24"/>
        <v>919.18518862254155</v>
      </c>
      <c r="B821">
        <v>9191.851886225415</v>
      </c>
      <c r="C821">
        <v>8542.2910964213188</v>
      </c>
      <c r="D821" s="30">
        <f t="shared" si="25"/>
        <v>85.422910964213187</v>
      </c>
    </row>
    <row r="822" spans="1:4">
      <c r="A822" s="22">
        <f t="shared" si="24"/>
        <v>920.30751486017584</v>
      </c>
      <c r="B822">
        <v>9203.075148601758</v>
      </c>
      <c r="C822">
        <v>8383.671800601318</v>
      </c>
      <c r="D822" s="30">
        <f t="shared" si="25"/>
        <v>83.836718006013186</v>
      </c>
    </row>
    <row r="823" spans="1:4">
      <c r="A823" s="22">
        <f t="shared" si="24"/>
        <v>921.42984109781014</v>
      </c>
      <c r="B823">
        <v>9214.2984109781009</v>
      </c>
      <c r="C823">
        <v>8225.0525047813171</v>
      </c>
      <c r="D823" s="30">
        <f t="shared" si="25"/>
        <v>82.25052504781317</v>
      </c>
    </row>
    <row r="824" spans="1:4">
      <c r="A824" s="22">
        <f t="shared" si="24"/>
        <v>922.55216733544455</v>
      </c>
      <c r="B824">
        <v>9225.5216733544457</v>
      </c>
      <c r="C824">
        <v>8066.4332089613172</v>
      </c>
      <c r="D824" s="30">
        <f t="shared" si="25"/>
        <v>80.664332089613168</v>
      </c>
    </row>
    <row r="825" spans="1:4">
      <c r="A825" s="22">
        <f t="shared" si="24"/>
        <v>923.67449357307885</v>
      </c>
      <c r="B825">
        <v>9236.7449357307887</v>
      </c>
      <c r="C825">
        <v>7907.8139131413172</v>
      </c>
      <c r="D825" s="30">
        <f t="shared" si="25"/>
        <v>79.078139131413167</v>
      </c>
    </row>
    <row r="826" spans="1:4">
      <c r="A826" s="22">
        <f t="shared" si="24"/>
        <v>924.79681981071337</v>
      </c>
      <c r="B826">
        <v>9247.9681981071335</v>
      </c>
      <c r="C826">
        <v>7749.1946173213173</v>
      </c>
      <c r="D826" s="30">
        <f t="shared" si="25"/>
        <v>77.491946173213179</v>
      </c>
    </row>
    <row r="827" spans="1:4">
      <c r="A827" s="22">
        <f t="shared" si="24"/>
        <v>925.91914604834767</v>
      </c>
      <c r="B827">
        <v>9259.1914604834765</v>
      </c>
      <c r="C827">
        <v>7590.5753215013174</v>
      </c>
      <c r="D827" s="30">
        <f t="shared" si="25"/>
        <v>75.905753215013178</v>
      </c>
    </row>
    <row r="828" spans="1:4">
      <c r="A828" s="22">
        <f t="shared" si="24"/>
        <v>927.04147228598197</v>
      </c>
      <c r="B828">
        <v>9270.4147228598194</v>
      </c>
      <c r="C828">
        <v>7431.9560256813174</v>
      </c>
      <c r="D828" s="30">
        <f t="shared" si="25"/>
        <v>74.319560256813176</v>
      </c>
    </row>
    <row r="829" spans="1:4">
      <c r="A829" s="22">
        <f t="shared" si="24"/>
        <v>928.16379852361638</v>
      </c>
      <c r="B829">
        <v>9281.6379852361642</v>
      </c>
      <c r="C829">
        <v>7273.3367298613175</v>
      </c>
      <c r="D829" s="30">
        <f t="shared" si="25"/>
        <v>72.733367298613175</v>
      </c>
    </row>
    <row r="830" spans="1:4">
      <c r="A830" s="22">
        <f t="shared" si="24"/>
        <v>929.28612476125068</v>
      </c>
      <c r="B830">
        <v>9292.8612476125072</v>
      </c>
      <c r="C830">
        <v>7114.7174340413176</v>
      </c>
      <c r="D830" s="30">
        <f t="shared" si="25"/>
        <v>71.147174340413173</v>
      </c>
    </row>
    <row r="831" spans="1:4">
      <c r="A831" s="22">
        <f t="shared" si="24"/>
        <v>930.40845099888497</v>
      </c>
      <c r="B831">
        <v>9304.0845099888502</v>
      </c>
      <c r="C831">
        <v>6956.0981382213176</v>
      </c>
      <c r="D831" s="30">
        <f t="shared" si="25"/>
        <v>69.560981382213171</v>
      </c>
    </row>
    <row r="832" spans="1:4">
      <c r="A832" s="22">
        <f t="shared" si="24"/>
        <v>931.5307772365195</v>
      </c>
      <c r="B832">
        <v>9315.307772365195</v>
      </c>
      <c r="C832">
        <v>6797.4788424013177</v>
      </c>
      <c r="D832" s="30">
        <f t="shared" si="25"/>
        <v>67.974788424013184</v>
      </c>
    </row>
    <row r="833" spans="1:4">
      <c r="A833" s="22">
        <f t="shared" si="24"/>
        <v>932.6531034741538</v>
      </c>
      <c r="B833">
        <v>9326.531034741538</v>
      </c>
      <c r="C833">
        <v>6638.8595465813178</v>
      </c>
      <c r="D833" s="30">
        <f t="shared" si="25"/>
        <v>66.388595465813182</v>
      </c>
    </row>
    <row r="834" spans="1:4">
      <c r="A834" s="22">
        <f t="shared" si="24"/>
        <v>933.77542971178809</v>
      </c>
      <c r="B834">
        <v>9337.7542971178809</v>
      </c>
      <c r="C834">
        <v>6480.2402507613178</v>
      </c>
      <c r="D834" s="30">
        <f t="shared" si="25"/>
        <v>64.802402507613181</v>
      </c>
    </row>
    <row r="835" spans="1:4">
      <c r="A835" s="22">
        <f t="shared" ref="A835:A870" si="26">B835/10</f>
        <v>934.89775594942262</v>
      </c>
      <c r="B835">
        <v>9348.9775594942257</v>
      </c>
      <c r="C835">
        <v>6321.6209549413179</v>
      </c>
      <c r="D835" s="30">
        <f t="shared" ref="D835:D870" si="27">C835/100</f>
        <v>63.216209549413179</v>
      </c>
    </row>
    <row r="836" spans="1:4">
      <c r="A836" s="22">
        <f t="shared" si="26"/>
        <v>936.02008218705691</v>
      </c>
      <c r="B836">
        <v>9360.2008218705687</v>
      </c>
      <c r="C836">
        <v>6163.001659121318</v>
      </c>
      <c r="D836" s="30">
        <f t="shared" si="27"/>
        <v>61.630016591213177</v>
      </c>
    </row>
    <row r="837" spans="1:4">
      <c r="A837" s="22">
        <f t="shared" si="26"/>
        <v>937.14240842469121</v>
      </c>
      <c r="B837">
        <v>9371.4240842469117</v>
      </c>
      <c r="C837">
        <v>6004.382363301318</v>
      </c>
      <c r="D837" s="30">
        <f t="shared" si="27"/>
        <v>60.043823633013183</v>
      </c>
    </row>
    <row r="838" spans="1:4">
      <c r="A838" s="22">
        <f t="shared" si="26"/>
        <v>938.26473466232562</v>
      </c>
      <c r="B838">
        <v>9382.6473466232565</v>
      </c>
      <c r="C838">
        <v>5845.7630674813181</v>
      </c>
      <c r="D838" s="30">
        <f t="shared" si="27"/>
        <v>58.457630674813181</v>
      </c>
    </row>
    <row r="839" spans="1:4">
      <c r="A839" s="22">
        <f t="shared" si="26"/>
        <v>939.38706089995992</v>
      </c>
      <c r="B839">
        <v>9393.8706089995994</v>
      </c>
      <c r="C839">
        <v>5687.1437716613182</v>
      </c>
      <c r="D839" s="30">
        <f t="shared" si="27"/>
        <v>56.87143771661318</v>
      </c>
    </row>
    <row r="840" spans="1:4">
      <c r="A840" s="22">
        <f t="shared" si="26"/>
        <v>940.50938713759422</v>
      </c>
      <c r="B840">
        <v>9405.0938713759424</v>
      </c>
      <c r="C840">
        <v>5528.5244758413182</v>
      </c>
      <c r="D840" s="30">
        <f t="shared" si="27"/>
        <v>55.285244758413185</v>
      </c>
    </row>
    <row r="841" spans="1:4">
      <c r="A841" s="22">
        <f t="shared" si="26"/>
        <v>941.63171337522874</v>
      </c>
      <c r="B841">
        <v>9416.3171337522872</v>
      </c>
      <c r="C841">
        <v>5369.9051800213183</v>
      </c>
      <c r="D841" s="30">
        <f t="shared" si="27"/>
        <v>53.699051800213184</v>
      </c>
    </row>
    <row r="842" spans="1:4">
      <c r="A842" s="22">
        <f t="shared" si="26"/>
        <v>942.75403961286304</v>
      </c>
      <c r="B842">
        <v>9427.5403961286302</v>
      </c>
      <c r="C842">
        <v>5211.2858842013184</v>
      </c>
      <c r="D842" s="30">
        <f t="shared" si="27"/>
        <v>52.112858842013182</v>
      </c>
    </row>
    <row r="843" spans="1:4">
      <c r="A843" s="22">
        <f t="shared" si="26"/>
        <v>943.87636585049734</v>
      </c>
      <c r="B843">
        <v>9438.7636585049731</v>
      </c>
      <c r="C843">
        <v>5052.6665883813184</v>
      </c>
      <c r="D843" s="30">
        <f t="shared" si="27"/>
        <v>50.526665883813187</v>
      </c>
    </row>
    <row r="844" spans="1:4">
      <c r="A844" s="22">
        <f t="shared" si="26"/>
        <v>944.99869208813175</v>
      </c>
      <c r="B844">
        <v>9449.9869208813179</v>
      </c>
      <c r="C844">
        <v>4894.0472925613185</v>
      </c>
      <c r="D844" s="30">
        <f t="shared" si="27"/>
        <v>48.940472925613186</v>
      </c>
    </row>
    <row r="845" spans="1:4">
      <c r="A845" s="22">
        <f t="shared" si="26"/>
        <v>946.12101832576604</v>
      </c>
      <c r="B845">
        <v>9461.2101832576609</v>
      </c>
      <c r="C845">
        <v>4735.4279967413186</v>
      </c>
      <c r="D845" s="30">
        <f t="shared" si="27"/>
        <v>47.354279967413184</v>
      </c>
    </row>
    <row r="846" spans="1:4">
      <c r="A846" s="22">
        <f t="shared" si="26"/>
        <v>947.24334456340057</v>
      </c>
      <c r="B846">
        <v>9472.4334456340057</v>
      </c>
      <c r="C846">
        <v>4576.8087009213186</v>
      </c>
      <c r="D846" s="30">
        <f t="shared" si="27"/>
        <v>45.76808700921319</v>
      </c>
    </row>
    <row r="847" spans="1:4">
      <c r="A847" s="22">
        <f t="shared" si="26"/>
        <v>948.36567080103487</v>
      </c>
      <c r="B847">
        <v>9483.6567080103487</v>
      </c>
      <c r="C847">
        <v>4418.1894051013187</v>
      </c>
      <c r="D847" s="30">
        <f t="shared" si="27"/>
        <v>44.181894051013188</v>
      </c>
    </row>
    <row r="848" spans="1:4">
      <c r="A848" s="22">
        <f t="shared" si="26"/>
        <v>949.48799703866916</v>
      </c>
      <c r="B848">
        <v>9494.8799703866916</v>
      </c>
      <c r="C848">
        <v>4259.5701092813188</v>
      </c>
      <c r="D848" s="30">
        <f t="shared" si="27"/>
        <v>42.595701092813187</v>
      </c>
    </row>
    <row r="849" spans="1:4">
      <c r="A849" s="22">
        <f t="shared" si="26"/>
        <v>950.61032327630369</v>
      </c>
      <c r="B849">
        <v>9506.1032327630364</v>
      </c>
      <c r="C849">
        <v>4100.9508134613188</v>
      </c>
      <c r="D849" s="30">
        <f t="shared" si="27"/>
        <v>41.009508134613185</v>
      </c>
    </row>
    <row r="850" spans="1:4">
      <c r="A850" s="22">
        <f t="shared" si="26"/>
        <v>951.73264951393799</v>
      </c>
      <c r="B850">
        <v>9517.3264951393794</v>
      </c>
      <c r="C850">
        <v>3942.3315176413189</v>
      </c>
      <c r="D850" s="30">
        <f t="shared" si="27"/>
        <v>39.42331517641319</v>
      </c>
    </row>
    <row r="851" spans="1:4">
      <c r="A851" s="22">
        <f t="shared" si="26"/>
        <v>952.85497575157228</v>
      </c>
      <c r="B851">
        <v>9528.5497575157224</v>
      </c>
      <c r="C851">
        <v>3783.712221821319</v>
      </c>
      <c r="D851" s="30">
        <f t="shared" si="27"/>
        <v>37.837122218213189</v>
      </c>
    </row>
    <row r="852" spans="1:4">
      <c r="A852" s="22">
        <f t="shared" si="26"/>
        <v>953.97730198920669</v>
      </c>
      <c r="B852">
        <v>9539.7730198920672</v>
      </c>
      <c r="C852">
        <v>3625.092926001319</v>
      </c>
      <c r="D852" s="30">
        <f t="shared" si="27"/>
        <v>36.250929260013187</v>
      </c>
    </row>
    <row r="853" spans="1:4">
      <c r="A853" s="22">
        <f t="shared" si="26"/>
        <v>955.09962822684099</v>
      </c>
      <c r="B853">
        <v>9550.9962822684101</v>
      </c>
      <c r="C853">
        <v>3466.4736301813191</v>
      </c>
      <c r="D853" s="30">
        <f t="shared" si="27"/>
        <v>34.664736301813193</v>
      </c>
    </row>
    <row r="854" spans="1:4">
      <c r="A854" s="22">
        <f t="shared" si="26"/>
        <v>956.22195446447529</v>
      </c>
      <c r="B854">
        <v>9562.2195446447531</v>
      </c>
      <c r="C854">
        <v>3307.8543343613192</v>
      </c>
      <c r="D854" s="30">
        <f t="shared" si="27"/>
        <v>33.078543343613191</v>
      </c>
    </row>
    <row r="855" spans="1:4">
      <c r="A855" s="22">
        <f t="shared" si="26"/>
        <v>957.34428070210981</v>
      </c>
      <c r="B855">
        <v>9573.4428070210979</v>
      </c>
      <c r="C855">
        <v>3149.2350385413192</v>
      </c>
      <c r="D855" s="30">
        <f t="shared" si="27"/>
        <v>31.492350385413193</v>
      </c>
    </row>
    <row r="856" spans="1:4">
      <c r="A856" s="22">
        <f t="shared" si="26"/>
        <v>958.46660693974411</v>
      </c>
      <c r="B856">
        <v>9584.6660693974409</v>
      </c>
      <c r="C856">
        <v>2990.6157427213193</v>
      </c>
      <c r="D856" s="30">
        <f t="shared" si="27"/>
        <v>29.906157427213191</v>
      </c>
    </row>
    <row r="857" spans="1:4">
      <c r="A857" s="22">
        <f t="shared" si="26"/>
        <v>959.58893317737841</v>
      </c>
      <c r="B857">
        <v>9595.8893317737839</v>
      </c>
      <c r="C857">
        <v>2831.9964469013194</v>
      </c>
      <c r="D857" s="30">
        <f t="shared" si="27"/>
        <v>28.319964469013193</v>
      </c>
    </row>
    <row r="858" spans="1:4">
      <c r="A858" s="22">
        <f t="shared" si="26"/>
        <v>960.71125941501282</v>
      </c>
      <c r="B858">
        <v>9607.1125941501286</v>
      </c>
      <c r="C858">
        <v>2673.3771510813194</v>
      </c>
      <c r="D858" s="30">
        <f t="shared" si="27"/>
        <v>26.733771510813195</v>
      </c>
    </row>
    <row r="859" spans="1:4">
      <c r="A859" s="22">
        <f t="shared" si="26"/>
        <v>961.83358565264712</v>
      </c>
      <c r="B859">
        <v>9618.3358565264716</v>
      </c>
      <c r="C859">
        <v>2514.7578552613195</v>
      </c>
      <c r="D859" s="30">
        <f t="shared" si="27"/>
        <v>25.147578552613194</v>
      </c>
    </row>
    <row r="860" spans="1:4">
      <c r="A860" s="22">
        <f t="shared" si="26"/>
        <v>962.95591189028141</v>
      </c>
      <c r="B860">
        <v>9629.5591189028146</v>
      </c>
      <c r="C860">
        <v>2356.1385594413196</v>
      </c>
      <c r="D860" s="30">
        <f t="shared" si="27"/>
        <v>23.561385594413196</v>
      </c>
    </row>
    <row r="861" spans="1:4">
      <c r="A861" s="22">
        <f t="shared" si="26"/>
        <v>964.07823812791594</v>
      </c>
      <c r="B861">
        <v>9640.7823812791594</v>
      </c>
      <c r="C861">
        <v>2197.5192636213196</v>
      </c>
      <c r="D861" s="30">
        <f t="shared" si="27"/>
        <v>21.975192636213198</v>
      </c>
    </row>
    <row r="862" spans="1:4">
      <c r="A862" s="22">
        <f t="shared" si="26"/>
        <v>965.20056436555024</v>
      </c>
      <c r="B862">
        <v>9652.0056436555024</v>
      </c>
      <c r="C862">
        <v>2039.68</v>
      </c>
      <c r="D862" s="30">
        <f t="shared" si="27"/>
        <v>20.396799999999999</v>
      </c>
    </row>
    <row r="863" spans="1:4">
      <c r="A863" s="22">
        <f t="shared" si="26"/>
        <v>966.32289060318453</v>
      </c>
      <c r="B863">
        <v>9663.2289060318453</v>
      </c>
      <c r="C863">
        <v>1882.3425</v>
      </c>
      <c r="D863" s="30">
        <f t="shared" si="27"/>
        <v>18.823425</v>
      </c>
    </row>
    <row r="864" spans="1:4">
      <c r="A864" s="22">
        <f t="shared" si="26"/>
        <v>967.44521684081906</v>
      </c>
      <c r="B864">
        <v>9674.4521684081901</v>
      </c>
      <c r="C864">
        <v>1725.0049999999999</v>
      </c>
      <c r="D864" s="30">
        <f t="shared" si="27"/>
        <v>17.250049999999998</v>
      </c>
    </row>
    <row r="865" spans="1:4">
      <c r="A865" s="22">
        <f t="shared" si="26"/>
        <v>968.56754307845335</v>
      </c>
      <c r="B865">
        <v>9685.6754307845331</v>
      </c>
      <c r="C865">
        <v>1567.6674999999998</v>
      </c>
      <c r="D865" s="30">
        <f t="shared" si="27"/>
        <v>15.676674999999998</v>
      </c>
    </row>
    <row r="866" spans="1:4">
      <c r="A866" s="22">
        <f t="shared" si="26"/>
        <v>969.68986931608777</v>
      </c>
      <c r="B866">
        <v>9696.8986931608779</v>
      </c>
      <c r="C866">
        <v>1410.3299999999997</v>
      </c>
      <c r="D866" s="30">
        <f t="shared" si="27"/>
        <v>14.103299999999997</v>
      </c>
    </row>
    <row r="867" spans="1:4">
      <c r="A867" s="22">
        <f t="shared" si="26"/>
        <v>970.81219555372206</v>
      </c>
      <c r="B867">
        <v>9708.1219555372209</v>
      </c>
      <c r="C867">
        <v>1252.9924999999996</v>
      </c>
      <c r="D867" s="30">
        <f t="shared" si="27"/>
        <v>12.529924999999997</v>
      </c>
    </row>
    <row r="868" spans="1:4">
      <c r="A868" s="22">
        <f t="shared" si="26"/>
        <v>971.93452179135636</v>
      </c>
      <c r="B868">
        <v>9719.3452179135638</v>
      </c>
      <c r="C868">
        <v>1095.6549999999995</v>
      </c>
      <c r="D868" s="30">
        <f t="shared" si="27"/>
        <v>10.956549999999995</v>
      </c>
    </row>
    <row r="869" spans="1:4">
      <c r="A869" s="22">
        <f t="shared" si="26"/>
        <v>973.05684802899088</v>
      </c>
      <c r="B869">
        <v>9730.5684802899086</v>
      </c>
      <c r="C869">
        <v>938.31749999999954</v>
      </c>
      <c r="D869" s="30">
        <f t="shared" si="27"/>
        <v>9.383174999999996</v>
      </c>
    </row>
    <row r="870" spans="1:4">
      <c r="A870" s="22">
        <f t="shared" si="26"/>
        <v>974.17917426662518</v>
      </c>
      <c r="B870">
        <v>9741.7917426662516</v>
      </c>
      <c r="C870">
        <v>780.98</v>
      </c>
      <c r="D870" s="30">
        <f t="shared" si="27"/>
        <v>7.8098000000000001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6"/>
  <dimension ref="A1:D584"/>
  <sheetViews>
    <sheetView topLeftCell="A544" workbookViewId="0">
      <selection activeCell="K551" sqref="K551"/>
    </sheetView>
  </sheetViews>
  <sheetFormatPr baseColWidth="10" defaultColWidth="10.3984375" defaultRowHeight="14.25"/>
  <cols>
    <col min="1" max="1" width="10.3984375" style="22"/>
    <col min="2" max="2" width="11.3984375" style="22" bestFit="1" customWidth="1"/>
    <col min="3" max="4" width="10.3984375" style="23"/>
  </cols>
  <sheetData>
    <row r="1" spans="1:4">
      <c r="A1" s="22" t="s">
        <v>0</v>
      </c>
      <c r="B1" s="22" t="s">
        <v>1</v>
      </c>
      <c r="C1" s="23" t="s">
        <v>2</v>
      </c>
      <c r="D1" s="23" t="s">
        <v>3</v>
      </c>
    </row>
    <row r="2" spans="1:4">
      <c r="A2" s="22">
        <f>$B2/10</f>
        <v>0</v>
      </c>
      <c r="B2" s="22">
        <v>0</v>
      </c>
      <c r="C2" s="23">
        <v>62622.93</v>
      </c>
      <c r="D2" s="23">
        <f>$C2/100</f>
        <v>626.22929999999997</v>
      </c>
    </row>
    <row r="3" spans="1:4">
      <c r="A3" s="22">
        <f t="shared" ref="A3:A66" si="0">$B3/10</f>
        <v>1.1033779189624917</v>
      </c>
      <c r="B3" s="22">
        <v>11.033779189624918</v>
      </c>
      <c r="C3" s="23">
        <v>62620.966</v>
      </c>
      <c r="D3" s="23">
        <f t="shared" ref="D3:D66" si="1">$C3/100</f>
        <v>626.20965999999999</v>
      </c>
    </row>
    <row r="4" spans="1:4">
      <c r="A4" s="22">
        <f t="shared" si="0"/>
        <v>2.2067558379249834</v>
      </c>
      <c r="B4" s="22">
        <v>22.067558379249835</v>
      </c>
      <c r="C4" s="23">
        <v>62619.002</v>
      </c>
      <c r="D4" s="23">
        <f t="shared" si="1"/>
        <v>626.19002</v>
      </c>
    </row>
    <row r="5" spans="1:4">
      <c r="A5" s="22">
        <f t="shared" si="0"/>
        <v>3.3101337568874754</v>
      </c>
      <c r="B5" s="22">
        <v>33.101337568874754</v>
      </c>
      <c r="C5" s="23">
        <v>62617.038</v>
      </c>
      <c r="D5" s="23">
        <f t="shared" si="1"/>
        <v>626.17038000000002</v>
      </c>
    </row>
    <row r="6" spans="1:4">
      <c r="A6" s="22">
        <f t="shared" si="0"/>
        <v>4.4135116758499668</v>
      </c>
      <c r="B6" s="22">
        <v>44.13511675849967</v>
      </c>
      <c r="C6" s="23">
        <v>62615.074000000001</v>
      </c>
      <c r="D6" s="23">
        <f t="shared" si="1"/>
        <v>626.15074000000004</v>
      </c>
    </row>
    <row r="7" spans="1:4">
      <c r="A7" s="22">
        <f t="shared" si="0"/>
        <v>5.5168895948124588</v>
      </c>
      <c r="B7" s="22">
        <v>55.168895948124586</v>
      </c>
      <c r="C7" s="23">
        <v>62613.11</v>
      </c>
      <c r="D7" s="23">
        <f t="shared" si="1"/>
        <v>626.13110000000006</v>
      </c>
    </row>
    <row r="8" spans="1:4">
      <c r="A8" s="22">
        <f t="shared" si="0"/>
        <v>6.6202675137749507</v>
      </c>
      <c r="B8" s="22">
        <v>66.202675137749509</v>
      </c>
      <c r="C8" s="23">
        <v>62611.146000000001</v>
      </c>
      <c r="D8" s="23">
        <f t="shared" si="1"/>
        <v>626.11145999999997</v>
      </c>
    </row>
    <row r="9" spans="1:4">
      <c r="A9" s="22">
        <f t="shared" si="0"/>
        <v>7.7236454327374435</v>
      </c>
      <c r="B9" s="22">
        <v>77.236454327374432</v>
      </c>
      <c r="C9" s="23">
        <v>62609.182000000001</v>
      </c>
      <c r="D9" s="23">
        <f t="shared" si="1"/>
        <v>626.09181999999998</v>
      </c>
    </row>
    <row r="10" spans="1:4">
      <c r="A10" s="22">
        <f t="shared" si="0"/>
        <v>8.8270233516999337</v>
      </c>
      <c r="B10" s="22">
        <v>88.27023351699934</v>
      </c>
      <c r="C10" s="23">
        <v>62607.218000000001</v>
      </c>
      <c r="D10" s="23">
        <f t="shared" si="1"/>
        <v>626.07218</v>
      </c>
    </row>
    <row r="11" spans="1:4">
      <c r="A11" s="22">
        <f t="shared" si="0"/>
        <v>9.9304012706624256</v>
      </c>
      <c r="B11" s="22">
        <v>99.304012706624263</v>
      </c>
      <c r="C11" s="23">
        <v>62605.254000000001</v>
      </c>
      <c r="D11" s="23">
        <f t="shared" si="1"/>
        <v>626.05254000000002</v>
      </c>
    </row>
    <row r="12" spans="1:4">
      <c r="A12" s="22">
        <f t="shared" si="0"/>
        <v>11.033779189624918</v>
      </c>
      <c r="B12" s="22">
        <v>110.33779189624917</v>
      </c>
      <c r="C12" s="23">
        <v>62603.29</v>
      </c>
      <c r="D12" s="23">
        <f t="shared" si="1"/>
        <v>626.03290000000004</v>
      </c>
    </row>
    <row r="13" spans="1:4">
      <c r="A13" s="22">
        <f t="shared" si="0"/>
        <v>12.137157108587409</v>
      </c>
      <c r="B13" s="22">
        <v>121.37157108587409</v>
      </c>
      <c r="C13" s="23">
        <v>62601.625</v>
      </c>
      <c r="D13" s="23">
        <f t="shared" si="1"/>
        <v>626.01625000000001</v>
      </c>
    </row>
    <row r="14" spans="1:4">
      <c r="A14" s="22">
        <f t="shared" si="0"/>
        <v>13.240535027549901</v>
      </c>
      <c r="B14" s="22">
        <v>132.40535027549902</v>
      </c>
      <c r="C14" s="23">
        <v>62599.96</v>
      </c>
      <c r="D14" s="23">
        <f t="shared" si="1"/>
        <v>625.99959999999999</v>
      </c>
    </row>
    <row r="15" spans="1:4">
      <c r="A15" s="22">
        <f t="shared" si="0"/>
        <v>14.343912946512393</v>
      </c>
      <c r="B15" s="22">
        <v>143.43912946512393</v>
      </c>
      <c r="C15" s="23">
        <v>62598.294999999998</v>
      </c>
      <c r="D15" s="23">
        <f t="shared" si="1"/>
        <v>625.98294999999996</v>
      </c>
    </row>
    <row r="16" spans="1:4">
      <c r="A16" s="22">
        <f t="shared" si="0"/>
        <v>15.447290865474887</v>
      </c>
      <c r="B16" s="22">
        <v>154.47290865474886</v>
      </c>
      <c r="C16" s="23">
        <v>62596.63</v>
      </c>
      <c r="D16" s="23">
        <f t="shared" si="1"/>
        <v>625.96629999999993</v>
      </c>
    </row>
    <row r="17" spans="1:4">
      <c r="A17" s="22">
        <f t="shared" si="0"/>
        <v>16.550668784437377</v>
      </c>
      <c r="B17" s="22">
        <v>165.50668784437377</v>
      </c>
      <c r="C17" s="23">
        <v>62594.964999999997</v>
      </c>
      <c r="D17" s="23">
        <f t="shared" si="1"/>
        <v>625.94965000000002</v>
      </c>
    </row>
    <row r="18" spans="1:4">
      <c r="A18" s="22">
        <f t="shared" si="0"/>
        <v>17.654046703399867</v>
      </c>
      <c r="B18" s="22">
        <v>176.54046703399868</v>
      </c>
      <c r="C18" s="23">
        <v>62593.299999999996</v>
      </c>
      <c r="D18" s="23">
        <f t="shared" si="1"/>
        <v>625.93299999999999</v>
      </c>
    </row>
    <row r="19" spans="1:4">
      <c r="A19" s="22">
        <f t="shared" si="0"/>
        <v>18.757424622362361</v>
      </c>
      <c r="B19" s="22">
        <v>187.57424622362362</v>
      </c>
      <c r="C19" s="23">
        <v>62591.634999999995</v>
      </c>
      <c r="D19" s="23">
        <f t="shared" si="1"/>
        <v>625.91634999999997</v>
      </c>
    </row>
    <row r="20" spans="1:4">
      <c r="A20" s="22">
        <f t="shared" si="0"/>
        <v>19.860802541324851</v>
      </c>
      <c r="B20" s="22">
        <v>198.60802541324853</v>
      </c>
      <c r="C20" s="23">
        <v>62589.969999999994</v>
      </c>
      <c r="D20" s="23">
        <f t="shared" si="1"/>
        <v>625.89969999999994</v>
      </c>
    </row>
    <row r="21" spans="1:4">
      <c r="A21" s="22">
        <f t="shared" si="0"/>
        <v>20.964180460287345</v>
      </c>
      <c r="B21" s="22">
        <v>209.64180460287344</v>
      </c>
      <c r="C21" s="23">
        <v>62588.304999999993</v>
      </c>
      <c r="D21" s="23">
        <f t="shared" si="1"/>
        <v>625.88304999999991</v>
      </c>
    </row>
    <row r="22" spans="1:4">
      <c r="A22" s="22">
        <f t="shared" si="0"/>
        <v>22.067558379249835</v>
      </c>
      <c r="B22" s="22">
        <v>220.67558379249834</v>
      </c>
      <c r="C22" s="23">
        <v>62586.64</v>
      </c>
      <c r="D22" s="23">
        <f t="shared" si="1"/>
        <v>625.8664</v>
      </c>
    </row>
    <row r="23" spans="1:4">
      <c r="A23" s="22">
        <f t="shared" si="0"/>
        <v>23.170936298212329</v>
      </c>
      <c r="B23" s="22">
        <v>231.70936298212328</v>
      </c>
      <c r="C23" s="23">
        <v>62584.375</v>
      </c>
      <c r="D23" s="23">
        <f t="shared" si="1"/>
        <v>625.84375</v>
      </c>
    </row>
    <row r="24" spans="1:4">
      <c r="A24" s="22">
        <f t="shared" si="0"/>
        <v>24.274314217174819</v>
      </c>
      <c r="B24" s="22">
        <v>242.74314217174819</v>
      </c>
      <c r="C24" s="23">
        <v>62582.11</v>
      </c>
      <c r="D24" s="23">
        <f t="shared" si="1"/>
        <v>625.8211</v>
      </c>
    </row>
    <row r="25" spans="1:4">
      <c r="A25" s="22">
        <f t="shared" si="0"/>
        <v>25.377692136137309</v>
      </c>
      <c r="B25" s="22">
        <v>253.7769213613731</v>
      </c>
      <c r="C25" s="23">
        <v>62579.845000000001</v>
      </c>
      <c r="D25" s="23">
        <f t="shared" si="1"/>
        <v>625.79845</v>
      </c>
    </row>
    <row r="26" spans="1:4">
      <c r="A26" s="22">
        <f t="shared" si="0"/>
        <v>26.481070055099803</v>
      </c>
      <c r="B26" s="22">
        <v>264.81070055099804</v>
      </c>
      <c r="C26" s="23">
        <v>62577.58</v>
      </c>
      <c r="D26" s="23">
        <f t="shared" si="1"/>
        <v>625.7758</v>
      </c>
    </row>
    <row r="27" spans="1:4">
      <c r="A27" s="22">
        <f t="shared" si="0"/>
        <v>27.584447974062293</v>
      </c>
      <c r="B27" s="22">
        <v>275.84447974062294</v>
      </c>
      <c r="C27" s="23">
        <v>62575.315000000002</v>
      </c>
      <c r="D27" s="23">
        <f t="shared" si="1"/>
        <v>625.75315000000001</v>
      </c>
    </row>
    <row r="28" spans="1:4">
      <c r="A28" s="22">
        <f t="shared" si="0"/>
        <v>28.687825893024787</v>
      </c>
      <c r="B28" s="22">
        <v>286.87825893024785</v>
      </c>
      <c r="C28" s="23">
        <v>62573.05</v>
      </c>
      <c r="D28" s="23">
        <f t="shared" si="1"/>
        <v>625.73050000000001</v>
      </c>
    </row>
    <row r="29" spans="1:4">
      <c r="A29" s="22">
        <f t="shared" si="0"/>
        <v>29.791203811987277</v>
      </c>
      <c r="B29" s="22">
        <v>297.91203811987276</v>
      </c>
      <c r="C29" s="23">
        <v>62570.785000000003</v>
      </c>
      <c r="D29" s="23">
        <f t="shared" si="1"/>
        <v>625.70785000000001</v>
      </c>
    </row>
    <row r="30" spans="1:4">
      <c r="A30" s="22">
        <f t="shared" si="0"/>
        <v>30.894581730949774</v>
      </c>
      <c r="B30" s="22">
        <v>308.94581730949773</v>
      </c>
      <c r="C30" s="23">
        <v>62568.520000000004</v>
      </c>
      <c r="D30" s="23">
        <f t="shared" si="1"/>
        <v>625.68520000000001</v>
      </c>
    </row>
    <row r="31" spans="1:4">
      <c r="A31" s="22">
        <f t="shared" si="0"/>
        <v>31.997959649912264</v>
      </c>
      <c r="B31" s="22">
        <v>319.97959649912264</v>
      </c>
      <c r="C31" s="23">
        <v>62566.255000000005</v>
      </c>
      <c r="D31" s="23">
        <f t="shared" si="1"/>
        <v>625.66255000000001</v>
      </c>
    </row>
    <row r="32" spans="1:4">
      <c r="A32" s="22">
        <f t="shared" si="0"/>
        <v>33.101337568874754</v>
      </c>
      <c r="B32" s="22">
        <v>331.01337568874754</v>
      </c>
      <c r="C32" s="23">
        <v>62563.99</v>
      </c>
      <c r="D32" s="23">
        <f t="shared" si="1"/>
        <v>625.63990000000001</v>
      </c>
    </row>
    <row r="33" spans="1:4">
      <c r="A33" s="22">
        <f t="shared" si="0"/>
        <v>34.204715487837248</v>
      </c>
      <c r="B33" s="22">
        <v>342.04715487837245</v>
      </c>
      <c r="C33" s="23">
        <v>62562.024999999994</v>
      </c>
      <c r="D33" s="23">
        <f t="shared" si="1"/>
        <v>625.62024999999994</v>
      </c>
    </row>
    <row r="34" spans="1:4">
      <c r="A34" s="22">
        <f t="shared" si="0"/>
        <v>35.308093406799735</v>
      </c>
      <c r="B34" s="22">
        <v>353.08093406799736</v>
      </c>
      <c r="C34" s="23">
        <v>62560.06</v>
      </c>
      <c r="D34" s="23">
        <f t="shared" si="1"/>
        <v>625.60059999999999</v>
      </c>
    </row>
    <row r="35" spans="1:4">
      <c r="A35" s="22">
        <f t="shared" si="0"/>
        <v>36.411471325762228</v>
      </c>
      <c r="B35" s="22">
        <v>364.11471325762227</v>
      </c>
      <c r="C35" s="23">
        <v>62558.095000000001</v>
      </c>
      <c r="D35" s="23">
        <f t="shared" si="1"/>
        <v>625.58095000000003</v>
      </c>
    </row>
    <row r="36" spans="1:4">
      <c r="A36" s="22">
        <f t="shared" si="0"/>
        <v>37.514849244724722</v>
      </c>
      <c r="B36" s="22">
        <v>375.14849244724724</v>
      </c>
      <c r="C36" s="23">
        <v>62556.130000000005</v>
      </c>
      <c r="D36" s="23">
        <f t="shared" si="1"/>
        <v>625.56130000000007</v>
      </c>
    </row>
    <row r="37" spans="1:4">
      <c r="A37" s="22">
        <f t="shared" si="0"/>
        <v>38.618227163687216</v>
      </c>
      <c r="B37" s="22">
        <v>386.18227163687214</v>
      </c>
      <c r="C37" s="23">
        <v>62554.165000000008</v>
      </c>
      <c r="D37" s="23">
        <f t="shared" si="1"/>
        <v>625.54165000000012</v>
      </c>
    </row>
    <row r="38" spans="1:4">
      <c r="A38" s="22">
        <f t="shared" si="0"/>
        <v>39.721605082649702</v>
      </c>
      <c r="B38" s="22">
        <v>397.21605082649705</v>
      </c>
      <c r="C38" s="23">
        <v>62552.200000000012</v>
      </c>
      <c r="D38" s="23">
        <f t="shared" si="1"/>
        <v>625.52200000000016</v>
      </c>
    </row>
    <row r="39" spans="1:4">
      <c r="A39" s="22">
        <f t="shared" si="0"/>
        <v>40.824983001612196</v>
      </c>
      <c r="B39" s="22">
        <v>408.24983001612196</v>
      </c>
      <c r="C39" s="23">
        <v>62550.235000000015</v>
      </c>
      <c r="D39" s="23">
        <f t="shared" si="1"/>
        <v>625.50235000000021</v>
      </c>
    </row>
    <row r="40" spans="1:4">
      <c r="A40" s="22">
        <f t="shared" si="0"/>
        <v>41.92836092057469</v>
      </c>
      <c r="B40" s="22">
        <v>419.28360920574687</v>
      </c>
      <c r="C40" s="23">
        <v>62548.270000000019</v>
      </c>
      <c r="D40" s="23">
        <f t="shared" si="1"/>
        <v>625.48270000000014</v>
      </c>
    </row>
    <row r="41" spans="1:4">
      <c r="A41" s="22">
        <f t="shared" si="0"/>
        <v>43.031738839537176</v>
      </c>
      <c r="B41" s="22">
        <v>430.31738839537178</v>
      </c>
      <c r="C41" s="23">
        <v>62546.305000000022</v>
      </c>
      <c r="D41" s="23">
        <f t="shared" si="1"/>
        <v>625.46305000000018</v>
      </c>
    </row>
    <row r="42" spans="1:4">
      <c r="A42" s="22">
        <f t="shared" si="0"/>
        <v>44.13511675849967</v>
      </c>
      <c r="B42" s="22">
        <v>441.35116758499669</v>
      </c>
      <c r="C42" s="23">
        <v>62544.34</v>
      </c>
      <c r="D42" s="23">
        <f t="shared" si="1"/>
        <v>625.4434</v>
      </c>
    </row>
    <row r="43" spans="1:4">
      <c r="A43" s="22">
        <f t="shared" si="0"/>
        <v>45.238494677462164</v>
      </c>
      <c r="B43" s="22">
        <v>452.38494677462165</v>
      </c>
      <c r="C43" s="23">
        <v>62542.375999999997</v>
      </c>
      <c r="D43" s="23">
        <f t="shared" si="1"/>
        <v>625.42376000000002</v>
      </c>
    </row>
    <row r="44" spans="1:4">
      <c r="A44" s="22">
        <f t="shared" si="0"/>
        <v>46.341872596424658</v>
      </c>
      <c r="B44" s="22">
        <v>463.41872596424656</v>
      </c>
      <c r="C44" s="23">
        <v>62540.411999999997</v>
      </c>
      <c r="D44" s="23">
        <f t="shared" si="1"/>
        <v>625.40411999999992</v>
      </c>
    </row>
    <row r="45" spans="1:4">
      <c r="A45" s="22">
        <f t="shared" si="0"/>
        <v>47.445250515387144</v>
      </c>
      <c r="B45" s="22">
        <v>474.45250515387147</v>
      </c>
      <c r="C45" s="23">
        <v>62538.447999999997</v>
      </c>
      <c r="D45" s="23">
        <f t="shared" si="1"/>
        <v>625.38447999999994</v>
      </c>
    </row>
    <row r="46" spans="1:4">
      <c r="A46" s="22">
        <f t="shared" si="0"/>
        <v>48.548628434349638</v>
      </c>
      <c r="B46" s="22">
        <v>485.48628434349638</v>
      </c>
      <c r="C46" s="23">
        <v>62536.483999999997</v>
      </c>
      <c r="D46" s="23">
        <f t="shared" si="1"/>
        <v>625.36483999999996</v>
      </c>
    </row>
    <row r="47" spans="1:4">
      <c r="A47" s="22">
        <f t="shared" si="0"/>
        <v>49.652006353312132</v>
      </c>
      <c r="B47" s="22">
        <v>496.52006353312129</v>
      </c>
      <c r="C47" s="23">
        <v>62534.52</v>
      </c>
      <c r="D47" s="23">
        <f t="shared" si="1"/>
        <v>625.34519999999998</v>
      </c>
    </row>
    <row r="48" spans="1:4">
      <c r="A48" s="22">
        <f t="shared" si="0"/>
        <v>50.755384272274618</v>
      </c>
      <c r="B48" s="22">
        <v>507.5538427227462</v>
      </c>
      <c r="C48" s="23">
        <v>62532.555999999997</v>
      </c>
      <c r="D48" s="23">
        <f t="shared" si="1"/>
        <v>625.32556</v>
      </c>
    </row>
    <row r="49" spans="1:4">
      <c r="A49" s="22">
        <f t="shared" si="0"/>
        <v>51.858762191237112</v>
      </c>
      <c r="B49" s="22">
        <v>518.58762191237111</v>
      </c>
      <c r="C49" s="23">
        <v>62530.591999999997</v>
      </c>
      <c r="D49" s="23">
        <f t="shared" si="1"/>
        <v>625.30592000000001</v>
      </c>
    </row>
    <row r="50" spans="1:4">
      <c r="A50" s="22">
        <f t="shared" si="0"/>
        <v>52.962140110199606</v>
      </c>
      <c r="B50" s="22">
        <v>529.62140110199607</v>
      </c>
      <c r="C50" s="23">
        <v>62528.627999999997</v>
      </c>
      <c r="D50" s="23">
        <f t="shared" si="1"/>
        <v>625.28627999999992</v>
      </c>
    </row>
    <row r="51" spans="1:4">
      <c r="A51" s="22">
        <f t="shared" si="0"/>
        <v>54.065518029162092</v>
      </c>
      <c r="B51" s="22">
        <v>540.65518029162092</v>
      </c>
      <c r="C51" s="23">
        <v>62526.663999999997</v>
      </c>
      <c r="D51" s="23">
        <f t="shared" si="1"/>
        <v>625.26663999999994</v>
      </c>
    </row>
    <row r="52" spans="1:4">
      <c r="A52" s="22">
        <f t="shared" si="0"/>
        <v>55.168895948124586</v>
      </c>
      <c r="B52" s="22">
        <v>551.68895948124589</v>
      </c>
      <c r="C52" s="23">
        <v>62524.7</v>
      </c>
      <c r="D52" s="23">
        <f t="shared" si="1"/>
        <v>625.24699999999996</v>
      </c>
    </row>
    <row r="53" spans="1:4">
      <c r="A53" s="22">
        <f t="shared" si="0"/>
        <v>56.272273867087087</v>
      </c>
      <c r="B53" s="22">
        <v>562.72273867087085</v>
      </c>
      <c r="C53" s="23">
        <v>62522.659999999996</v>
      </c>
      <c r="D53" s="23">
        <f t="shared" si="1"/>
        <v>625.22659999999996</v>
      </c>
    </row>
    <row r="54" spans="1:4">
      <c r="A54" s="22">
        <f t="shared" si="0"/>
        <v>57.375651786049573</v>
      </c>
      <c r="B54" s="22">
        <v>573.75651786049571</v>
      </c>
      <c r="C54" s="23">
        <v>62520.619999999995</v>
      </c>
      <c r="D54" s="23">
        <f t="shared" si="1"/>
        <v>625.20619999999997</v>
      </c>
    </row>
    <row r="55" spans="1:4">
      <c r="A55" s="22">
        <f t="shared" si="0"/>
        <v>58.479029705012067</v>
      </c>
      <c r="B55" s="22">
        <v>584.79029705012067</v>
      </c>
      <c r="C55" s="23">
        <v>62518.579999999994</v>
      </c>
      <c r="D55" s="23">
        <f t="shared" si="1"/>
        <v>625.18579999999997</v>
      </c>
    </row>
    <row r="56" spans="1:4">
      <c r="A56" s="22">
        <f t="shared" si="0"/>
        <v>59.582407623974554</v>
      </c>
      <c r="B56" s="22">
        <v>595.82407623974552</v>
      </c>
      <c r="C56" s="23">
        <v>62516.539999999994</v>
      </c>
      <c r="D56" s="23">
        <f t="shared" si="1"/>
        <v>625.16539999999998</v>
      </c>
    </row>
    <row r="57" spans="1:4">
      <c r="A57" s="22">
        <f t="shared" si="0"/>
        <v>60.685785542937047</v>
      </c>
      <c r="B57" s="22">
        <v>606.85785542937049</v>
      </c>
      <c r="C57" s="23">
        <v>62514.499999999993</v>
      </c>
      <c r="D57" s="23">
        <f t="shared" si="1"/>
        <v>625.14499999999998</v>
      </c>
    </row>
    <row r="58" spans="1:4">
      <c r="A58" s="22">
        <f t="shared" si="0"/>
        <v>61.789163461899548</v>
      </c>
      <c r="B58" s="22">
        <v>617.89163461899545</v>
      </c>
      <c r="C58" s="23">
        <v>62512.459999999992</v>
      </c>
      <c r="D58" s="23">
        <f t="shared" si="1"/>
        <v>625.12459999999987</v>
      </c>
    </row>
    <row r="59" spans="1:4">
      <c r="A59" s="22">
        <f t="shared" si="0"/>
        <v>62.892541380862028</v>
      </c>
      <c r="B59" s="22">
        <v>628.92541380862031</v>
      </c>
      <c r="C59" s="23">
        <v>62510.419999999991</v>
      </c>
      <c r="D59" s="23">
        <f t="shared" si="1"/>
        <v>625.10419999999988</v>
      </c>
    </row>
    <row r="60" spans="1:4">
      <c r="A60" s="22">
        <f t="shared" si="0"/>
        <v>63.995919299824529</v>
      </c>
      <c r="B60" s="22">
        <v>639.95919299824527</v>
      </c>
      <c r="C60" s="23">
        <v>62508.37999999999</v>
      </c>
      <c r="D60" s="23">
        <f t="shared" si="1"/>
        <v>625.08379999999988</v>
      </c>
    </row>
    <row r="61" spans="1:4">
      <c r="A61" s="22">
        <f t="shared" si="0"/>
        <v>65.099297218787015</v>
      </c>
      <c r="B61" s="22">
        <v>650.99297218787012</v>
      </c>
      <c r="C61" s="23">
        <v>62506.339999999989</v>
      </c>
      <c r="D61" s="23">
        <f t="shared" si="1"/>
        <v>625.06339999999989</v>
      </c>
    </row>
    <row r="62" spans="1:4">
      <c r="A62" s="22">
        <f t="shared" si="0"/>
        <v>66.202675137749509</v>
      </c>
      <c r="B62" s="22">
        <v>662.02675137749509</v>
      </c>
      <c r="C62" s="23">
        <v>62504.3</v>
      </c>
      <c r="D62" s="23">
        <f t="shared" si="1"/>
        <v>625.04300000000001</v>
      </c>
    </row>
    <row r="63" spans="1:4">
      <c r="A63" s="22">
        <f t="shared" si="0"/>
        <v>67.306053056711988</v>
      </c>
      <c r="B63" s="22">
        <v>673.06053056711994</v>
      </c>
      <c r="C63" s="23">
        <v>62501.844000000005</v>
      </c>
      <c r="D63" s="23">
        <f t="shared" si="1"/>
        <v>625.01844000000006</v>
      </c>
    </row>
    <row r="64" spans="1:4">
      <c r="A64" s="22">
        <f t="shared" si="0"/>
        <v>68.409430975674496</v>
      </c>
      <c r="B64" s="22">
        <v>684.09430975674491</v>
      </c>
      <c r="C64" s="23">
        <v>62499.388000000006</v>
      </c>
      <c r="D64" s="23">
        <f t="shared" si="1"/>
        <v>624.9938800000001</v>
      </c>
    </row>
    <row r="65" spans="1:4">
      <c r="A65" s="22">
        <f t="shared" si="0"/>
        <v>69.51280889463699</v>
      </c>
      <c r="B65" s="22">
        <v>695.12808894636987</v>
      </c>
      <c r="C65" s="23">
        <v>62496.932000000008</v>
      </c>
      <c r="D65" s="23">
        <f t="shared" si="1"/>
        <v>624.96932000000004</v>
      </c>
    </row>
    <row r="66" spans="1:4">
      <c r="A66" s="22">
        <f t="shared" si="0"/>
        <v>70.616186813599469</v>
      </c>
      <c r="B66" s="22">
        <v>706.16186813599472</v>
      </c>
      <c r="C66" s="23">
        <v>62494.47600000001</v>
      </c>
      <c r="D66" s="23">
        <f t="shared" si="1"/>
        <v>624.94476000000009</v>
      </c>
    </row>
    <row r="67" spans="1:4">
      <c r="A67" s="22">
        <f t="shared" ref="A67:A130" si="2">$B67/10</f>
        <v>71.719564732561963</v>
      </c>
      <c r="B67" s="22">
        <v>717.19564732561969</v>
      </c>
      <c r="C67" s="23">
        <v>62492.020000000011</v>
      </c>
      <c r="D67" s="23">
        <f t="shared" ref="D67:D130" si="3">$C67/100</f>
        <v>624.92020000000014</v>
      </c>
    </row>
    <row r="68" spans="1:4">
      <c r="A68" s="22">
        <f t="shared" si="2"/>
        <v>72.822942651524457</v>
      </c>
      <c r="B68" s="22">
        <v>728.22942651524454</v>
      </c>
      <c r="C68" s="23">
        <v>62489.564000000013</v>
      </c>
      <c r="D68" s="23">
        <f t="shared" si="3"/>
        <v>624.89564000000018</v>
      </c>
    </row>
    <row r="69" spans="1:4">
      <c r="A69" s="22">
        <f t="shared" si="2"/>
        <v>73.926320570486951</v>
      </c>
      <c r="B69" s="22">
        <v>739.26320570486951</v>
      </c>
      <c r="C69" s="23">
        <v>62487.108000000015</v>
      </c>
      <c r="D69" s="23">
        <f t="shared" si="3"/>
        <v>624.87108000000012</v>
      </c>
    </row>
    <row r="70" spans="1:4">
      <c r="A70" s="22">
        <f t="shared" si="2"/>
        <v>75.029698489449444</v>
      </c>
      <c r="B70" s="22">
        <v>750.29698489449447</v>
      </c>
      <c r="C70" s="23">
        <v>62484.652000000016</v>
      </c>
      <c r="D70" s="23">
        <f t="shared" si="3"/>
        <v>624.84652000000017</v>
      </c>
    </row>
    <row r="71" spans="1:4">
      <c r="A71" s="22">
        <f t="shared" si="2"/>
        <v>76.133076408411938</v>
      </c>
      <c r="B71" s="22">
        <v>761.33076408411932</v>
      </c>
      <c r="C71" s="23">
        <v>62482.196000000018</v>
      </c>
      <c r="D71" s="23">
        <f t="shared" si="3"/>
        <v>624.82196000000022</v>
      </c>
    </row>
    <row r="72" spans="1:4">
      <c r="A72" s="22">
        <f t="shared" si="2"/>
        <v>77.236454327374432</v>
      </c>
      <c r="B72" s="22">
        <v>772.36454327374429</v>
      </c>
      <c r="C72" s="23">
        <v>62479.74</v>
      </c>
      <c r="D72" s="23">
        <f t="shared" si="3"/>
        <v>624.79739999999993</v>
      </c>
    </row>
    <row r="73" spans="1:4">
      <c r="A73" s="22">
        <f t="shared" si="2"/>
        <v>78.339832246336911</v>
      </c>
      <c r="B73" s="22">
        <v>783.39832246336914</v>
      </c>
      <c r="C73" s="23">
        <v>62459.576999999997</v>
      </c>
      <c r="D73" s="23">
        <f t="shared" si="3"/>
        <v>624.59577000000002</v>
      </c>
    </row>
    <row r="74" spans="1:4">
      <c r="A74" s="22">
        <f t="shared" si="2"/>
        <v>79.443210165299405</v>
      </c>
      <c r="B74" s="22">
        <v>794.43210165299411</v>
      </c>
      <c r="C74" s="23">
        <v>62439.413999999997</v>
      </c>
      <c r="D74" s="23">
        <f t="shared" si="3"/>
        <v>624.39413999999999</v>
      </c>
    </row>
    <row r="75" spans="1:4">
      <c r="A75" s="22">
        <f t="shared" si="2"/>
        <v>80.546588084261899</v>
      </c>
      <c r="B75" s="22">
        <v>805.46588084261896</v>
      </c>
      <c r="C75" s="23">
        <v>62419.250999999997</v>
      </c>
      <c r="D75" s="23">
        <f t="shared" si="3"/>
        <v>624.19250999999997</v>
      </c>
    </row>
    <row r="76" spans="1:4">
      <c r="A76" s="22">
        <f t="shared" si="2"/>
        <v>81.649966003224392</v>
      </c>
      <c r="B76" s="22">
        <v>816.49966003224392</v>
      </c>
      <c r="C76" s="23">
        <v>62399.087999999996</v>
      </c>
      <c r="D76" s="23">
        <f t="shared" si="3"/>
        <v>623.99087999999995</v>
      </c>
    </row>
    <row r="77" spans="1:4">
      <c r="A77" s="22">
        <f t="shared" si="2"/>
        <v>82.753343922186886</v>
      </c>
      <c r="B77" s="22">
        <v>827.53343922186889</v>
      </c>
      <c r="C77" s="23">
        <v>62378.924999999996</v>
      </c>
      <c r="D77" s="23">
        <f t="shared" si="3"/>
        <v>623.78924999999992</v>
      </c>
    </row>
    <row r="78" spans="1:4">
      <c r="A78" s="22">
        <f t="shared" si="2"/>
        <v>83.85672184114938</v>
      </c>
      <c r="B78" s="22">
        <v>838.56721841149374</v>
      </c>
      <c r="C78" s="23">
        <v>62358.761999999995</v>
      </c>
      <c r="D78" s="23">
        <f t="shared" si="3"/>
        <v>623.5876199999999</v>
      </c>
    </row>
    <row r="79" spans="1:4">
      <c r="A79" s="22">
        <f t="shared" si="2"/>
        <v>84.960099760111873</v>
      </c>
      <c r="B79" s="22">
        <v>849.60099760111871</v>
      </c>
      <c r="C79" s="23">
        <v>62338.598999999995</v>
      </c>
      <c r="D79" s="23">
        <f t="shared" si="3"/>
        <v>623.38598999999999</v>
      </c>
    </row>
    <row r="80" spans="1:4">
      <c r="A80" s="22">
        <f t="shared" si="2"/>
        <v>86.063477679074353</v>
      </c>
      <c r="B80" s="22">
        <v>860.63477679074356</v>
      </c>
      <c r="C80" s="23">
        <v>62318.435999999994</v>
      </c>
      <c r="D80" s="23">
        <f t="shared" si="3"/>
        <v>623.18435999999997</v>
      </c>
    </row>
    <row r="81" spans="1:4">
      <c r="A81" s="22">
        <f t="shared" si="2"/>
        <v>87.166855598036847</v>
      </c>
      <c r="B81" s="22">
        <v>871.66855598036852</v>
      </c>
      <c r="C81" s="23">
        <v>62298.272999999994</v>
      </c>
      <c r="D81" s="23">
        <f t="shared" si="3"/>
        <v>622.98272999999995</v>
      </c>
    </row>
    <row r="82" spans="1:4">
      <c r="A82" s="22">
        <f t="shared" si="2"/>
        <v>88.27023351699934</v>
      </c>
      <c r="B82" s="22">
        <v>882.70233516999338</v>
      </c>
      <c r="C82" s="23">
        <v>62278.11</v>
      </c>
      <c r="D82" s="23">
        <f t="shared" si="3"/>
        <v>622.78110000000004</v>
      </c>
    </row>
    <row r="83" spans="1:4">
      <c r="A83" s="22">
        <f t="shared" si="2"/>
        <v>89.373611435961834</v>
      </c>
      <c r="B83" s="22">
        <v>893.73611435961834</v>
      </c>
      <c r="C83" s="23">
        <v>62208.938999999998</v>
      </c>
      <c r="D83" s="23">
        <f t="shared" si="3"/>
        <v>622.08938999999998</v>
      </c>
    </row>
    <row r="84" spans="1:4">
      <c r="A84" s="22">
        <f t="shared" si="2"/>
        <v>90.476989354924328</v>
      </c>
      <c r="B84" s="22">
        <v>904.76989354924331</v>
      </c>
      <c r="C84" s="23">
        <v>62139.767999999996</v>
      </c>
      <c r="D84" s="23">
        <f t="shared" si="3"/>
        <v>621.39767999999992</v>
      </c>
    </row>
    <row r="85" spans="1:4">
      <c r="A85" s="22">
        <f t="shared" si="2"/>
        <v>91.580367273886822</v>
      </c>
      <c r="B85" s="22">
        <v>915.80367273886816</v>
      </c>
      <c r="C85" s="23">
        <v>62070.596999999994</v>
      </c>
      <c r="D85" s="23">
        <f t="shared" si="3"/>
        <v>620.70596999999998</v>
      </c>
    </row>
    <row r="86" spans="1:4">
      <c r="A86" s="22">
        <f t="shared" si="2"/>
        <v>92.683745192849315</v>
      </c>
      <c r="B86" s="22">
        <v>926.83745192849312</v>
      </c>
      <c r="C86" s="23">
        <v>62001.425999999992</v>
      </c>
      <c r="D86" s="23">
        <f t="shared" si="3"/>
        <v>620.01425999999992</v>
      </c>
    </row>
    <row r="87" spans="1:4">
      <c r="A87" s="22">
        <f t="shared" si="2"/>
        <v>93.787123111811795</v>
      </c>
      <c r="B87" s="22">
        <v>937.87123111811798</v>
      </c>
      <c r="C87" s="23">
        <v>61932.25499999999</v>
      </c>
      <c r="D87" s="23">
        <f t="shared" si="3"/>
        <v>619.32254999999986</v>
      </c>
    </row>
    <row r="88" spans="1:4">
      <c r="A88" s="22">
        <f t="shared" si="2"/>
        <v>94.890501030774288</v>
      </c>
      <c r="B88" s="22">
        <v>948.90501030774294</v>
      </c>
      <c r="C88" s="23">
        <v>61863.083999999988</v>
      </c>
      <c r="D88" s="23">
        <f t="shared" si="3"/>
        <v>618.63083999999992</v>
      </c>
    </row>
    <row r="89" spans="1:4">
      <c r="A89" s="22">
        <f t="shared" si="2"/>
        <v>95.993878949736796</v>
      </c>
      <c r="B89" s="22">
        <v>959.93878949736791</v>
      </c>
      <c r="C89" s="23">
        <v>61793.912999999986</v>
      </c>
      <c r="D89" s="23">
        <f t="shared" si="3"/>
        <v>617.93912999999986</v>
      </c>
    </row>
    <row r="90" spans="1:4">
      <c r="A90" s="22">
        <f t="shared" si="2"/>
        <v>97.097256868699276</v>
      </c>
      <c r="B90" s="22">
        <v>970.97256868699276</v>
      </c>
      <c r="C90" s="23">
        <v>61724.741999999984</v>
      </c>
      <c r="D90" s="23">
        <f t="shared" si="3"/>
        <v>617.24741999999981</v>
      </c>
    </row>
    <row r="91" spans="1:4">
      <c r="A91" s="22">
        <f t="shared" si="2"/>
        <v>98.20063478766177</v>
      </c>
      <c r="B91" s="22">
        <v>982.00634787661772</v>
      </c>
      <c r="C91" s="23">
        <v>61655.570999999982</v>
      </c>
      <c r="D91" s="23">
        <f t="shared" si="3"/>
        <v>616.55570999999986</v>
      </c>
    </row>
    <row r="92" spans="1:4">
      <c r="A92" s="22">
        <f t="shared" si="2"/>
        <v>99.304012706624263</v>
      </c>
      <c r="B92" s="22">
        <v>993.04012706624258</v>
      </c>
      <c r="C92" s="23">
        <v>61586.400000000001</v>
      </c>
      <c r="D92" s="23">
        <f t="shared" si="3"/>
        <v>615.86400000000003</v>
      </c>
    </row>
    <row r="93" spans="1:4">
      <c r="A93" s="22">
        <f t="shared" si="2"/>
        <v>100.40739062558676</v>
      </c>
      <c r="B93" s="22">
        <v>1004.0739062558675</v>
      </c>
      <c r="C93" s="23">
        <v>61484.270000000004</v>
      </c>
      <c r="D93" s="23">
        <f t="shared" si="3"/>
        <v>614.84270000000004</v>
      </c>
    </row>
    <row r="94" spans="1:4">
      <c r="A94" s="22">
        <f t="shared" si="2"/>
        <v>101.51076854454924</v>
      </c>
      <c r="B94" s="22">
        <v>1015.1076854454924</v>
      </c>
      <c r="C94" s="23">
        <v>61382.140000000007</v>
      </c>
      <c r="D94" s="23">
        <f t="shared" si="3"/>
        <v>613.82140000000004</v>
      </c>
    </row>
    <row r="95" spans="1:4">
      <c r="A95" s="22">
        <f t="shared" si="2"/>
        <v>102.61414646351174</v>
      </c>
      <c r="B95" s="22">
        <v>1026.1414646351175</v>
      </c>
      <c r="C95" s="23">
        <v>61280.010000000009</v>
      </c>
      <c r="D95" s="23">
        <f t="shared" si="3"/>
        <v>612.80010000000004</v>
      </c>
    </row>
    <row r="96" spans="1:4">
      <c r="A96" s="22">
        <f t="shared" si="2"/>
        <v>103.71752438247422</v>
      </c>
      <c r="B96" s="22">
        <v>1037.1752438247422</v>
      </c>
      <c r="C96" s="23">
        <v>61177.880000000012</v>
      </c>
      <c r="D96" s="23">
        <f t="shared" si="3"/>
        <v>611.77880000000016</v>
      </c>
    </row>
    <row r="97" spans="1:4">
      <c r="A97" s="22">
        <f t="shared" si="2"/>
        <v>104.82090230143672</v>
      </c>
      <c r="B97" s="22">
        <v>1048.2090230143672</v>
      </c>
      <c r="C97" s="23">
        <v>61075.750000000015</v>
      </c>
      <c r="D97" s="23">
        <f t="shared" si="3"/>
        <v>610.75750000000016</v>
      </c>
    </row>
    <row r="98" spans="1:4">
      <c r="A98" s="22">
        <f t="shared" si="2"/>
        <v>105.92428022039921</v>
      </c>
      <c r="B98" s="22">
        <v>1059.2428022039921</v>
      </c>
      <c r="C98" s="23">
        <v>60973.620000000017</v>
      </c>
      <c r="D98" s="23">
        <f t="shared" si="3"/>
        <v>609.73620000000017</v>
      </c>
    </row>
    <row r="99" spans="1:4">
      <c r="A99" s="22">
        <f t="shared" si="2"/>
        <v>107.02765813936171</v>
      </c>
      <c r="B99" s="22">
        <v>1070.2765813936171</v>
      </c>
      <c r="C99" s="23">
        <v>60871.49000000002</v>
      </c>
      <c r="D99" s="23">
        <f t="shared" si="3"/>
        <v>608.71490000000017</v>
      </c>
    </row>
    <row r="100" spans="1:4">
      <c r="A100" s="22">
        <f t="shared" si="2"/>
        <v>108.13103605832418</v>
      </c>
      <c r="B100" s="22">
        <v>1081.3103605832418</v>
      </c>
      <c r="C100" s="23">
        <v>60769.360000000022</v>
      </c>
      <c r="D100" s="23">
        <f t="shared" si="3"/>
        <v>607.69360000000017</v>
      </c>
    </row>
    <row r="101" spans="1:4">
      <c r="A101" s="22">
        <f t="shared" si="2"/>
        <v>109.23441397728668</v>
      </c>
      <c r="B101" s="22">
        <v>1092.3441397728668</v>
      </c>
      <c r="C101" s="23">
        <v>60667.230000000025</v>
      </c>
      <c r="D101" s="23">
        <f t="shared" si="3"/>
        <v>606.67230000000029</v>
      </c>
    </row>
    <row r="102" spans="1:4">
      <c r="A102" s="22">
        <f t="shared" si="2"/>
        <v>110.33779189624917</v>
      </c>
      <c r="B102" s="22">
        <v>1103.3779189624918</v>
      </c>
      <c r="C102" s="23">
        <v>60565.1</v>
      </c>
      <c r="D102" s="23">
        <f t="shared" si="3"/>
        <v>605.65099999999995</v>
      </c>
    </row>
    <row r="103" spans="1:4">
      <c r="A103" s="22">
        <f t="shared" si="2"/>
        <v>111.44116981521168</v>
      </c>
      <c r="B103" s="22">
        <v>1114.4116981521167</v>
      </c>
      <c r="C103" s="23">
        <v>60441.934000000001</v>
      </c>
      <c r="D103" s="23">
        <f t="shared" si="3"/>
        <v>604.41934000000003</v>
      </c>
    </row>
    <row r="104" spans="1:4">
      <c r="A104" s="22">
        <f t="shared" si="2"/>
        <v>112.54454773417417</v>
      </c>
      <c r="B104" s="22">
        <v>1125.4454773417417</v>
      </c>
      <c r="C104" s="23">
        <v>60318.768000000004</v>
      </c>
      <c r="D104" s="23">
        <f t="shared" si="3"/>
        <v>603.18768</v>
      </c>
    </row>
    <row r="105" spans="1:4">
      <c r="A105" s="22">
        <f t="shared" si="2"/>
        <v>113.64792565313664</v>
      </c>
      <c r="B105" s="22">
        <v>1136.4792565313664</v>
      </c>
      <c r="C105" s="23">
        <v>60195.602000000006</v>
      </c>
      <c r="D105" s="23">
        <f t="shared" si="3"/>
        <v>601.95602000000008</v>
      </c>
    </row>
    <row r="106" spans="1:4">
      <c r="A106" s="22">
        <f t="shared" si="2"/>
        <v>114.75130357209915</v>
      </c>
      <c r="B106" s="22">
        <v>1147.5130357209914</v>
      </c>
      <c r="C106" s="23">
        <v>60072.436000000009</v>
      </c>
      <c r="D106" s="23">
        <f t="shared" si="3"/>
        <v>600.72436000000005</v>
      </c>
    </row>
    <row r="107" spans="1:4">
      <c r="A107" s="22">
        <f t="shared" si="2"/>
        <v>115.85468149106164</v>
      </c>
      <c r="B107" s="22">
        <v>1158.5468149106164</v>
      </c>
      <c r="C107" s="23">
        <v>59949.270000000011</v>
      </c>
      <c r="D107" s="23">
        <f t="shared" si="3"/>
        <v>599.49270000000013</v>
      </c>
    </row>
    <row r="108" spans="1:4">
      <c r="A108" s="22">
        <f t="shared" si="2"/>
        <v>116.95805941002413</v>
      </c>
      <c r="B108" s="22">
        <v>1169.5805941002413</v>
      </c>
      <c r="C108" s="23">
        <v>59826.104000000014</v>
      </c>
      <c r="D108" s="23">
        <f t="shared" si="3"/>
        <v>598.26104000000009</v>
      </c>
    </row>
    <row r="109" spans="1:4">
      <c r="A109" s="22">
        <f t="shared" si="2"/>
        <v>118.06143732898663</v>
      </c>
      <c r="B109" s="22">
        <v>1180.6143732898663</v>
      </c>
      <c r="C109" s="23">
        <v>59702.938000000016</v>
      </c>
      <c r="D109" s="23">
        <f t="shared" si="3"/>
        <v>597.02938000000017</v>
      </c>
    </row>
    <row r="110" spans="1:4">
      <c r="A110" s="22">
        <f t="shared" si="2"/>
        <v>119.16481524794911</v>
      </c>
      <c r="B110" s="22">
        <v>1191.648152479491</v>
      </c>
      <c r="C110" s="23">
        <v>59579.772000000019</v>
      </c>
      <c r="D110" s="23">
        <f t="shared" si="3"/>
        <v>595.79772000000014</v>
      </c>
    </row>
    <row r="111" spans="1:4">
      <c r="A111" s="22">
        <f t="shared" si="2"/>
        <v>120.2681931669116</v>
      </c>
      <c r="B111" s="22">
        <v>1202.681931669116</v>
      </c>
      <c r="C111" s="23">
        <v>59456.606000000022</v>
      </c>
      <c r="D111" s="23">
        <f t="shared" si="3"/>
        <v>594.56606000000022</v>
      </c>
    </row>
    <row r="112" spans="1:4">
      <c r="A112" s="22">
        <f t="shared" si="2"/>
        <v>121.37157108587409</v>
      </c>
      <c r="B112" s="22">
        <v>1213.715710858741</v>
      </c>
      <c r="C112" s="23">
        <v>59333.440000000002</v>
      </c>
      <c r="D112" s="23">
        <f t="shared" si="3"/>
        <v>593.33440000000007</v>
      </c>
    </row>
    <row r="113" spans="1:4">
      <c r="A113" s="22">
        <f t="shared" si="2"/>
        <v>122.47494900483659</v>
      </c>
      <c r="B113" s="22">
        <v>1224.7494900483659</v>
      </c>
      <c r="C113" s="23">
        <v>59206.858</v>
      </c>
      <c r="D113" s="23">
        <f t="shared" si="3"/>
        <v>592.06858</v>
      </c>
    </row>
    <row r="114" spans="1:4">
      <c r="A114" s="22">
        <f t="shared" si="2"/>
        <v>123.5783269237991</v>
      </c>
      <c r="B114" s="22">
        <v>1235.7832692379909</v>
      </c>
      <c r="C114" s="23">
        <v>59080.275999999998</v>
      </c>
      <c r="D114" s="23">
        <f t="shared" si="3"/>
        <v>590.80276000000003</v>
      </c>
    </row>
    <row r="115" spans="1:4">
      <c r="A115" s="22">
        <f t="shared" si="2"/>
        <v>124.68170484276156</v>
      </c>
      <c r="B115" s="22">
        <v>1246.8170484276156</v>
      </c>
      <c r="C115" s="23">
        <v>58953.693999999996</v>
      </c>
      <c r="D115" s="23">
        <f t="shared" si="3"/>
        <v>589.53693999999996</v>
      </c>
    </row>
    <row r="116" spans="1:4">
      <c r="A116" s="22">
        <f t="shared" si="2"/>
        <v>125.78508276172406</v>
      </c>
      <c r="B116" s="22">
        <v>1257.8508276172406</v>
      </c>
      <c r="C116" s="23">
        <v>58827.111999999994</v>
      </c>
      <c r="D116" s="23">
        <f t="shared" si="3"/>
        <v>588.27111999999988</v>
      </c>
    </row>
    <row r="117" spans="1:4">
      <c r="A117" s="22">
        <f t="shared" si="2"/>
        <v>126.88846068068656</v>
      </c>
      <c r="B117" s="22">
        <v>1268.8846068068656</v>
      </c>
      <c r="C117" s="23">
        <v>58700.529999999992</v>
      </c>
      <c r="D117" s="23">
        <f t="shared" si="3"/>
        <v>587.00529999999992</v>
      </c>
    </row>
    <row r="118" spans="1:4">
      <c r="A118" s="22">
        <f t="shared" si="2"/>
        <v>127.99183859964906</v>
      </c>
      <c r="B118" s="22">
        <v>1279.9183859964905</v>
      </c>
      <c r="C118" s="23">
        <v>58573.947999999989</v>
      </c>
      <c r="D118" s="23">
        <f t="shared" si="3"/>
        <v>585.73947999999984</v>
      </c>
    </row>
    <row r="119" spans="1:4">
      <c r="A119" s="22">
        <f t="shared" si="2"/>
        <v>129.09521651861152</v>
      </c>
      <c r="B119" s="22">
        <v>1290.9521651861153</v>
      </c>
      <c r="C119" s="23">
        <v>58447.365999999987</v>
      </c>
      <c r="D119" s="23">
        <f t="shared" si="3"/>
        <v>584.47365999999988</v>
      </c>
    </row>
    <row r="120" spans="1:4">
      <c r="A120" s="22">
        <f t="shared" si="2"/>
        <v>130.19859443757403</v>
      </c>
      <c r="B120" s="22">
        <v>1301.9859443757402</v>
      </c>
      <c r="C120" s="23">
        <v>58320.783999999985</v>
      </c>
      <c r="D120" s="23">
        <f t="shared" si="3"/>
        <v>583.20783999999981</v>
      </c>
    </row>
    <row r="121" spans="1:4">
      <c r="A121" s="22">
        <f t="shared" si="2"/>
        <v>131.30197235653651</v>
      </c>
      <c r="B121" s="22">
        <v>1313.0197235653652</v>
      </c>
      <c r="C121" s="23">
        <v>58194.201999999983</v>
      </c>
      <c r="D121" s="23">
        <f t="shared" si="3"/>
        <v>581.94201999999984</v>
      </c>
    </row>
    <row r="122" spans="1:4">
      <c r="A122" s="22">
        <f t="shared" si="2"/>
        <v>132.40535027549902</v>
      </c>
      <c r="B122" s="22">
        <v>1324.0535027549902</v>
      </c>
      <c r="C122" s="23">
        <v>58067.62</v>
      </c>
      <c r="D122" s="23">
        <f t="shared" si="3"/>
        <v>580.67619999999999</v>
      </c>
    </row>
    <row r="123" spans="1:4">
      <c r="A123" s="22">
        <f t="shared" si="2"/>
        <v>133.50872819446153</v>
      </c>
      <c r="B123" s="22">
        <v>1335.0872819446151</v>
      </c>
      <c r="C123" s="23">
        <v>57941.512000000002</v>
      </c>
      <c r="D123" s="23">
        <f t="shared" si="3"/>
        <v>579.41512</v>
      </c>
    </row>
    <row r="124" spans="1:4">
      <c r="A124" s="22">
        <f t="shared" si="2"/>
        <v>134.61210611342398</v>
      </c>
      <c r="B124" s="22">
        <v>1346.1210611342399</v>
      </c>
      <c r="C124" s="23">
        <v>57815.404000000002</v>
      </c>
      <c r="D124" s="23">
        <f t="shared" si="3"/>
        <v>578.15404000000001</v>
      </c>
    </row>
    <row r="125" spans="1:4">
      <c r="A125" s="22">
        <f t="shared" si="2"/>
        <v>135.71548403238648</v>
      </c>
      <c r="B125" s="22">
        <v>1357.1548403238648</v>
      </c>
      <c r="C125" s="23">
        <v>57689.296000000002</v>
      </c>
      <c r="D125" s="23">
        <f t="shared" si="3"/>
        <v>576.89296000000002</v>
      </c>
    </row>
    <row r="126" spans="1:4">
      <c r="A126" s="22">
        <f t="shared" si="2"/>
        <v>136.81886195134899</v>
      </c>
      <c r="B126" s="22">
        <v>1368.1886195134898</v>
      </c>
      <c r="C126" s="23">
        <v>57563.188000000002</v>
      </c>
      <c r="D126" s="23">
        <f t="shared" si="3"/>
        <v>575.63188000000002</v>
      </c>
    </row>
    <row r="127" spans="1:4">
      <c r="A127" s="22">
        <f t="shared" si="2"/>
        <v>137.92223987031147</v>
      </c>
      <c r="B127" s="22">
        <v>1379.2223987031148</v>
      </c>
      <c r="C127" s="23">
        <v>57437.08</v>
      </c>
      <c r="D127" s="23">
        <f t="shared" si="3"/>
        <v>574.37080000000003</v>
      </c>
    </row>
    <row r="128" spans="1:4">
      <c r="A128" s="22">
        <f t="shared" si="2"/>
        <v>139.02561778927398</v>
      </c>
      <c r="B128" s="22">
        <v>1390.2561778927397</v>
      </c>
      <c r="C128" s="23">
        <v>57310.972000000002</v>
      </c>
      <c r="D128" s="23">
        <f t="shared" si="3"/>
        <v>573.10972000000004</v>
      </c>
    </row>
    <row r="129" spans="1:4">
      <c r="A129" s="22">
        <f t="shared" si="2"/>
        <v>140.12899570823646</v>
      </c>
      <c r="B129" s="22">
        <v>1401.2899570823645</v>
      </c>
      <c r="C129" s="23">
        <v>57184.864000000001</v>
      </c>
      <c r="D129" s="23">
        <f t="shared" si="3"/>
        <v>571.84864000000005</v>
      </c>
    </row>
    <row r="130" spans="1:4">
      <c r="A130" s="22">
        <f t="shared" si="2"/>
        <v>141.23237362719894</v>
      </c>
      <c r="B130" s="22">
        <v>1412.3237362719894</v>
      </c>
      <c r="C130" s="23">
        <v>57058.756000000001</v>
      </c>
      <c r="D130" s="23">
        <f t="shared" si="3"/>
        <v>570.58756000000005</v>
      </c>
    </row>
    <row r="131" spans="1:4">
      <c r="A131" s="22">
        <f t="shared" ref="A131:A194" si="4">$B131/10</f>
        <v>142.33575154616145</v>
      </c>
      <c r="B131" s="22">
        <v>1423.3575154616144</v>
      </c>
      <c r="C131" s="23">
        <v>56932.648000000001</v>
      </c>
      <c r="D131" s="23">
        <f t="shared" ref="D131:D194" si="5">$C131/100</f>
        <v>569.32648000000006</v>
      </c>
    </row>
    <row r="132" spans="1:4">
      <c r="A132" s="22">
        <f t="shared" si="4"/>
        <v>143.43912946512393</v>
      </c>
      <c r="B132" s="22">
        <v>1434.3912946512394</v>
      </c>
      <c r="C132" s="23">
        <v>56806.54</v>
      </c>
      <c r="D132" s="23">
        <f t="shared" si="5"/>
        <v>568.06539999999995</v>
      </c>
    </row>
    <row r="133" spans="1:4">
      <c r="A133" s="22">
        <f t="shared" si="4"/>
        <v>144.54250738408643</v>
      </c>
      <c r="B133" s="22">
        <v>1445.4250738408643</v>
      </c>
      <c r="C133" s="23">
        <v>56680.828000000001</v>
      </c>
      <c r="D133" s="23">
        <f t="shared" si="5"/>
        <v>566.80827999999997</v>
      </c>
    </row>
    <row r="134" spans="1:4">
      <c r="A134" s="22">
        <f t="shared" si="4"/>
        <v>145.64588530304891</v>
      </c>
      <c r="B134" s="22">
        <v>1456.4588530304891</v>
      </c>
      <c r="C134" s="23">
        <v>56555.116000000002</v>
      </c>
      <c r="D134" s="23">
        <f t="shared" si="5"/>
        <v>565.55115999999998</v>
      </c>
    </row>
    <row r="135" spans="1:4">
      <c r="A135" s="22">
        <f t="shared" si="4"/>
        <v>146.74926322201139</v>
      </c>
      <c r="B135" s="22">
        <v>1467.492632220114</v>
      </c>
      <c r="C135" s="23">
        <v>56429.404000000002</v>
      </c>
      <c r="D135" s="23">
        <f t="shared" si="5"/>
        <v>564.29404</v>
      </c>
    </row>
    <row r="136" spans="1:4">
      <c r="A136" s="22">
        <f t="shared" si="4"/>
        <v>147.8526411409739</v>
      </c>
      <c r="B136" s="22">
        <v>1478.526411409739</v>
      </c>
      <c r="C136" s="23">
        <v>56303.692000000003</v>
      </c>
      <c r="D136" s="23">
        <f t="shared" si="5"/>
        <v>563.03692000000001</v>
      </c>
    </row>
    <row r="137" spans="1:4">
      <c r="A137" s="22">
        <f t="shared" si="4"/>
        <v>148.95601905993641</v>
      </c>
      <c r="B137" s="22">
        <v>1489.560190599364</v>
      </c>
      <c r="C137" s="23">
        <v>56177.98</v>
      </c>
      <c r="D137" s="23">
        <f t="shared" si="5"/>
        <v>561.77980000000002</v>
      </c>
    </row>
    <row r="138" spans="1:4">
      <c r="A138" s="22">
        <f t="shared" si="4"/>
        <v>150.05939697889889</v>
      </c>
      <c r="B138" s="22">
        <v>1500.5939697889889</v>
      </c>
      <c r="C138" s="23">
        <v>56052.268000000004</v>
      </c>
      <c r="D138" s="23">
        <f t="shared" si="5"/>
        <v>560.52268000000004</v>
      </c>
    </row>
    <row r="139" spans="1:4">
      <c r="A139" s="22">
        <f t="shared" si="4"/>
        <v>151.16277489786137</v>
      </c>
      <c r="B139" s="22">
        <v>1511.6277489786137</v>
      </c>
      <c r="C139" s="23">
        <v>55926.556000000004</v>
      </c>
      <c r="D139" s="23">
        <f t="shared" si="5"/>
        <v>559.26556000000005</v>
      </c>
    </row>
    <row r="140" spans="1:4">
      <c r="A140" s="22">
        <f t="shared" si="4"/>
        <v>152.26615281682388</v>
      </c>
      <c r="B140" s="22">
        <v>1522.6615281682386</v>
      </c>
      <c r="C140" s="23">
        <v>55800.844000000005</v>
      </c>
      <c r="D140" s="23">
        <f t="shared" si="5"/>
        <v>558.00844000000006</v>
      </c>
    </row>
    <row r="141" spans="1:4">
      <c r="A141" s="22">
        <f t="shared" si="4"/>
        <v>153.36953073578636</v>
      </c>
      <c r="B141" s="22">
        <v>1533.6953073578636</v>
      </c>
      <c r="C141" s="23">
        <v>55675.132000000005</v>
      </c>
      <c r="D141" s="23">
        <f t="shared" si="5"/>
        <v>556.75132000000008</v>
      </c>
    </row>
    <row r="142" spans="1:4">
      <c r="A142" s="22">
        <f t="shared" si="4"/>
        <v>154.47290865474886</v>
      </c>
      <c r="B142" s="22">
        <v>1544.7290865474886</v>
      </c>
      <c r="C142" s="23">
        <v>55549.42</v>
      </c>
      <c r="D142" s="23">
        <f t="shared" si="5"/>
        <v>555.49419999999998</v>
      </c>
    </row>
    <row r="143" spans="1:4">
      <c r="A143" s="22">
        <f t="shared" si="4"/>
        <v>155.57628657371134</v>
      </c>
      <c r="B143" s="22">
        <v>1555.7628657371133</v>
      </c>
      <c r="C143" s="23">
        <v>55423.92</v>
      </c>
      <c r="D143" s="23">
        <f t="shared" si="5"/>
        <v>554.23919999999998</v>
      </c>
    </row>
    <row r="144" spans="1:4">
      <c r="A144" s="22">
        <f t="shared" si="4"/>
        <v>156.67966449267382</v>
      </c>
      <c r="B144" s="22">
        <v>1566.7966449267383</v>
      </c>
      <c r="C144" s="23">
        <v>55298.42</v>
      </c>
      <c r="D144" s="23">
        <f t="shared" si="5"/>
        <v>552.98419999999999</v>
      </c>
    </row>
    <row r="145" spans="1:4">
      <c r="A145" s="22">
        <f t="shared" si="4"/>
        <v>157.78304241163633</v>
      </c>
      <c r="B145" s="22">
        <v>1577.8304241163632</v>
      </c>
      <c r="C145" s="23">
        <v>55172.92</v>
      </c>
      <c r="D145" s="23">
        <f t="shared" si="5"/>
        <v>551.72919999999999</v>
      </c>
    </row>
    <row r="146" spans="1:4">
      <c r="A146" s="22">
        <f t="shared" si="4"/>
        <v>158.88642033059881</v>
      </c>
      <c r="B146" s="22">
        <v>1588.8642033059882</v>
      </c>
      <c r="C146" s="23">
        <v>55047.42</v>
      </c>
      <c r="D146" s="23">
        <f t="shared" si="5"/>
        <v>550.4742</v>
      </c>
    </row>
    <row r="147" spans="1:4">
      <c r="A147" s="22">
        <f t="shared" si="4"/>
        <v>159.98979824956132</v>
      </c>
      <c r="B147" s="22">
        <v>1599.8979824956132</v>
      </c>
      <c r="C147" s="23">
        <v>54921.919999999998</v>
      </c>
      <c r="D147" s="23">
        <f t="shared" si="5"/>
        <v>549.2192</v>
      </c>
    </row>
    <row r="148" spans="1:4">
      <c r="A148" s="22">
        <f t="shared" si="4"/>
        <v>161.0931761685238</v>
      </c>
      <c r="B148" s="22">
        <v>1610.9317616852379</v>
      </c>
      <c r="C148" s="23">
        <v>54796.42</v>
      </c>
      <c r="D148" s="23">
        <f t="shared" si="5"/>
        <v>547.96420000000001</v>
      </c>
    </row>
    <row r="149" spans="1:4">
      <c r="A149" s="22">
        <f t="shared" si="4"/>
        <v>162.19655408748628</v>
      </c>
      <c r="B149" s="22">
        <v>1621.9655408748629</v>
      </c>
      <c r="C149" s="23">
        <v>54670.92</v>
      </c>
      <c r="D149" s="23">
        <f t="shared" si="5"/>
        <v>546.70920000000001</v>
      </c>
    </row>
    <row r="150" spans="1:4">
      <c r="A150" s="22">
        <f t="shared" si="4"/>
        <v>163.29993200644878</v>
      </c>
      <c r="B150" s="22">
        <v>1632.9993200644878</v>
      </c>
      <c r="C150" s="23">
        <v>54545.42</v>
      </c>
      <c r="D150" s="23">
        <f t="shared" si="5"/>
        <v>545.45420000000001</v>
      </c>
    </row>
    <row r="151" spans="1:4">
      <c r="A151" s="22">
        <f t="shared" si="4"/>
        <v>164.40330992541129</v>
      </c>
      <c r="B151" s="22">
        <v>1644.0330992541128</v>
      </c>
      <c r="C151" s="23">
        <v>54419.92</v>
      </c>
      <c r="D151" s="23">
        <f t="shared" si="5"/>
        <v>544.19920000000002</v>
      </c>
    </row>
    <row r="152" spans="1:4">
      <c r="A152" s="22">
        <f t="shared" si="4"/>
        <v>165.50668784437377</v>
      </c>
      <c r="B152" s="22">
        <v>1655.0668784437378</v>
      </c>
      <c r="C152" s="23">
        <v>54294.42</v>
      </c>
      <c r="D152" s="23">
        <f t="shared" si="5"/>
        <v>542.94420000000002</v>
      </c>
    </row>
    <row r="153" spans="1:4">
      <c r="A153" s="22">
        <f t="shared" si="4"/>
        <v>166.61006576333625</v>
      </c>
      <c r="B153" s="22">
        <v>1666.1006576333625</v>
      </c>
      <c r="C153" s="23">
        <v>54168.92</v>
      </c>
      <c r="D153" s="23">
        <f t="shared" si="5"/>
        <v>541.68920000000003</v>
      </c>
    </row>
    <row r="154" spans="1:4">
      <c r="A154" s="22">
        <f t="shared" si="4"/>
        <v>167.71344368229876</v>
      </c>
      <c r="B154" s="22">
        <v>1677.1344368229875</v>
      </c>
      <c r="C154" s="23">
        <v>54043.42</v>
      </c>
      <c r="D154" s="23">
        <f t="shared" si="5"/>
        <v>540.43420000000003</v>
      </c>
    </row>
    <row r="155" spans="1:4">
      <c r="A155" s="22">
        <f t="shared" si="4"/>
        <v>168.81682160126124</v>
      </c>
      <c r="B155" s="22">
        <v>1688.1682160126124</v>
      </c>
      <c r="C155" s="23">
        <v>53917.919999999998</v>
      </c>
      <c r="D155" s="23">
        <f t="shared" si="5"/>
        <v>539.17920000000004</v>
      </c>
    </row>
    <row r="156" spans="1:4">
      <c r="A156" s="22">
        <f t="shared" si="4"/>
        <v>169.92019952022375</v>
      </c>
      <c r="B156" s="22">
        <v>1699.2019952022374</v>
      </c>
      <c r="C156" s="23">
        <v>53792.42</v>
      </c>
      <c r="D156" s="23">
        <f t="shared" si="5"/>
        <v>537.92419999999993</v>
      </c>
    </row>
    <row r="157" spans="1:4">
      <c r="A157" s="22">
        <f t="shared" si="4"/>
        <v>171.02357743918623</v>
      </c>
      <c r="B157" s="22">
        <v>1710.2357743918624</v>
      </c>
      <c r="C157" s="23">
        <v>53666.92</v>
      </c>
      <c r="D157" s="23">
        <f t="shared" si="5"/>
        <v>536.66919999999993</v>
      </c>
    </row>
    <row r="158" spans="1:4">
      <c r="A158" s="22">
        <f t="shared" si="4"/>
        <v>172.12695535814871</v>
      </c>
      <c r="B158" s="22">
        <v>1721.2695535814871</v>
      </c>
      <c r="C158" s="23">
        <v>53541.42</v>
      </c>
      <c r="D158" s="23">
        <f t="shared" si="5"/>
        <v>535.41419999999994</v>
      </c>
    </row>
    <row r="159" spans="1:4">
      <c r="A159" s="22">
        <f t="shared" si="4"/>
        <v>173.23033327711121</v>
      </c>
      <c r="B159" s="22">
        <v>1732.3033327711121</v>
      </c>
      <c r="C159" s="23">
        <v>53415.92</v>
      </c>
      <c r="D159" s="23">
        <f t="shared" si="5"/>
        <v>534.15919999999994</v>
      </c>
    </row>
    <row r="160" spans="1:4">
      <c r="A160" s="22">
        <f t="shared" si="4"/>
        <v>174.33371119607369</v>
      </c>
      <c r="B160" s="22">
        <v>1743.337111960737</v>
      </c>
      <c r="C160" s="23">
        <v>53290.42</v>
      </c>
      <c r="D160" s="23">
        <f t="shared" si="5"/>
        <v>532.90419999999995</v>
      </c>
    </row>
    <row r="161" spans="1:4">
      <c r="A161" s="22">
        <f t="shared" si="4"/>
        <v>175.4370891150362</v>
      </c>
      <c r="B161" s="22">
        <v>1754.370891150362</v>
      </c>
      <c r="C161" s="23">
        <v>53164.92</v>
      </c>
      <c r="D161" s="23">
        <f t="shared" si="5"/>
        <v>531.64919999999995</v>
      </c>
    </row>
    <row r="162" spans="1:4">
      <c r="A162" s="22">
        <f t="shared" si="4"/>
        <v>176.54046703399868</v>
      </c>
      <c r="B162" s="22">
        <v>1765.4046703399868</v>
      </c>
      <c r="C162" s="23">
        <v>53039.42</v>
      </c>
      <c r="D162" s="23">
        <f t="shared" si="5"/>
        <v>530.39419999999996</v>
      </c>
    </row>
    <row r="163" spans="1:4">
      <c r="A163" s="22">
        <f t="shared" si="4"/>
        <v>177.64384495296116</v>
      </c>
      <c r="B163" s="22">
        <v>1776.4384495296117</v>
      </c>
      <c r="C163" s="23">
        <v>52913.919999999998</v>
      </c>
      <c r="D163" s="23">
        <f t="shared" si="5"/>
        <v>529.13919999999996</v>
      </c>
    </row>
    <row r="164" spans="1:4">
      <c r="A164" s="22">
        <f t="shared" si="4"/>
        <v>178.74722287192367</v>
      </c>
      <c r="B164" s="22">
        <v>1787.4722287192367</v>
      </c>
      <c r="C164" s="23">
        <v>52788.42</v>
      </c>
      <c r="D164" s="23">
        <f t="shared" si="5"/>
        <v>527.88419999999996</v>
      </c>
    </row>
    <row r="165" spans="1:4">
      <c r="A165" s="22">
        <f t="shared" si="4"/>
        <v>179.85060079088618</v>
      </c>
      <c r="B165" s="22">
        <v>1798.5060079088616</v>
      </c>
      <c r="C165" s="23">
        <v>52662.92</v>
      </c>
      <c r="D165" s="23">
        <f t="shared" si="5"/>
        <v>526.62919999999997</v>
      </c>
    </row>
    <row r="166" spans="1:4">
      <c r="A166" s="22">
        <f t="shared" si="4"/>
        <v>180.95397870984866</v>
      </c>
      <c r="B166" s="22">
        <v>1809.5397870984866</v>
      </c>
      <c r="C166" s="23">
        <v>52537.42</v>
      </c>
      <c r="D166" s="23">
        <f t="shared" si="5"/>
        <v>525.37419999999997</v>
      </c>
    </row>
    <row r="167" spans="1:4">
      <c r="A167" s="22">
        <f t="shared" si="4"/>
        <v>182.05735662881114</v>
      </c>
      <c r="B167" s="22">
        <v>1820.5735662881114</v>
      </c>
      <c r="C167" s="23">
        <v>52411.92</v>
      </c>
      <c r="D167" s="23">
        <f t="shared" si="5"/>
        <v>524.11919999999998</v>
      </c>
    </row>
    <row r="168" spans="1:4">
      <c r="A168" s="22">
        <f t="shared" si="4"/>
        <v>183.16073454777364</v>
      </c>
      <c r="B168" s="22">
        <v>1831.6073454777363</v>
      </c>
      <c r="C168" s="23">
        <v>52286.42</v>
      </c>
      <c r="D168" s="23">
        <f t="shared" si="5"/>
        <v>522.86419999999998</v>
      </c>
    </row>
    <row r="169" spans="1:4">
      <c r="A169" s="22">
        <f t="shared" si="4"/>
        <v>184.26411246673612</v>
      </c>
      <c r="B169" s="22">
        <v>1842.6411246673613</v>
      </c>
      <c r="C169" s="23">
        <v>52160.92</v>
      </c>
      <c r="D169" s="23">
        <f t="shared" si="5"/>
        <v>521.60919999999999</v>
      </c>
    </row>
    <row r="170" spans="1:4">
      <c r="A170" s="22">
        <f t="shared" si="4"/>
        <v>185.36749038569863</v>
      </c>
      <c r="B170" s="22">
        <v>1853.6749038569862</v>
      </c>
      <c r="C170" s="23">
        <v>52035.42</v>
      </c>
      <c r="D170" s="23">
        <f t="shared" si="5"/>
        <v>520.35419999999999</v>
      </c>
    </row>
    <row r="171" spans="1:4">
      <c r="A171" s="22">
        <f t="shared" si="4"/>
        <v>186.47086830466111</v>
      </c>
      <c r="B171" s="22">
        <v>1864.7086830466112</v>
      </c>
      <c r="C171" s="23">
        <v>51909.919999999998</v>
      </c>
      <c r="D171" s="23">
        <f t="shared" si="5"/>
        <v>519.0992</v>
      </c>
    </row>
    <row r="172" spans="1:4">
      <c r="A172" s="22">
        <f t="shared" si="4"/>
        <v>187.57424622362359</v>
      </c>
      <c r="B172" s="22">
        <v>1875.742462236236</v>
      </c>
      <c r="C172" s="23">
        <v>51784.42</v>
      </c>
      <c r="D172" s="23">
        <f t="shared" si="5"/>
        <v>517.8442</v>
      </c>
    </row>
    <row r="173" spans="1:4">
      <c r="A173" s="22">
        <f t="shared" si="4"/>
        <v>188.6776241425861</v>
      </c>
      <c r="B173" s="22">
        <v>1886.7762414258609</v>
      </c>
      <c r="C173" s="23">
        <v>51658.92</v>
      </c>
      <c r="D173" s="23">
        <f t="shared" si="5"/>
        <v>516.58920000000001</v>
      </c>
    </row>
    <row r="174" spans="1:4">
      <c r="A174" s="22">
        <f t="shared" si="4"/>
        <v>189.78100206154858</v>
      </c>
      <c r="B174" s="22">
        <v>1897.8100206154859</v>
      </c>
      <c r="C174" s="23">
        <v>51533.42</v>
      </c>
      <c r="D174" s="23">
        <f t="shared" si="5"/>
        <v>515.33420000000001</v>
      </c>
    </row>
    <row r="175" spans="1:4">
      <c r="A175" s="22">
        <f t="shared" si="4"/>
        <v>190.88437998051108</v>
      </c>
      <c r="B175" s="22">
        <v>1908.8437998051108</v>
      </c>
      <c r="C175" s="23">
        <v>51407.92</v>
      </c>
      <c r="D175" s="23">
        <f t="shared" si="5"/>
        <v>514.07920000000001</v>
      </c>
    </row>
    <row r="176" spans="1:4">
      <c r="A176" s="22">
        <f t="shared" si="4"/>
        <v>191.98775789947359</v>
      </c>
      <c r="B176" s="22">
        <v>1919.8775789947358</v>
      </c>
      <c r="C176" s="23">
        <v>51282.42</v>
      </c>
      <c r="D176" s="23">
        <f t="shared" si="5"/>
        <v>512.82420000000002</v>
      </c>
    </row>
    <row r="177" spans="1:4">
      <c r="A177" s="22">
        <f t="shared" si="4"/>
        <v>193.09113581843604</v>
      </c>
      <c r="B177" s="22">
        <v>1930.9113581843606</v>
      </c>
      <c r="C177" s="23">
        <v>51156.92</v>
      </c>
      <c r="D177" s="23">
        <f t="shared" si="5"/>
        <v>511.56919999999997</v>
      </c>
    </row>
    <row r="178" spans="1:4">
      <c r="A178" s="22">
        <f t="shared" si="4"/>
        <v>194.19451373739855</v>
      </c>
      <c r="B178" s="22">
        <v>1941.9451373739855</v>
      </c>
      <c r="C178" s="23">
        <v>51031.42</v>
      </c>
      <c r="D178" s="23">
        <f t="shared" si="5"/>
        <v>510.31419999999997</v>
      </c>
    </row>
    <row r="179" spans="1:4">
      <c r="A179" s="22">
        <f t="shared" si="4"/>
        <v>195.29789165636106</v>
      </c>
      <c r="B179" s="22">
        <v>1952.9789165636105</v>
      </c>
      <c r="C179" s="23">
        <v>50905.919999999998</v>
      </c>
      <c r="D179" s="23">
        <f t="shared" si="5"/>
        <v>509.05919999999998</v>
      </c>
    </row>
    <row r="180" spans="1:4">
      <c r="A180" s="22">
        <f t="shared" si="4"/>
        <v>196.40126957532354</v>
      </c>
      <c r="B180" s="22">
        <v>1964.0126957532354</v>
      </c>
      <c r="C180" s="23">
        <v>50780.42</v>
      </c>
      <c r="D180" s="23">
        <f t="shared" si="5"/>
        <v>507.80419999999998</v>
      </c>
    </row>
    <row r="181" spans="1:4">
      <c r="A181" s="22">
        <f t="shared" si="4"/>
        <v>197.50464749428605</v>
      </c>
      <c r="B181" s="22">
        <v>1975.0464749428604</v>
      </c>
      <c r="C181" s="23">
        <v>50654.92</v>
      </c>
      <c r="D181" s="23">
        <f t="shared" si="5"/>
        <v>506.54919999999998</v>
      </c>
    </row>
    <row r="182" spans="1:4">
      <c r="A182" s="22">
        <f t="shared" si="4"/>
        <v>198.60802541324853</v>
      </c>
      <c r="B182" s="22">
        <v>1986.0802541324852</v>
      </c>
      <c r="C182" s="23">
        <v>50529.42</v>
      </c>
      <c r="D182" s="23">
        <f t="shared" si="5"/>
        <v>505.29419999999999</v>
      </c>
    </row>
    <row r="183" spans="1:4">
      <c r="A183" s="22">
        <f t="shared" si="4"/>
        <v>199.71140333221101</v>
      </c>
      <c r="B183" s="22">
        <v>1997.1140333221101</v>
      </c>
      <c r="C183" s="23">
        <v>50403.92</v>
      </c>
      <c r="D183" s="23">
        <f t="shared" si="5"/>
        <v>504.03919999999999</v>
      </c>
    </row>
    <row r="184" spans="1:4">
      <c r="A184" s="22">
        <f t="shared" si="4"/>
        <v>200.81478125117351</v>
      </c>
      <c r="B184" s="22">
        <v>2008.1478125117351</v>
      </c>
      <c r="C184" s="23">
        <v>50278.42</v>
      </c>
      <c r="D184" s="23">
        <f t="shared" si="5"/>
        <v>502.7842</v>
      </c>
    </row>
    <row r="185" spans="1:4">
      <c r="A185" s="22">
        <f t="shared" si="4"/>
        <v>201.91815917013599</v>
      </c>
      <c r="B185" s="22">
        <v>2019.18159170136</v>
      </c>
      <c r="C185" s="23">
        <v>50152.92</v>
      </c>
      <c r="D185" s="23">
        <f t="shared" si="5"/>
        <v>501.5292</v>
      </c>
    </row>
    <row r="186" spans="1:4">
      <c r="A186" s="22">
        <f t="shared" si="4"/>
        <v>203.02153708909847</v>
      </c>
      <c r="B186" s="22">
        <v>2030.2153708909848</v>
      </c>
      <c r="C186" s="23">
        <v>50027.42</v>
      </c>
      <c r="D186" s="23">
        <f t="shared" si="5"/>
        <v>500.27420000000001</v>
      </c>
    </row>
    <row r="187" spans="1:4">
      <c r="A187" s="22">
        <f t="shared" si="4"/>
        <v>204.12491500806098</v>
      </c>
      <c r="B187" s="22">
        <v>2041.2491500806098</v>
      </c>
      <c r="C187" s="23">
        <v>49901.919999999998</v>
      </c>
      <c r="D187" s="23">
        <f t="shared" si="5"/>
        <v>499.01919999999996</v>
      </c>
    </row>
    <row r="188" spans="1:4">
      <c r="A188" s="22">
        <f t="shared" si="4"/>
        <v>205.22829292702349</v>
      </c>
      <c r="B188" s="22">
        <v>2052.2829292702349</v>
      </c>
      <c r="C188" s="23">
        <v>49776.42</v>
      </c>
      <c r="D188" s="23">
        <f t="shared" si="5"/>
        <v>497.76419999999996</v>
      </c>
    </row>
    <row r="189" spans="1:4">
      <c r="A189" s="22">
        <f t="shared" si="4"/>
        <v>206.33167084598594</v>
      </c>
      <c r="B189" s="22">
        <v>2063.3167084598595</v>
      </c>
      <c r="C189" s="23">
        <v>49650.92</v>
      </c>
      <c r="D189" s="23">
        <f t="shared" si="5"/>
        <v>496.50919999999996</v>
      </c>
    </row>
    <row r="190" spans="1:4">
      <c r="A190" s="22">
        <f t="shared" si="4"/>
        <v>207.43504876494845</v>
      </c>
      <c r="B190" s="22">
        <v>2074.3504876494844</v>
      </c>
      <c r="C190" s="23">
        <v>49525.42</v>
      </c>
      <c r="D190" s="23">
        <f t="shared" si="5"/>
        <v>495.25419999999997</v>
      </c>
    </row>
    <row r="191" spans="1:4">
      <c r="A191" s="22">
        <f t="shared" si="4"/>
        <v>208.53842668391093</v>
      </c>
      <c r="B191" s="22">
        <v>2085.3842668391094</v>
      </c>
      <c r="C191" s="23">
        <v>49399.92</v>
      </c>
      <c r="D191" s="23">
        <f t="shared" si="5"/>
        <v>493.99919999999997</v>
      </c>
    </row>
    <row r="192" spans="1:4">
      <c r="A192" s="22">
        <f t="shared" si="4"/>
        <v>209.64180460287344</v>
      </c>
      <c r="B192" s="22">
        <v>2096.4180460287344</v>
      </c>
      <c r="C192" s="23">
        <v>49274.42</v>
      </c>
      <c r="D192" s="23">
        <f t="shared" si="5"/>
        <v>492.74419999999998</v>
      </c>
    </row>
    <row r="193" spans="1:4">
      <c r="A193" s="22">
        <f t="shared" si="4"/>
        <v>210.74518252183594</v>
      </c>
      <c r="B193" s="22">
        <v>2107.4518252183593</v>
      </c>
      <c r="C193" s="23">
        <v>49148.92</v>
      </c>
      <c r="D193" s="23">
        <f t="shared" si="5"/>
        <v>491.48919999999998</v>
      </c>
    </row>
    <row r="194" spans="1:4">
      <c r="A194" s="22">
        <f t="shared" si="4"/>
        <v>211.84856044079842</v>
      </c>
      <c r="B194" s="22">
        <v>2118.4856044079843</v>
      </c>
      <c r="C194" s="23">
        <v>49023.42</v>
      </c>
      <c r="D194" s="23">
        <f t="shared" si="5"/>
        <v>490.23419999999999</v>
      </c>
    </row>
    <row r="195" spans="1:4">
      <c r="A195" s="22">
        <f t="shared" ref="A195:A258" si="6">$B195/10</f>
        <v>212.95193835976093</v>
      </c>
      <c r="B195" s="22">
        <v>2129.5193835976092</v>
      </c>
      <c r="C195" s="23">
        <v>48897.919999999998</v>
      </c>
      <c r="D195" s="23">
        <f t="shared" ref="D195:D258" si="7">$C195/100</f>
        <v>488.97919999999999</v>
      </c>
    </row>
    <row r="196" spans="1:4">
      <c r="A196" s="22">
        <f t="shared" si="6"/>
        <v>214.05531627872341</v>
      </c>
      <c r="B196" s="22">
        <v>2140.5531627872342</v>
      </c>
      <c r="C196" s="23">
        <v>48772.42</v>
      </c>
      <c r="D196" s="23">
        <f t="shared" si="7"/>
        <v>487.7242</v>
      </c>
    </row>
    <row r="197" spans="1:4">
      <c r="A197" s="22">
        <f t="shared" si="6"/>
        <v>215.15869419768592</v>
      </c>
      <c r="B197" s="22">
        <v>2151.5869419768592</v>
      </c>
      <c r="C197" s="23">
        <v>48646.92</v>
      </c>
      <c r="D197" s="23">
        <f t="shared" si="7"/>
        <v>486.4692</v>
      </c>
    </row>
    <row r="198" spans="1:4">
      <c r="A198" s="22">
        <f t="shared" si="6"/>
        <v>216.26207211664837</v>
      </c>
      <c r="B198" s="22">
        <v>2162.6207211664837</v>
      </c>
      <c r="C198" s="23">
        <v>48521.42</v>
      </c>
      <c r="D198" s="23">
        <f t="shared" si="7"/>
        <v>485.21420000000001</v>
      </c>
    </row>
    <row r="199" spans="1:4">
      <c r="A199" s="22">
        <f t="shared" si="6"/>
        <v>217.36545003561088</v>
      </c>
      <c r="B199" s="22">
        <v>2173.6545003561087</v>
      </c>
      <c r="C199" s="23">
        <v>48395.92</v>
      </c>
      <c r="D199" s="23">
        <f t="shared" si="7"/>
        <v>483.95920000000001</v>
      </c>
    </row>
    <row r="200" spans="1:4">
      <c r="A200" s="22">
        <f t="shared" si="6"/>
        <v>218.46882795457336</v>
      </c>
      <c r="B200" s="22">
        <v>2184.6882795457336</v>
      </c>
      <c r="C200" s="23">
        <v>48270.42</v>
      </c>
      <c r="D200" s="23">
        <f t="shared" si="7"/>
        <v>482.70419999999996</v>
      </c>
    </row>
    <row r="201" spans="1:4">
      <c r="A201" s="22">
        <f t="shared" si="6"/>
        <v>219.57220587353586</v>
      </c>
      <c r="B201" s="22">
        <v>2195.7220587353586</v>
      </c>
      <c r="C201" s="23">
        <v>48144.92</v>
      </c>
      <c r="D201" s="23">
        <f t="shared" si="7"/>
        <v>481.44919999999996</v>
      </c>
    </row>
    <row r="202" spans="1:4">
      <c r="A202" s="22">
        <f t="shared" si="6"/>
        <v>220.67558379249834</v>
      </c>
      <c r="B202" s="22">
        <v>2206.7558379249836</v>
      </c>
      <c r="C202" s="23">
        <v>48019.42</v>
      </c>
      <c r="D202" s="23">
        <f t="shared" si="7"/>
        <v>480.19419999999997</v>
      </c>
    </row>
    <row r="203" spans="1:4">
      <c r="A203" s="22">
        <f t="shared" si="6"/>
        <v>221.77896171146085</v>
      </c>
      <c r="B203" s="22">
        <v>2217.7896171146085</v>
      </c>
      <c r="C203" s="23">
        <v>47893.919999999998</v>
      </c>
      <c r="D203" s="23">
        <f t="shared" si="7"/>
        <v>478.93919999999997</v>
      </c>
    </row>
    <row r="204" spans="1:4">
      <c r="A204" s="22">
        <f t="shared" si="6"/>
        <v>222.88233963042336</v>
      </c>
      <c r="B204" s="22">
        <v>2228.8233963042335</v>
      </c>
      <c r="C204" s="23">
        <v>47768.42</v>
      </c>
      <c r="D204" s="23">
        <f t="shared" si="7"/>
        <v>477.68419999999998</v>
      </c>
    </row>
    <row r="205" spans="1:4">
      <c r="A205" s="22">
        <f t="shared" si="6"/>
        <v>223.98571754938584</v>
      </c>
      <c r="B205" s="22">
        <v>2239.8571754938584</v>
      </c>
      <c r="C205" s="23">
        <v>47642.92</v>
      </c>
      <c r="D205" s="23">
        <f t="shared" si="7"/>
        <v>476.42919999999998</v>
      </c>
    </row>
    <row r="206" spans="1:4">
      <c r="A206" s="22">
        <f t="shared" si="6"/>
        <v>225.08909546834835</v>
      </c>
      <c r="B206" s="22">
        <v>2250.8909546834834</v>
      </c>
      <c r="C206" s="23">
        <v>47517.42</v>
      </c>
      <c r="D206" s="23">
        <f t="shared" si="7"/>
        <v>475.17419999999998</v>
      </c>
    </row>
    <row r="207" spans="1:4">
      <c r="A207" s="22">
        <f t="shared" si="6"/>
        <v>226.19247338731083</v>
      </c>
      <c r="B207" s="22">
        <v>2261.9247338731084</v>
      </c>
      <c r="C207" s="23">
        <v>47391.92</v>
      </c>
      <c r="D207" s="23">
        <f t="shared" si="7"/>
        <v>473.91919999999999</v>
      </c>
    </row>
    <row r="208" spans="1:4">
      <c r="A208" s="22">
        <f t="shared" si="6"/>
        <v>227.29585130627328</v>
      </c>
      <c r="B208" s="22">
        <v>2272.9585130627329</v>
      </c>
      <c r="C208" s="23">
        <v>47266.42</v>
      </c>
      <c r="D208" s="23">
        <f t="shared" si="7"/>
        <v>472.66419999999999</v>
      </c>
    </row>
    <row r="209" spans="1:4">
      <c r="A209" s="22">
        <f t="shared" si="6"/>
        <v>228.39922922523579</v>
      </c>
      <c r="B209" s="22">
        <v>2283.9922922523579</v>
      </c>
      <c r="C209" s="23">
        <v>47140.92</v>
      </c>
      <c r="D209" s="23">
        <f t="shared" si="7"/>
        <v>471.4092</v>
      </c>
    </row>
    <row r="210" spans="1:4">
      <c r="A210" s="22">
        <f t="shared" si="6"/>
        <v>229.50260714419829</v>
      </c>
      <c r="B210" s="22">
        <v>2295.0260714419828</v>
      </c>
      <c r="C210" s="23">
        <v>47015.42</v>
      </c>
      <c r="D210" s="23">
        <f t="shared" si="7"/>
        <v>470.1542</v>
      </c>
    </row>
    <row r="211" spans="1:4">
      <c r="A211" s="22">
        <f t="shared" si="6"/>
        <v>230.60598506316077</v>
      </c>
      <c r="B211" s="22">
        <v>2306.0598506316078</v>
      </c>
      <c r="C211" s="23">
        <v>46889.919999999998</v>
      </c>
      <c r="D211" s="23">
        <f t="shared" si="7"/>
        <v>468.89920000000001</v>
      </c>
    </row>
    <row r="212" spans="1:4">
      <c r="A212" s="22">
        <f t="shared" si="6"/>
        <v>231.70936298212328</v>
      </c>
      <c r="B212" s="22">
        <v>2317.0936298212328</v>
      </c>
      <c r="C212" s="23">
        <v>46764.42</v>
      </c>
      <c r="D212" s="23">
        <f t="shared" si="7"/>
        <v>467.64419999999996</v>
      </c>
    </row>
    <row r="213" spans="1:4">
      <c r="A213" s="22">
        <f t="shared" si="6"/>
        <v>232.81274090108576</v>
      </c>
      <c r="B213" s="22">
        <v>2328.1274090108577</v>
      </c>
      <c r="C213" s="23">
        <v>46638.92</v>
      </c>
      <c r="D213" s="23">
        <f t="shared" si="7"/>
        <v>466.38919999999996</v>
      </c>
    </row>
    <row r="214" spans="1:4">
      <c r="A214" s="22">
        <f t="shared" si="6"/>
        <v>233.91611882004827</v>
      </c>
      <c r="B214" s="22">
        <v>2339.1611882004827</v>
      </c>
      <c r="C214" s="23">
        <v>46513.42</v>
      </c>
      <c r="D214" s="23">
        <f t="shared" si="7"/>
        <v>465.13419999999996</v>
      </c>
    </row>
    <row r="215" spans="1:4">
      <c r="A215" s="22">
        <f t="shared" si="6"/>
        <v>235.01949673901078</v>
      </c>
      <c r="B215" s="22">
        <v>2350.1949673901076</v>
      </c>
      <c r="C215" s="23">
        <v>46387.92</v>
      </c>
      <c r="D215" s="23">
        <f t="shared" si="7"/>
        <v>463.87919999999997</v>
      </c>
    </row>
    <row r="216" spans="1:4">
      <c r="A216" s="22">
        <f t="shared" si="6"/>
        <v>236.12287465797326</v>
      </c>
      <c r="B216" s="22">
        <v>2361.2287465797326</v>
      </c>
      <c r="C216" s="23">
        <v>46262.42</v>
      </c>
      <c r="D216" s="23">
        <f t="shared" si="7"/>
        <v>462.62419999999997</v>
      </c>
    </row>
    <row r="217" spans="1:4">
      <c r="A217" s="22">
        <f t="shared" si="6"/>
        <v>237.22625257693571</v>
      </c>
      <c r="B217" s="22">
        <v>2372.2625257693571</v>
      </c>
      <c r="C217" s="23">
        <v>46136.92</v>
      </c>
      <c r="D217" s="23">
        <f t="shared" si="7"/>
        <v>461.36919999999998</v>
      </c>
    </row>
    <row r="218" spans="1:4">
      <c r="A218" s="22">
        <f t="shared" si="6"/>
        <v>238.32963049589821</v>
      </c>
      <c r="B218" s="22">
        <v>2383.2963049589821</v>
      </c>
      <c r="C218" s="23">
        <v>46011.42</v>
      </c>
      <c r="D218" s="23">
        <f t="shared" si="7"/>
        <v>460.11419999999998</v>
      </c>
    </row>
    <row r="219" spans="1:4">
      <c r="A219" s="22">
        <f t="shared" si="6"/>
        <v>239.43300841486069</v>
      </c>
      <c r="B219" s="22">
        <v>2394.3300841486071</v>
      </c>
      <c r="C219" s="23">
        <v>45885.919999999998</v>
      </c>
      <c r="D219" s="23">
        <f t="shared" si="7"/>
        <v>458.85919999999999</v>
      </c>
    </row>
    <row r="220" spans="1:4">
      <c r="A220" s="22">
        <f t="shared" si="6"/>
        <v>240.5363863338232</v>
      </c>
      <c r="B220" s="22">
        <v>2405.363863338232</v>
      </c>
      <c r="C220" s="23">
        <v>45760.42</v>
      </c>
      <c r="D220" s="23">
        <f t="shared" si="7"/>
        <v>457.60419999999999</v>
      </c>
    </row>
    <row r="221" spans="1:4">
      <c r="A221" s="22">
        <f t="shared" si="6"/>
        <v>241.63976425278571</v>
      </c>
      <c r="B221" s="22">
        <v>2416.397642527857</v>
      </c>
      <c r="C221" s="23">
        <v>45634.92</v>
      </c>
      <c r="D221" s="23">
        <f t="shared" si="7"/>
        <v>456.3492</v>
      </c>
    </row>
    <row r="222" spans="1:4">
      <c r="A222" s="22">
        <f t="shared" si="6"/>
        <v>242.74314217174819</v>
      </c>
      <c r="B222" s="22">
        <v>2427.431421717482</v>
      </c>
      <c r="C222" s="23">
        <v>45509.42</v>
      </c>
      <c r="D222" s="23">
        <f t="shared" si="7"/>
        <v>455.0942</v>
      </c>
    </row>
    <row r="223" spans="1:4">
      <c r="A223" s="22">
        <f t="shared" si="6"/>
        <v>243.8465200907107</v>
      </c>
      <c r="B223" s="22">
        <v>2438.4652009071069</v>
      </c>
      <c r="C223" s="23">
        <v>45383.92</v>
      </c>
      <c r="D223" s="23">
        <f t="shared" si="7"/>
        <v>453.83920000000001</v>
      </c>
    </row>
    <row r="224" spans="1:4">
      <c r="A224" s="22">
        <f t="shared" si="6"/>
        <v>244.94989800967318</v>
      </c>
      <c r="B224" s="22">
        <v>2449.4989800967319</v>
      </c>
      <c r="C224" s="23">
        <v>45258.42</v>
      </c>
      <c r="D224" s="23">
        <f t="shared" si="7"/>
        <v>452.58420000000001</v>
      </c>
    </row>
    <row r="225" spans="1:4">
      <c r="A225" s="22">
        <f t="shared" si="6"/>
        <v>246.05327592863568</v>
      </c>
      <c r="B225" s="22">
        <v>2460.5327592863568</v>
      </c>
      <c r="C225" s="23">
        <v>45132.92</v>
      </c>
      <c r="D225" s="23">
        <f t="shared" si="7"/>
        <v>451.32919999999996</v>
      </c>
    </row>
    <row r="226" spans="1:4">
      <c r="A226" s="22">
        <f t="shared" si="6"/>
        <v>247.15665384759819</v>
      </c>
      <c r="B226" s="22">
        <v>2471.5665384759818</v>
      </c>
      <c r="C226" s="23">
        <v>45007.42</v>
      </c>
      <c r="D226" s="23">
        <f t="shared" si="7"/>
        <v>450.07419999999996</v>
      </c>
    </row>
    <row r="227" spans="1:4">
      <c r="A227" s="22">
        <f t="shared" si="6"/>
        <v>248.26003176656064</v>
      </c>
      <c r="B227" s="22">
        <v>2482.6003176656063</v>
      </c>
      <c r="C227" s="23">
        <v>44881.919999999998</v>
      </c>
      <c r="D227" s="23">
        <f t="shared" si="7"/>
        <v>448.81919999999997</v>
      </c>
    </row>
    <row r="228" spans="1:4">
      <c r="A228" s="22">
        <f t="shared" si="6"/>
        <v>249.36340968552312</v>
      </c>
      <c r="B228" s="22">
        <v>2493.6340968552313</v>
      </c>
      <c r="C228" s="23">
        <v>44756.42</v>
      </c>
      <c r="D228" s="23">
        <f t="shared" si="7"/>
        <v>447.56419999999997</v>
      </c>
    </row>
    <row r="229" spans="1:4">
      <c r="A229" s="22">
        <f t="shared" si="6"/>
        <v>250.46678760448563</v>
      </c>
      <c r="B229" s="22">
        <v>2504.6678760448563</v>
      </c>
      <c r="C229" s="23">
        <v>44630.92</v>
      </c>
      <c r="D229" s="23">
        <f t="shared" si="7"/>
        <v>446.30919999999998</v>
      </c>
    </row>
    <row r="230" spans="1:4">
      <c r="A230" s="22">
        <f t="shared" si="6"/>
        <v>251.57016552344811</v>
      </c>
      <c r="B230" s="22">
        <v>2515.7016552344812</v>
      </c>
      <c r="C230" s="23">
        <v>44505.42</v>
      </c>
      <c r="D230" s="23">
        <f t="shared" si="7"/>
        <v>445.05419999999998</v>
      </c>
    </row>
    <row r="231" spans="1:4">
      <c r="A231" s="22">
        <f t="shared" si="6"/>
        <v>252.67354344241062</v>
      </c>
      <c r="B231" s="22">
        <v>2526.7354344241062</v>
      </c>
      <c r="C231" s="23">
        <v>44379.92</v>
      </c>
      <c r="D231" s="23">
        <f t="shared" si="7"/>
        <v>443.79919999999998</v>
      </c>
    </row>
    <row r="232" spans="1:4">
      <c r="A232" s="22">
        <f t="shared" si="6"/>
        <v>253.77692136137313</v>
      </c>
      <c r="B232" s="22">
        <v>2537.7692136137312</v>
      </c>
      <c r="C232" s="23">
        <v>44254.42</v>
      </c>
      <c r="D232" s="23">
        <f t="shared" si="7"/>
        <v>442.54419999999999</v>
      </c>
    </row>
    <row r="233" spans="1:4">
      <c r="A233" s="22">
        <f t="shared" si="6"/>
        <v>254.88029928033561</v>
      </c>
      <c r="B233" s="22">
        <v>2548.8029928033561</v>
      </c>
      <c r="C233" s="23">
        <v>44128.92</v>
      </c>
      <c r="D233" s="23">
        <f t="shared" si="7"/>
        <v>441.28919999999999</v>
      </c>
    </row>
    <row r="234" spans="1:4">
      <c r="A234" s="22">
        <f t="shared" si="6"/>
        <v>255.98367719929811</v>
      </c>
      <c r="B234" s="22">
        <v>2559.8367719929811</v>
      </c>
      <c r="C234" s="23">
        <v>44003.42</v>
      </c>
      <c r="D234" s="23">
        <f t="shared" si="7"/>
        <v>440.0342</v>
      </c>
    </row>
    <row r="235" spans="1:4">
      <c r="A235" s="22">
        <f t="shared" si="6"/>
        <v>257.08705511826059</v>
      </c>
      <c r="B235" s="22">
        <v>2570.8705511826061</v>
      </c>
      <c r="C235" s="23">
        <v>43877.919999999998</v>
      </c>
      <c r="D235" s="23">
        <f t="shared" si="7"/>
        <v>438.7792</v>
      </c>
    </row>
    <row r="236" spans="1:4">
      <c r="A236" s="22">
        <f t="shared" si="6"/>
        <v>258.19043303722304</v>
      </c>
      <c r="B236" s="22">
        <v>2581.9043303722306</v>
      </c>
      <c r="C236" s="23">
        <v>43752.42</v>
      </c>
      <c r="D236" s="23">
        <f t="shared" si="7"/>
        <v>437.52420000000001</v>
      </c>
    </row>
    <row r="237" spans="1:4">
      <c r="A237" s="22">
        <f t="shared" si="6"/>
        <v>259.29381095618555</v>
      </c>
      <c r="B237" s="22">
        <v>2592.9381095618555</v>
      </c>
      <c r="C237" s="23">
        <v>43626.92</v>
      </c>
      <c r="D237" s="23">
        <f t="shared" si="7"/>
        <v>436.26919999999996</v>
      </c>
    </row>
    <row r="238" spans="1:4">
      <c r="A238" s="22">
        <f t="shared" si="6"/>
        <v>260.39718887514806</v>
      </c>
      <c r="B238" s="22">
        <v>2603.9718887514805</v>
      </c>
      <c r="C238" s="23">
        <v>43501.42</v>
      </c>
      <c r="D238" s="23">
        <f t="shared" si="7"/>
        <v>435.01419999999996</v>
      </c>
    </row>
    <row r="239" spans="1:4">
      <c r="A239" s="22">
        <f t="shared" si="6"/>
        <v>261.50056679411057</v>
      </c>
      <c r="B239" s="22">
        <v>2615.0056679411055</v>
      </c>
      <c r="C239" s="23">
        <v>43375.92</v>
      </c>
      <c r="D239" s="23">
        <f t="shared" si="7"/>
        <v>433.75919999999996</v>
      </c>
    </row>
    <row r="240" spans="1:4">
      <c r="A240" s="22">
        <f t="shared" si="6"/>
        <v>262.60394471307302</v>
      </c>
      <c r="B240" s="22">
        <v>2626.0394471307304</v>
      </c>
      <c r="C240" s="23">
        <v>43250.42</v>
      </c>
      <c r="D240" s="23">
        <f t="shared" si="7"/>
        <v>432.50419999999997</v>
      </c>
    </row>
    <row r="241" spans="1:4">
      <c r="A241" s="22">
        <f t="shared" si="6"/>
        <v>263.70732263203553</v>
      </c>
      <c r="B241" s="22">
        <v>2637.0732263203554</v>
      </c>
      <c r="C241" s="23">
        <v>43124.92</v>
      </c>
      <c r="D241" s="23">
        <f t="shared" si="7"/>
        <v>431.24919999999997</v>
      </c>
    </row>
    <row r="242" spans="1:4">
      <c r="A242" s="22">
        <f t="shared" si="6"/>
        <v>264.81070055099804</v>
      </c>
      <c r="B242" s="22">
        <v>2648.1070055099804</v>
      </c>
      <c r="C242" s="23">
        <v>42999.42</v>
      </c>
      <c r="D242" s="23">
        <f t="shared" si="7"/>
        <v>429.99419999999998</v>
      </c>
    </row>
    <row r="243" spans="1:4">
      <c r="A243" s="22">
        <f t="shared" si="6"/>
        <v>265.91407846996054</v>
      </c>
      <c r="B243" s="22">
        <v>2659.1407846996053</v>
      </c>
      <c r="C243" s="23">
        <v>42873.919999999998</v>
      </c>
      <c r="D243" s="23">
        <f t="shared" si="7"/>
        <v>428.73919999999998</v>
      </c>
    </row>
    <row r="244" spans="1:4">
      <c r="A244" s="22">
        <f t="shared" si="6"/>
        <v>267.01745638892305</v>
      </c>
      <c r="B244" s="22">
        <v>2670.1745638892303</v>
      </c>
      <c r="C244" s="23">
        <v>42748.42</v>
      </c>
      <c r="D244" s="23">
        <f t="shared" si="7"/>
        <v>427.48419999999999</v>
      </c>
    </row>
    <row r="245" spans="1:4">
      <c r="A245" s="22">
        <f t="shared" si="6"/>
        <v>268.1208343078855</v>
      </c>
      <c r="B245" s="22">
        <v>2681.2083430788553</v>
      </c>
      <c r="C245" s="23">
        <v>42622.92</v>
      </c>
      <c r="D245" s="23">
        <f t="shared" si="7"/>
        <v>426.22919999999999</v>
      </c>
    </row>
    <row r="246" spans="1:4">
      <c r="A246" s="22">
        <f t="shared" si="6"/>
        <v>269.22421222684795</v>
      </c>
      <c r="B246" s="22">
        <v>2692.2421222684798</v>
      </c>
      <c r="C246" s="23">
        <v>42497.42</v>
      </c>
      <c r="D246" s="23">
        <f t="shared" si="7"/>
        <v>424.9742</v>
      </c>
    </row>
    <row r="247" spans="1:4">
      <c r="A247" s="22">
        <f t="shared" si="6"/>
        <v>270.32759014581046</v>
      </c>
      <c r="B247" s="22">
        <v>2703.2759014581047</v>
      </c>
      <c r="C247" s="23">
        <v>42371.92</v>
      </c>
      <c r="D247" s="23">
        <f t="shared" si="7"/>
        <v>423.7192</v>
      </c>
    </row>
    <row r="248" spans="1:4">
      <c r="A248" s="22">
        <f t="shared" si="6"/>
        <v>271.43096806477297</v>
      </c>
      <c r="B248" s="22">
        <v>2714.3096806477297</v>
      </c>
      <c r="C248" s="23">
        <v>42246.42</v>
      </c>
      <c r="D248" s="23">
        <f t="shared" si="7"/>
        <v>422.46420000000001</v>
      </c>
    </row>
    <row r="249" spans="1:4">
      <c r="A249" s="22">
        <f t="shared" si="6"/>
        <v>272.53434598373548</v>
      </c>
      <c r="B249" s="22">
        <v>2725.3434598373547</v>
      </c>
      <c r="C249" s="23">
        <v>42120.92</v>
      </c>
      <c r="D249" s="23">
        <f t="shared" si="7"/>
        <v>421.20920000000001</v>
      </c>
    </row>
    <row r="250" spans="1:4">
      <c r="A250" s="22">
        <f t="shared" si="6"/>
        <v>273.63772390269799</v>
      </c>
      <c r="B250" s="22">
        <v>2736.3772390269796</v>
      </c>
      <c r="C250" s="23">
        <v>41995.42</v>
      </c>
      <c r="D250" s="23">
        <f t="shared" si="7"/>
        <v>419.95419999999996</v>
      </c>
    </row>
    <row r="251" spans="1:4">
      <c r="A251" s="22">
        <f t="shared" si="6"/>
        <v>274.74110182166044</v>
      </c>
      <c r="B251" s="22">
        <v>2747.4110182166046</v>
      </c>
      <c r="C251" s="23">
        <v>41869.919999999998</v>
      </c>
      <c r="D251" s="23">
        <f t="shared" si="7"/>
        <v>418.69919999999996</v>
      </c>
    </row>
    <row r="252" spans="1:4">
      <c r="A252" s="22">
        <f t="shared" si="6"/>
        <v>275.84447974062294</v>
      </c>
      <c r="B252" s="22">
        <v>2758.4447974062296</v>
      </c>
      <c r="C252" s="23">
        <v>41744.42</v>
      </c>
      <c r="D252" s="23">
        <f t="shared" si="7"/>
        <v>417.44419999999997</v>
      </c>
    </row>
    <row r="253" spans="1:4">
      <c r="A253" s="22">
        <f t="shared" si="6"/>
        <v>276.94785765958545</v>
      </c>
      <c r="B253" s="22">
        <v>2769.4785765958545</v>
      </c>
      <c r="C253" s="23">
        <v>41618.92</v>
      </c>
      <c r="D253" s="23">
        <f t="shared" si="7"/>
        <v>416.18919999999997</v>
      </c>
    </row>
    <row r="254" spans="1:4">
      <c r="A254" s="22">
        <f t="shared" si="6"/>
        <v>278.05123557854796</v>
      </c>
      <c r="B254" s="22">
        <v>2780.5123557854795</v>
      </c>
      <c r="C254" s="23">
        <v>41493.42</v>
      </c>
      <c r="D254" s="23">
        <f t="shared" si="7"/>
        <v>414.93419999999998</v>
      </c>
    </row>
    <row r="255" spans="1:4">
      <c r="A255" s="22">
        <f t="shared" si="6"/>
        <v>279.15461349751047</v>
      </c>
      <c r="B255" s="22">
        <v>2791.5461349751045</v>
      </c>
      <c r="C255" s="23">
        <v>41367.919999999998</v>
      </c>
      <c r="D255" s="23">
        <f t="shared" si="7"/>
        <v>413.67919999999998</v>
      </c>
    </row>
    <row r="256" spans="1:4">
      <c r="A256" s="22">
        <f t="shared" si="6"/>
        <v>280.25799141647292</v>
      </c>
      <c r="B256" s="22">
        <v>2802.579914164729</v>
      </c>
      <c r="C256" s="23">
        <v>41242.42</v>
      </c>
      <c r="D256" s="23">
        <f t="shared" si="7"/>
        <v>412.42419999999998</v>
      </c>
    </row>
    <row r="257" spans="1:4">
      <c r="A257" s="22">
        <f t="shared" si="6"/>
        <v>281.36136933543537</v>
      </c>
      <c r="B257" s="22">
        <v>2813.6136933543539</v>
      </c>
      <c r="C257" s="23">
        <v>41116.92</v>
      </c>
      <c r="D257" s="23">
        <f t="shared" si="7"/>
        <v>411.16919999999999</v>
      </c>
    </row>
    <row r="258" spans="1:4">
      <c r="A258" s="22">
        <f t="shared" si="6"/>
        <v>282.46474725439788</v>
      </c>
      <c r="B258" s="22">
        <v>2824.6474725439789</v>
      </c>
      <c r="C258" s="23">
        <v>40991.42</v>
      </c>
      <c r="D258" s="23">
        <f t="shared" si="7"/>
        <v>409.91419999999999</v>
      </c>
    </row>
    <row r="259" spans="1:4">
      <c r="A259" s="22">
        <f t="shared" ref="A259:A322" si="8">$B259/10</f>
        <v>283.56812517336039</v>
      </c>
      <c r="B259" s="22">
        <v>2835.6812517336039</v>
      </c>
      <c r="C259" s="23">
        <v>40865.919999999998</v>
      </c>
      <c r="D259" s="23">
        <f t="shared" ref="D259:D322" si="9">$C259/100</f>
        <v>408.6592</v>
      </c>
    </row>
    <row r="260" spans="1:4">
      <c r="A260" s="22">
        <f t="shared" si="8"/>
        <v>284.67150309232289</v>
      </c>
      <c r="B260" s="22">
        <v>2846.7150309232288</v>
      </c>
      <c r="C260" s="23">
        <v>40740.42</v>
      </c>
      <c r="D260" s="23">
        <f t="shared" si="9"/>
        <v>407.4042</v>
      </c>
    </row>
    <row r="261" spans="1:4">
      <c r="A261" s="22">
        <f t="shared" si="8"/>
        <v>285.7748810112854</v>
      </c>
      <c r="B261" s="22">
        <v>2857.7488101128538</v>
      </c>
      <c r="C261" s="23">
        <v>40614.92</v>
      </c>
      <c r="D261" s="23">
        <f t="shared" si="9"/>
        <v>406.14920000000001</v>
      </c>
    </row>
    <row r="262" spans="1:4">
      <c r="A262" s="22">
        <f t="shared" si="8"/>
        <v>286.87825893024785</v>
      </c>
      <c r="B262" s="22">
        <v>2868.7825893024788</v>
      </c>
      <c r="C262" s="23">
        <v>40489.42</v>
      </c>
      <c r="D262" s="23">
        <f t="shared" si="9"/>
        <v>404.89419999999996</v>
      </c>
    </row>
    <row r="263" spans="1:4">
      <c r="A263" s="22">
        <f t="shared" si="8"/>
        <v>287.98163684921036</v>
      </c>
      <c r="B263" s="22">
        <v>2879.8163684921037</v>
      </c>
      <c r="C263" s="23">
        <v>40363.919999999998</v>
      </c>
      <c r="D263" s="23">
        <f t="shared" si="9"/>
        <v>403.63919999999996</v>
      </c>
    </row>
    <row r="264" spans="1:4">
      <c r="A264" s="22">
        <f t="shared" si="8"/>
        <v>289.08501476817287</v>
      </c>
      <c r="B264" s="22">
        <v>2890.8501476817287</v>
      </c>
      <c r="C264" s="23">
        <v>40238.42</v>
      </c>
      <c r="D264" s="23">
        <f t="shared" si="9"/>
        <v>402.38419999999996</v>
      </c>
    </row>
    <row r="265" spans="1:4">
      <c r="A265" s="22">
        <f t="shared" si="8"/>
        <v>290.18839268713532</v>
      </c>
      <c r="B265" s="22">
        <v>2901.8839268713532</v>
      </c>
      <c r="C265" s="23">
        <v>40112.92</v>
      </c>
      <c r="D265" s="23">
        <f t="shared" si="9"/>
        <v>401.12919999999997</v>
      </c>
    </row>
    <row r="266" spans="1:4">
      <c r="A266" s="22">
        <f t="shared" si="8"/>
        <v>291.29177060609783</v>
      </c>
      <c r="B266" s="22">
        <v>2912.9177060609782</v>
      </c>
      <c r="C266" s="23">
        <v>39987.42</v>
      </c>
      <c r="D266" s="23">
        <f t="shared" si="9"/>
        <v>399.87419999999997</v>
      </c>
    </row>
    <row r="267" spans="1:4">
      <c r="A267" s="22">
        <f t="shared" si="8"/>
        <v>292.39514852506034</v>
      </c>
      <c r="B267" s="22">
        <v>2923.9514852506031</v>
      </c>
      <c r="C267" s="23">
        <v>39861.919999999998</v>
      </c>
      <c r="D267" s="23">
        <f t="shared" si="9"/>
        <v>398.61919999999998</v>
      </c>
    </row>
    <row r="268" spans="1:4">
      <c r="A268" s="22">
        <f t="shared" si="8"/>
        <v>293.49852644402279</v>
      </c>
      <c r="B268" s="22">
        <v>2934.9852644402281</v>
      </c>
      <c r="C268" s="23">
        <v>39736.42</v>
      </c>
      <c r="D268" s="23">
        <f t="shared" si="9"/>
        <v>397.36419999999998</v>
      </c>
    </row>
    <row r="269" spans="1:4">
      <c r="A269" s="22">
        <f t="shared" si="8"/>
        <v>294.60190436298529</v>
      </c>
      <c r="B269" s="22">
        <v>2946.0190436298531</v>
      </c>
      <c r="C269" s="23">
        <v>39610.92</v>
      </c>
      <c r="D269" s="23">
        <f t="shared" si="9"/>
        <v>396.10919999999999</v>
      </c>
    </row>
    <row r="270" spans="1:4">
      <c r="A270" s="22">
        <f t="shared" si="8"/>
        <v>295.7052822819478</v>
      </c>
      <c r="B270" s="22">
        <v>2957.052822819478</v>
      </c>
      <c r="C270" s="23">
        <v>39485.42</v>
      </c>
      <c r="D270" s="23">
        <f t="shared" si="9"/>
        <v>394.85419999999999</v>
      </c>
    </row>
    <row r="271" spans="1:4">
      <c r="A271" s="22">
        <f t="shared" si="8"/>
        <v>296.80866020091031</v>
      </c>
      <c r="B271" s="22">
        <v>2968.086602009103</v>
      </c>
      <c r="C271" s="23">
        <v>39359.919999999998</v>
      </c>
      <c r="D271" s="23">
        <f t="shared" si="9"/>
        <v>393.5992</v>
      </c>
    </row>
    <row r="272" spans="1:4">
      <c r="A272" s="22">
        <f t="shared" si="8"/>
        <v>297.91203811987282</v>
      </c>
      <c r="B272" s="22">
        <v>2979.120381198728</v>
      </c>
      <c r="C272" s="23">
        <v>39234.42</v>
      </c>
      <c r="D272" s="23">
        <f t="shared" si="9"/>
        <v>392.3442</v>
      </c>
    </row>
    <row r="273" spans="1:4">
      <c r="A273" s="22">
        <f t="shared" si="8"/>
        <v>299.01541603883527</v>
      </c>
      <c r="B273" s="22">
        <v>2990.1541603883529</v>
      </c>
      <c r="C273" s="23">
        <v>39108.92</v>
      </c>
      <c r="D273" s="23">
        <f t="shared" si="9"/>
        <v>391.08920000000001</v>
      </c>
    </row>
    <row r="274" spans="1:4">
      <c r="A274" s="22">
        <f t="shared" si="8"/>
        <v>300.11879395779778</v>
      </c>
      <c r="B274" s="22">
        <v>3001.1879395779779</v>
      </c>
      <c r="C274" s="23">
        <v>38983.42</v>
      </c>
      <c r="D274" s="23">
        <f t="shared" si="9"/>
        <v>389.83420000000001</v>
      </c>
    </row>
    <row r="275" spans="1:4">
      <c r="A275" s="22">
        <f t="shared" si="8"/>
        <v>301.22217187676023</v>
      </c>
      <c r="B275" s="22">
        <v>3012.2217187676024</v>
      </c>
      <c r="C275" s="23">
        <v>38857.919999999998</v>
      </c>
      <c r="D275" s="23">
        <f t="shared" si="9"/>
        <v>388.57919999999996</v>
      </c>
    </row>
    <row r="276" spans="1:4">
      <c r="A276" s="22">
        <f t="shared" si="8"/>
        <v>302.32554979572274</v>
      </c>
      <c r="B276" s="22">
        <v>3023.2554979572274</v>
      </c>
      <c r="C276" s="23">
        <v>38732.42</v>
      </c>
      <c r="D276" s="23">
        <f t="shared" si="9"/>
        <v>387.32419999999996</v>
      </c>
    </row>
    <row r="277" spans="1:4">
      <c r="A277" s="22">
        <f t="shared" si="8"/>
        <v>303.42892771468524</v>
      </c>
      <c r="B277" s="22">
        <v>3034.2892771468523</v>
      </c>
      <c r="C277" s="23">
        <v>38606.92</v>
      </c>
      <c r="D277" s="23">
        <f t="shared" si="9"/>
        <v>386.06919999999997</v>
      </c>
    </row>
    <row r="278" spans="1:4">
      <c r="A278" s="22">
        <f t="shared" si="8"/>
        <v>304.53230563364775</v>
      </c>
      <c r="B278" s="22">
        <v>3045.3230563364773</v>
      </c>
      <c r="C278" s="23">
        <v>38481.42</v>
      </c>
      <c r="D278" s="23">
        <f t="shared" si="9"/>
        <v>384.81419999999997</v>
      </c>
    </row>
    <row r="279" spans="1:4">
      <c r="A279" s="22">
        <f t="shared" si="8"/>
        <v>305.6356835526102</v>
      </c>
      <c r="B279" s="22">
        <v>3056.3568355261023</v>
      </c>
      <c r="C279" s="23">
        <v>38355.919999999998</v>
      </c>
      <c r="D279" s="23">
        <f t="shared" si="9"/>
        <v>383.55919999999998</v>
      </c>
    </row>
    <row r="280" spans="1:4">
      <c r="A280" s="22">
        <f t="shared" si="8"/>
        <v>306.73906147157271</v>
      </c>
      <c r="B280" s="22">
        <v>3067.3906147157272</v>
      </c>
      <c r="C280" s="23">
        <v>38230.42</v>
      </c>
      <c r="D280" s="23">
        <f t="shared" si="9"/>
        <v>382.30419999999998</v>
      </c>
    </row>
    <row r="281" spans="1:4">
      <c r="A281" s="22">
        <f t="shared" si="8"/>
        <v>307.84243939053522</v>
      </c>
      <c r="B281" s="22">
        <v>3078.4243939053522</v>
      </c>
      <c r="C281" s="23">
        <v>38104.92</v>
      </c>
      <c r="D281" s="23">
        <f t="shared" si="9"/>
        <v>381.04919999999998</v>
      </c>
    </row>
    <row r="282" spans="1:4">
      <c r="A282" s="22">
        <f t="shared" si="8"/>
        <v>308.94581730949773</v>
      </c>
      <c r="B282" s="22">
        <v>3089.4581730949772</v>
      </c>
      <c r="C282" s="23">
        <v>37979.42</v>
      </c>
      <c r="D282" s="23">
        <f t="shared" si="9"/>
        <v>379.79419999999999</v>
      </c>
    </row>
    <row r="283" spans="1:4">
      <c r="A283" s="22">
        <f t="shared" si="8"/>
        <v>310.04919522846023</v>
      </c>
      <c r="B283" s="22">
        <v>3100.4919522846021</v>
      </c>
      <c r="C283" s="23">
        <v>37853.919999999998</v>
      </c>
      <c r="D283" s="23">
        <f t="shared" si="9"/>
        <v>378.53919999999999</v>
      </c>
    </row>
    <row r="284" spans="1:4">
      <c r="A284" s="22">
        <f t="shared" si="8"/>
        <v>311.15257314742269</v>
      </c>
      <c r="B284" s="22">
        <v>3111.5257314742266</v>
      </c>
      <c r="C284" s="23">
        <v>37728.42</v>
      </c>
      <c r="D284" s="23">
        <f t="shared" si="9"/>
        <v>377.2842</v>
      </c>
    </row>
    <row r="285" spans="1:4">
      <c r="A285" s="22">
        <f t="shared" si="8"/>
        <v>312.25595106638514</v>
      </c>
      <c r="B285" s="22">
        <v>3122.5595106638516</v>
      </c>
      <c r="C285" s="23">
        <v>37602.92</v>
      </c>
      <c r="D285" s="23">
        <f t="shared" si="9"/>
        <v>376.0292</v>
      </c>
    </row>
    <row r="286" spans="1:4">
      <c r="A286" s="22">
        <f t="shared" si="8"/>
        <v>313.35932898534764</v>
      </c>
      <c r="B286" s="22">
        <v>3133.5932898534766</v>
      </c>
      <c r="C286" s="23">
        <v>37477.42</v>
      </c>
      <c r="D286" s="23">
        <f t="shared" si="9"/>
        <v>374.77420000000001</v>
      </c>
    </row>
    <row r="287" spans="1:4">
      <c r="A287" s="22">
        <f t="shared" si="8"/>
        <v>314.46270690431015</v>
      </c>
      <c r="B287" s="22">
        <v>3144.6270690431015</v>
      </c>
      <c r="C287" s="23">
        <v>37351.919999999998</v>
      </c>
      <c r="D287" s="23">
        <f t="shared" si="9"/>
        <v>373.51919999999996</v>
      </c>
    </row>
    <row r="288" spans="1:4">
      <c r="A288" s="22">
        <f t="shared" si="8"/>
        <v>315.56608482327266</v>
      </c>
      <c r="B288" s="22">
        <v>3155.6608482327265</v>
      </c>
      <c r="C288" s="23">
        <v>37226.42</v>
      </c>
      <c r="D288" s="23">
        <f t="shared" si="9"/>
        <v>372.26419999999996</v>
      </c>
    </row>
    <row r="289" spans="1:4">
      <c r="A289" s="22">
        <f t="shared" si="8"/>
        <v>316.66946274223517</v>
      </c>
      <c r="B289" s="22">
        <v>3166.6946274223515</v>
      </c>
      <c r="C289" s="23">
        <v>37100.92</v>
      </c>
      <c r="D289" s="23">
        <f t="shared" si="9"/>
        <v>371.00919999999996</v>
      </c>
    </row>
    <row r="290" spans="1:4">
      <c r="A290" s="22">
        <f t="shared" si="8"/>
        <v>317.77284066119762</v>
      </c>
      <c r="B290" s="22">
        <v>3177.7284066119764</v>
      </c>
      <c r="C290" s="23">
        <v>36975.42</v>
      </c>
      <c r="D290" s="23">
        <f t="shared" si="9"/>
        <v>369.75419999999997</v>
      </c>
    </row>
    <row r="291" spans="1:4">
      <c r="A291" s="22">
        <f t="shared" si="8"/>
        <v>318.87621858016013</v>
      </c>
      <c r="B291" s="22">
        <v>3188.7621858016014</v>
      </c>
      <c r="C291" s="23">
        <v>36849.919999999998</v>
      </c>
      <c r="D291" s="23">
        <f t="shared" si="9"/>
        <v>368.49919999999997</v>
      </c>
    </row>
    <row r="292" spans="1:4">
      <c r="A292" s="22">
        <f t="shared" si="8"/>
        <v>319.97959649912264</v>
      </c>
      <c r="B292" s="22">
        <v>3199.7959649912264</v>
      </c>
      <c r="C292" s="23">
        <v>36724.42</v>
      </c>
      <c r="D292" s="23">
        <f t="shared" si="9"/>
        <v>367.24419999999998</v>
      </c>
    </row>
    <row r="293" spans="1:4">
      <c r="A293" s="22">
        <f t="shared" si="8"/>
        <v>321.08297441808514</v>
      </c>
      <c r="B293" s="22">
        <v>3210.8297441808513</v>
      </c>
      <c r="C293" s="23">
        <v>36598.92</v>
      </c>
      <c r="D293" s="23">
        <f t="shared" si="9"/>
        <v>365.98919999999998</v>
      </c>
    </row>
    <row r="294" spans="1:4">
      <c r="A294" s="22">
        <f t="shared" si="8"/>
        <v>322.18635233704759</v>
      </c>
      <c r="B294" s="22">
        <v>3221.8635233704758</v>
      </c>
      <c r="C294" s="23">
        <v>36473.42</v>
      </c>
      <c r="D294" s="23">
        <f t="shared" si="9"/>
        <v>364.73419999999999</v>
      </c>
    </row>
    <row r="295" spans="1:4">
      <c r="A295" s="22">
        <f t="shared" si="8"/>
        <v>323.2897302560101</v>
      </c>
      <c r="B295" s="22">
        <v>3232.8973025601008</v>
      </c>
      <c r="C295" s="23">
        <v>36347.919999999998</v>
      </c>
      <c r="D295" s="23">
        <f t="shared" si="9"/>
        <v>363.47919999999999</v>
      </c>
    </row>
    <row r="296" spans="1:4">
      <c r="A296" s="22">
        <f t="shared" si="8"/>
        <v>324.39310817497255</v>
      </c>
      <c r="B296" s="22">
        <v>3243.9310817497258</v>
      </c>
      <c r="C296" s="23">
        <v>36222.42</v>
      </c>
      <c r="D296" s="23">
        <f t="shared" si="9"/>
        <v>362.2242</v>
      </c>
    </row>
    <row r="297" spans="1:4">
      <c r="A297" s="22">
        <f t="shared" si="8"/>
        <v>325.49648609393506</v>
      </c>
      <c r="B297" s="22">
        <v>3254.9648609393507</v>
      </c>
      <c r="C297" s="23">
        <v>36096.92</v>
      </c>
      <c r="D297" s="23">
        <f t="shared" si="9"/>
        <v>360.9692</v>
      </c>
    </row>
    <row r="298" spans="1:4">
      <c r="A298" s="22">
        <f t="shared" si="8"/>
        <v>326.59986401289757</v>
      </c>
      <c r="B298" s="22">
        <v>3265.9986401289757</v>
      </c>
      <c r="C298" s="23">
        <v>35971.42</v>
      </c>
      <c r="D298" s="23">
        <f t="shared" si="9"/>
        <v>359.71420000000001</v>
      </c>
    </row>
    <row r="299" spans="1:4">
      <c r="A299" s="22">
        <f t="shared" si="8"/>
        <v>327.70324193186008</v>
      </c>
      <c r="B299" s="22">
        <v>3277.0324193186007</v>
      </c>
      <c r="C299" s="23">
        <v>35845.919999999998</v>
      </c>
      <c r="D299" s="23">
        <f t="shared" si="9"/>
        <v>358.45920000000001</v>
      </c>
    </row>
    <row r="300" spans="1:4">
      <c r="A300" s="22">
        <f t="shared" si="8"/>
        <v>328.80661985082259</v>
      </c>
      <c r="B300" s="22">
        <v>3288.0661985082256</v>
      </c>
      <c r="C300" s="23">
        <v>35720.42</v>
      </c>
      <c r="D300" s="23">
        <f t="shared" si="9"/>
        <v>357.20419999999996</v>
      </c>
    </row>
    <row r="301" spans="1:4">
      <c r="A301" s="22">
        <f t="shared" si="8"/>
        <v>329.90999776978504</v>
      </c>
      <c r="B301" s="22">
        <v>3299.0999776978506</v>
      </c>
      <c r="C301" s="23">
        <v>35594.92</v>
      </c>
      <c r="D301" s="23">
        <f t="shared" si="9"/>
        <v>355.94919999999996</v>
      </c>
    </row>
    <row r="302" spans="1:4">
      <c r="A302" s="22">
        <f t="shared" si="8"/>
        <v>331.01337568874754</v>
      </c>
      <c r="B302" s="22">
        <v>3310.1337568874756</v>
      </c>
      <c r="C302" s="23">
        <v>35469.42</v>
      </c>
      <c r="D302" s="23">
        <f t="shared" si="9"/>
        <v>354.69419999999997</v>
      </c>
    </row>
    <row r="303" spans="1:4">
      <c r="A303" s="22">
        <f t="shared" si="8"/>
        <v>332.11675360771</v>
      </c>
      <c r="B303" s="22">
        <v>3321.1675360771001</v>
      </c>
      <c r="C303" s="23">
        <v>35343.919999999998</v>
      </c>
      <c r="D303" s="23">
        <f t="shared" si="9"/>
        <v>353.43919999999997</v>
      </c>
    </row>
    <row r="304" spans="1:4">
      <c r="A304" s="22">
        <f t="shared" si="8"/>
        <v>333.2201315266725</v>
      </c>
      <c r="B304" s="22">
        <v>3332.201315266725</v>
      </c>
      <c r="C304" s="23">
        <v>35218.42</v>
      </c>
      <c r="D304" s="23">
        <f t="shared" si="9"/>
        <v>352.18419999999998</v>
      </c>
    </row>
    <row r="305" spans="1:4">
      <c r="A305" s="22">
        <f t="shared" si="8"/>
        <v>334.32350944563501</v>
      </c>
      <c r="B305" s="22">
        <v>3343.23509445635</v>
      </c>
      <c r="C305" s="23">
        <v>35092.92</v>
      </c>
      <c r="D305" s="23">
        <f t="shared" si="9"/>
        <v>350.92919999999998</v>
      </c>
    </row>
    <row r="306" spans="1:4">
      <c r="A306" s="22">
        <f t="shared" si="8"/>
        <v>335.42688736459752</v>
      </c>
      <c r="B306" s="22">
        <v>3354.268873645975</v>
      </c>
      <c r="C306" s="23">
        <v>34967.42</v>
      </c>
      <c r="D306" s="23">
        <f t="shared" si="9"/>
        <v>349.67419999999998</v>
      </c>
    </row>
    <row r="307" spans="1:4">
      <c r="A307" s="22">
        <f t="shared" si="8"/>
        <v>336.53026528355997</v>
      </c>
      <c r="B307" s="22">
        <v>3365.3026528355999</v>
      </c>
      <c r="C307" s="23">
        <v>34841.919999999998</v>
      </c>
      <c r="D307" s="23">
        <f t="shared" si="9"/>
        <v>348.41919999999999</v>
      </c>
    </row>
    <row r="308" spans="1:4">
      <c r="A308" s="22">
        <f t="shared" si="8"/>
        <v>337.63364320252248</v>
      </c>
      <c r="B308" s="22">
        <v>3376.3364320252249</v>
      </c>
      <c r="C308" s="23">
        <v>34716.42</v>
      </c>
      <c r="D308" s="23">
        <f t="shared" si="9"/>
        <v>347.16419999999999</v>
      </c>
    </row>
    <row r="309" spans="1:4">
      <c r="A309" s="22">
        <f t="shared" si="8"/>
        <v>338.73702112148499</v>
      </c>
      <c r="B309" s="22">
        <v>3387.3702112148499</v>
      </c>
      <c r="C309" s="23">
        <v>34590.92</v>
      </c>
      <c r="D309" s="23">
        <f t="shared" si="9"/>
        <v>345.9092</v>
      </c>
    </row>
    <row r="310" spans="1:4">
      <c r="A310" s="22">
        <f t="shared" si="8"/>
        <v>339.84039904044749</v>
      </c>
      <c r="B310" s="22">
        <v>3398.4039904044748</v>
      </c>
      <c r="C310" s="23">
        <v>34465.42</v>
      </c>
      <c r="D310" s="23">
        <f t="shared" si="9"/>
        <v>344.6542</v>
      </c>
    </row>
    <row r="311" spans="1:4">
      <c r="A311" s="22">
        <f t="shared" si="8"/>
        <v>340.94377695941</v>
      </c>
      <c r="B311" s="22">
        <v>3409.4377695940998</v>
      </c>
      <c r="C311" s="23">
        <v>34339.919999999998</v>
      </c>
      <c r="D311" s="23">
        <f t="shared" si="9"/>
        <v>343.39920000000001</v>
      </c>
    </row>
    <row r="312" spans="1:4">
      <c r="A312" s="22">
        <f t="shared" si="8"/>
        <v>342.04715487837245</v>
      </c>
      <c r="B312" s="22">
        <v>3420.4715487837248</v>
      </c>
      <c r="C312" s="23">
        <v>34214.42</v>
      </c>
      <c r="D312" s="23">
        <f t="shared" si="9"/>
        <v>342.14419999999996</v>
      </c>
    </row>
    <row r="313" spans="1:4">
      <c r="A313" s="22">
        <f t="shared" si="8"/>
        <v>343.1505327973349</v>
      </c>
      <c r="B313" s="22">
        <v>3431.5053279733493</v>
      </c>
      <c r="C313" s="23">
        <v>34088.92</v>
      </c>
      <c r="D313" s="23">
        <f t="shared" si="9"/>
        <v>340.88919999999996</v>
      </c>
    </row>
    <row r="314" spans="1:4">
      <c r="A314" s="22">
        <f t="shared" si="8"/>
        <v>344.25391071629741</v>
      </c>
      <c r="B314" s="22">
        <v>3442.5391071629742</v>
      </c>
      <c r="C314" s="23">
        <v>33963.42</v>
      </c>
      <c r="D314" s="23">
        <f t="shared" si="9"/>
        <v>339.63419999999996</v>
      </c>
    </row>
    <row r="315" spans="1:4">
      <c r="A315" s="22">
        <f t="shared" si="8"/>
        <v>345.35728863525992</v>
      </c>
      <c r="B315" s="22">
        <v>3453.5728863525992</v>
      </c>
      <c r="C315" s="23">
        <v>33837.919999999998</v>
      </c>
      <c r="D315" s="23">
        <f t="shared" si="9"/>
        <v>338.37919999999997</v>
      </c>
    </row>
    <row r="316" spans="1:4">
      <c r="A316" s="22">
        <f t="shared" si="8"/>
        <v>346.46066655422243</v>
      </c>
      <c r="B316" s="22">
        <v>3464.6066655422242</v>
      </c>
      <c r="C316" s="23">
        <v>33712.42</v>
      </c>
      <c r="D316" s="23">
        <f t="shared" si="9"/>
        <v>337.12419999999997</v>
      </c>
    </row>
    <row r="317" spans="1:4">
      <c r="A317" s="22">
        <f t="shared" si="8"/>
        <v>347.56404447318494</v>
      </c>
      <c r="B317" s="22">
        <v>3475.6404447318491</v>
      </c>
      <c r="C317" s="23">
        <v>33586.92</v>
      </c>
      <c r="D317" s="23">
        <f t="shared" si="9"/>
        <v>335.86919999999998</v>
      </c>
    </row>
    <row r="318" spans="1:4">
      <c r="A318" s="22">
        <f t="shared" si="8"/>
        <v>348.66742239214739</v>
      </c>
      <c r="B318" s="22">
        <v>3486.6742239214741</v>
      </c>
      <c r="C318" s="23">
        <v>33461.42</v>
      </c>
      <c r="D318" s="23">
        <f t="shared" si="9"/>
        <v>334.61419999999998</v>
      </c>
    </row>
    <row r="319" spans="1:4">
      <c r="A319" s="22">
        <f t="shared" si="8"/>
        <v>349.77080031110989</v>
      </c>
      <c r="B319" s="22">
        <v>3497.7080031110991</v>
      </c>
      <c r="C319" s="23">
        <v>33335.919999999998</v>
      </c>
      <c r="D319" s="23">
        <f t="shared" si="9"/>
        <v>333.35919999999999</v>
      </c>
    </row>
    <row r="320" spans="1:4">
      <c r="A320" s="22">
        <f t="shared" si="8"/>
        <v>350.8741782300724</v>
      </c>
      <c r="B320" s="22">
        <v>3508.741782300724</v>
      </c>
      <c r="C320" s="23">
        <v>33210.42</v>
      </c>
      <c r="D320" s="23">
        <f t="shared" si="9"/>
        <v>332.10419999999999</v>
      </c>
    </row>
    <row r="321" spans="1:4">
      <c r="A321" s="22">
        <f t="shared" si="8"/>
        <v>351.97755614903491</v>
      </c>
      <c r="B321" s="22">
        <v>3519.775561490349</v>
      </c>
      <c r="C321" s="23">
        <v>33084.92</v>
      </c>
      <c r="D321" s="23">
        <f t="shared" si="9"/>
        <v>330.8492</v>
      </c>
    </row>
    <row r="322" spans="1:4">
      <c r="A322" s="22">
        <f t="shared" si="8"/>
        <v>353.08093406799736</v>
      </c>
      <c r="B322" s="22">
        <v>3530.8093406799735</v>
      </c>
      <c r="C322" s="23">
        <v>32959.42</v>
      </c>
      <c r="D322" s="23">
        <f t="shared" si="9"/>
        <v>329.5942</v>
      </c>
    </row>
    <row r="323" spans="1:4">
      <c r="A323" s="22">
        <f t="shared" ref="A323:A386" si="10">$B323/10</f>
        <v>354.18431198695987</v>
      </c>
      <c r="B323" s="22">
        <v>3541.8431198695985</v>
      </c>
      <c r="C323" s="23">
        <v>32833.919999999998</v>
      </c>
      <c r="D323" s="23">
        <f t="shared" ref="D323:D386" si="11">$C323/100</f>
        <v>328.33920000000001</v>
      </c>
    </row>
    <row r="324" spans="1:4">
      <c r="A324" s="22">
        <f t="shared" si="10"/>
        <v>355.28768990592232</v>
      </c>
      <c r="B324" s="22">
        <v>3552.8768990592234</v>
      </c>
      <c r="C324" s="23">
        <v>32708.42</v>
      </c>
      <c r="D324" s="23">
        <f t="shared" si="11"/>
        <v>327.08420000000001</v>
      </c>
    </row>
    <row r="325" spans="1:4">
      <c r="A325" s="22">
        <f t="shared" si="10"/>
        <v>356.39106782488483</v>
      </c>
      <c r="B325" s="22">
        <v>3563.9106782488484</v>
      </c>
      <c r="C325" s="23">
        <v>32582.92</v>
      </c>
      <c r="D325" s="23">
        <f t="shared" si="11"/>
        <v>325.82919999999996</v>
      </c>
    </row>
    <row r="326" spans="1:4">
      <c r="A326" s="22">
        <f t="shared" si="10"/>
        <v>357.49444574384734</v>
      </c>
      <c r="B326" s="22">
        <v>3574.9444574384734</v>
      </c>
      <c r="C326" s="23">
        <v>32457.42</v>
      </c>
      <c r="D326" s="23">
        <f t="shared" si="11"/>
        <v>324.57419999999996</v>
      </c>
    </row>
    <row r="327" spans="1:4">
      <c r="A327" s="22">
        <f t="shared" si="10"/>
        <v>358.59782366280984</v>
      </c>
      <c r="B327" s="22">
        <v>3585.9782366280983</v>
      </c>
      <c r="C327" s="23">
        <v>32331.919999999998</v>
      </c>
      <c r="D327" s="23">
        <f t="shared" si="11"/>
        <v>323.31919999999997</v>
      </c>
    </row>
    <row r="328" spans="1:4">
      <c r="A328" s="22">
        <f t="shared" si="10"/>
        <v>359.70120158177235</v>
      </c>
      <c r="B328" s="22">
        <v>3597.0120158177233</v>
      </c>
      <c r="C328" s="23">
        <v>32206.42</v>
      </c>
      <c r="D328" s="23">
        <f t="shared" si="11"/>
        <v>322.06419999999997</v>
      </c>
    </row>
    <row r="329" spans="1:4">
      <c r="A329" s="22">
        <f t="shared" si="10"/>
        <v>360.8045795007348</v>
      </c>
      <c r="B329" s="22">
        <v>3608.0457950073483</v>
      </c>
      <c r="C329" s="23">
        <v>32080.92</v>
      </c>
      <c r="D329" s="23">
        <f t="shared" si="11"/>
        <v>320.80919999999998</v>
      </c>
    </row>
    <row r="330" spans="1:4">
      <c r="A330" s="22">
        <f t="shared" si="10"/>
        <v>361.90795741969731</v>
      </c>
      <c r="B330" s="22">
        <v>3619.0795741969732</v>
      </c>
      <c r="C330" s="23">
        <v>31955.42</v>
      </c>
      <c r="D330" s="23">
        <f t="shared" si="11"/>
        <v>319.55419999999998</v>
      </c>
    </row>
    <row r="331" spans="1:4">
      <c r="A331" s="22">
        <f t="shared" si="10"/>
        <v>363.01133533865982</v>
      </c>
      <c r="B331" s="22">
        <v>3630.1133533865982</v>
      </c>
      <c r="C331" s="23">
        <v>31829.919999999998</v>
      </c>
      <c r="D331" s="23">
        <f t="shared" si="11"/>
        <v>318.29919999999998</v>
      </c>
    </row>
    <row r="332" spans="1:4">
      <c r="A332" s="22">
        <f t="shared" si="10"/>
        <v>364.11471325762227</v>
      </c>
      <c r="B332" s="22">
        <v>3641.1471325762227</v>
      </c>
      <c r="C332" s="23">
        <v>31704.42</v>
      </c>
      <c r="D332" s="23">
        <f t="shared" si="11"/>
        <v>317.04419999999999</v>
      </c>
    </row>
    <row r="333" spans="1:4">
      <c r="A333" s="22">
        <f t="shared" si="10"/>
        <v>365.21809117658478</v>
      </c>
      <c r="B333" s="22">
        <v>3652.1809117658477</v>
      </c>
      <c r="C333" s="23">
        <v>31578.92</v>
      </c>
      <c r="D333" s="23">
        <f t="shared" si="11"/>
        <v>315.78919999999999</v>
      </c>
    </row>
    <row r="334" spans="1:4">
      <c r="A334" s="22">
        <f t="shared" si="10"/>
        <v>366.32146909554729</v>
      </c>
      <c r="B334" s="22">
        <v>3663.2146909554726</v>
      </c>
      <c r="C334" s="23">
        <v>31453.42</v>
      </c>
      <c r="D334" s="23">
        <f t="shared" si="11"/>
        <v>314.5342</v>
      </c>
    </row>
    <row r="335" spans="1:4">
      <c r="A335" s="22">
        <f t="shared" si="10"/>
        <v>367.42484701450974</v>
      </c>
      <c r="B335" s="22">
        <v>3674.2484701450976</v>
      </c>
      <c r="C335" s="23">
        <v>31327.919999999998</v>
      </c>
      <c r="D335" s="23">
        <f t="shared" si="11"/>
        <v>313.2792</v>
      </c>
    </row>
    <row r="336" spans="1:4">
      <c r="A336" s="22">
        <f t="shared" si="10"/>
        <v>368.52822493347225</v>
      </c>
      <c r="B336" s="22">
        <v>3685.2822493347226</v>
      </c>
      <c r="C336" s="23">
        <v>31202.42</v>
      </c>
      <c r="D336" s="23">
        <f t="shared" si="11"/>
        <v>312.02420000000001</v>
      </c>
    </row>
    <row r="337" spans="1:4">
      <c r="A337" s="22">
        <f t="shared" si="10"/>
        <v>369.63160285243475</v>
      </c>
      <c r="B337" s="22">
        <v>3696.3160285243475</v>
      </c>
      <c r="C337" s="23">
        <v>31076.92</v>
      </c>
      <c r="D337" s="23">
        <f t="shared" si="11"/>
        <v>310.76919999999996</v>
      </c>
    </row>
    <row r="338" spans="1:4">
      <c r="A338" s="22">
        <f t="shared" si="10"/>
        <v>370.73498077139726</v>
      </c>
      <c r="B338" s="22">
        <v>3707.3498077139725</v>
      </c>
      <c r="C338" s="23">
        <v>30951.42</v>
      </c>
      <c r="D338" s="23">
        <f t="shared" si="11"/>
        <v>309.51419999999996</v>
      </c>
    </row>
    <row r="339" spans="1:4">
      <c r="A339" s="22">
        <f t="shared" si="10"/>
        <v>371.83835869035977</v>
      </c>
      <c r="B339" s="22">
        <v>3718.3835869035975</v>
      </c>
      <c r="C339" s="23">
        <v>30825.919999999998</v>
      </c>
      <c r="D339" s="23">
        <f t="shared" si="11"/>
        <v>308.25919999999996</v>
      </c>
    </row>
    <row r="340" spans="1:4">
      <c r="A340" s="22">
        <f t="shared" si="10"/>
        <v>372.94173660932222</v>
      </c>
      <c r="B340" s="22">
        <v>3729.4173660932224</v>
      </c>
      <c r="C340" s="23">
        <v>30700.42</v>
      </c>
      <c r="D340" s="23">
        <f t="shared" si="11"/>
        <v>307.00419999999997</v>
      </c>
    </row>
    <row r="341" spans="1:4">
      <c r="A341" s="22">
        <f t="shared" si="10"/>
        <v>374.04511452828467</v>
      </c>
      <c r="B341" s="22">
        <v>3740.4511452828469</v>
      </c>
      <c r="C341" s="23">
        <v>30574.92</v>
      </c>
      <c r="D341" s="23">
        <f t="shared" si="11"/>
        <v>305.74919999999997</v>
      </c>
    </row>
    <row r="342" spans="1:4">
      <c r="A342" s="22">
        <f t="shared" si="10"/>
        <v>375.14849244724718</v>
      </c>
      <c r="B342" s="22">
        <v>3751.4849244724719</v>
      </c>
      <c r="C342" s="23">
        <v>30449.42</v>
      </c>
      <c r="D342" s="23">
        <f t="shared" si="11"/>
        <v>304.49419999999998</v>
      </c>
    </row>
    <row r="343" spans="1:4">
      <c r="A343" s="22">
        <f t="shared" si="10"/>
        <v>376.25187036620969</v>
      </c>
      <c r="B343" s="22">
        <v>3762.5187036620969</v>
      </c>
      <c r="C343" s="23">
        <v>30323.919999999998</v>
      </c>
      <c r="D343" s="23">
        <f t="shared" si="11"/>
        <v>303.23919999999998</v>
      </c>
    </row>
    <row r="344" spans="1:4">
      <c r="A344" s="22">
        <f t="shared" si="10"/>
        <v>377.35524828517219</v>
      </c>
      <c r="B344" s="22">
        <v>3773.5524828517218</v>
      </c>
      <c r="C344" s="23">
        <v>30198.42</v>
      </c>
      <c r="D344" s="23">
        <f t="shared" si="11"/>
        <v>301.98419999999999</v>
      </c>
    </row>
    <row r="345" spans="1:4">
      <c r="A345" s="22">
        <f t="shared" si="10"/>
        <v>378.4586262041347</v>
      </c>
      <c r="B345" s="22">
        <v>3784.5862620413468</v>
      </c>
      <c r="C345" s="23">
        <v>30072.92</v>
      </c>
      <c r="D345" s="23">
        <f t="shared" si="11"/>
        <v>300.72919999999999</v>
      </c>
    </row>
    <row r="346" spans="1:4">
      <c r="A346" s="22">
        <f t="shared" si="10"/>
        <v>379.56200412309715</v>
      </c>
      <c r="B346" s="22">
        <v>3795.6200412309718</v>
      </c>
      <c r="C346" s="23">
        <v>29947.42</v>
      </c>
      <c r="D346" s="23">
        <f t="shared" si="11"/>
        <v>299.4742</v>
      </c>
    </row>
    <row r="347" spans="1:4">
      <c r="A347" s="22">
        <f t="shared" si="10"/>
        <v>380.66538204205966</v>
      </c>
      <c r="B347" s="22">
        <v>3806.6538204205967</v>
      </c>
      <c r="C347" s="23">
        <v>29821.919999999998</v>
      </c>
      <c r="D347" s="23">
        <f t="shared" si="11"/>
        <v>298.2192</v>
      </c>
    </row>
    <row r="348" spans="1:4">
      <c r="A348" s="22">
        <f t="shared" si="10"/>
        <v>381.76875996102217</v>
      </c>
      <c r="B348" s="22">
        <v>3817.6875996102217</v>
      </c>
      <c r="C348" s="23">
        <v>29696.42</v>
      </c>
      <c r="D348" s="23">
        <f t="shared" si="11"/>
        <v>296.96420000000001</v>
      </c>
    </row>
    <row r="349" spans="1:4">
      <c r="A349" s="22">
        <f t="shared" si="10"/>
        <v>382.87213787998468</v>
      </c>
      <c r="B349" s="22">
        <v>3828.7213787998467</v>
      </c>
      <c r="C349" s="23">
        <v>29570.92</v>
      </c>
      <c r="D349" s="23">
        <f t="shared" si="11"/>
        <v>295.70920000000001</v>
      </c>
    </row>
    <row r="350" spans="1:4">
      <c r="A350" s="22">
        <f t="shared" si="10"/>
        <v>383.97551579894719</v>
      </c>
      <c r="B350" s="22">
        <v>3839.7551579894716</v>
      </c>
      <c r="C350" s="23">
        <v>29445.42</v>
      </c>
      <c r="D350" s="23">
        <f t="shared" si="11"/>
        <v>294.45419999999996</v>
      </c>
    </row>
    <row r="351" spans="1:4">
      <c r="A351" s="22">
        <f t="shared" si="10"/>
        <v>385.07889371790964</v>
      </c>
      <c r="B351" s="22">
        <v>3850.7889371790961</v>
      </c>
      <c r="C351" s="23">
        <v>29319.919999999998</v>
      </c>
      <c r="D351" s="23">
        <f t="shared" si="11"/>
        <v>293.19919999999996</v>
      </c>
    </row>
    <row r="352" spans="1:4">
      <c r="A352" s="22">
        <f t="shared" si="10"/>
        <v>386.18227163687209</v>
      </c>
      <c r="B352" s="22">
        <v>3861.8227163687211</v>
      </c>
      <c r="C352" s="23">
        <v>29194.42</v>
      </c>
      <c r="D352" s="23">
        <f t="shared" si="11"/>
        <v>291.94419999999997</v>
      </c>
    </row>
    <row r="353" spans="1:4">
      <c r="A353" s="22">
        <f t="shared" si="10"/>
        <v>387.2856495558346</v>
      </c>
      <c r="B353" s="22">
        <v>3872.8564955583461</v>
      </c>
      <c r="C353" s="23">
        <v>29068.92</v>
      </c>
      <c r="D353" s="23">
        <f t="shared" si="11"/>
        <v>290.68919999999997</v>
      </c>
    </row>
    <row r="354" spans="1:4">
      <c r="A354" s="22">
        <f t="shared" si="10"/>
        <v>388.3890274747971</v>
      </c>
      <c r="B354" s="22">
        <v>3883.890274747971</v>
      </c>
      <c r="C354" s="23">
        <v>28943.42</v>
      </c>
      <c r="D354" s="23">
        <f t="shared" si="11"/>
        <v>289.43419999999998</v>
      </c>
    </row>
    <row r="355" spans="1:4">
      <c r="A355" s="22">
        <f t="shared" si="10"/>
        <v>389.49240539375961</v>
      </c>
      <c r="B355" s="22">
        <v>3894.924053937596</v>
      </c>
      <c r="C355" s="23">
        <v>28817.919999999998</v>
      </c>
      <c r="D355" s="23">
        <f t="shared" si="11"/>
        <v>288.17919999999998</v>
      </c>
    </row>
    <row r="356" spans="1:4">
      <c r="A356" s="22">
        <f t="shared" si="10"/>
        <v>390.59578331272212</v>
      </c>
      <c r="B356" s="22">
        <v>3905.957833127221</v>
      </c>
      <c r="C356" s="23">
        <v>28692.42</v>
      </c>
      <c r="D356" s="23">
        <f t="shared" si="11"/>
        <v>286.92419999999998</v>
      </c>
    </row>
    <row r="357" spans="1:4">
      <c r="A357" s="22">
        <f t="shared" si="10"/>
        <v>391.69916123168457</v>
      </c>
      <c r="B357" s="22">
        <v>3916.9916123168459</v>
      </c>
      <c r="C357" s="23">
        <v>28566.92</v>
      </c>
      <c r="D357" s="23">
        <f t="shared" si="11"/>
        <v>285.66919999999999</v>
      </c>
    </row>
    <row r="358" spans="1:4">
      <c r="A358" s="22">
        <f t="shared" si="10"/>
        <v>392.80253915064708</v>
      </c>
      <c r="B358" s="22">
        <v>3928.0253915064709</v>
      </c>
      <c r="C358" s="23">
        <v>28441.42</v>
      </c>
      <c r="D358" s="23">
        <f t="shared" si="11"/>
        <v>284.41419999999999</v>
      </c>
    </row>
    <row r="359" spans="1:4">
      <c r="A359" s="22">
        <f t="shared" si="10"/>
        <v>393.90591706960959</v>
      </c>
      <c r="B359" s="22">
        <v>3939.0591706960959</v>
      </c>
      <c r="C359" s="23">
        <v>28315.919999999998</v>
      </c>
      <c r="D359" s="23">
        <f t="shared" si="11"/>
        <v>283.1592</v>
      </c>
    </row>
    <row r="360" spans="1:4">
      <c r="A360" s="22">
        <f t="shared" si="10"/>
        <v>395.00929498857209</v>
      </c>
      <c r="B360" s="22">
        <v>3950.0929498857208</v>
      </c>
      <c r="C360" s="23">
        <v>28190.42</v>
      </c>
      <c r="D360" s="23">
        <f t="shared" si="11"/>
        <v>281.9042</v>
      </c>
    </row>
    <row r="361" spans="1:4">
      <c r="A361" s="22">
        <f t="shared" si="10"/>
        <v>396.11267290753455</v>
      </c>
      <c r="B361" s="22">
        <v>3961.1267290753453</v>
      </c>
      <c r="C361" s="23">
        <v>28064.92</v>
      </c>
      <c r="D361" s="23">
        <f t="shared" si="11"/>
        <v>280.64920000000001</v>
      </c>
    </row>
    <row r="362" spans="1:4">
      <c r="A362" s="22">
        <f t="shared" si="10"/>
        <v>397.21605082649705</v>
      </c>
      <c r="B362" s="22">
        <v>3972.1605082649703</v>
      </c>
      <c r="C362" s="23">
        <v>27939.42</v>
      </c>
      <c r="D362" s="23">
        <f t="shared" si="11"/>
        <v>279.39419999999996</v>
      </c>
    </row>
    <row r="363" spans="1:4">
      <c r="A363" s="22">
        <f t="shared" si="10"/>
        <v>398.3194287454595</v>
      </c>
      <c r="B363" s="22">
        <v>3983.1942874545953</v>
      </c>
      <c r="C363" s="23">
        <v>27813.919999999998</v>
      </c>
      <c r="D363" s="23">
        <f t="shared" si="11"/>
        <v>278.13919999999996</v>
      </c>
    </row>
    <row r="364" spans="1:4">
      <c r="A364" s="22">
        <f t="shared" si="10"/>
        <v>399.42280666442201</v>
      </c>
      <c r="B364" s="22">
        <v>3994.2280666442202</v>
      </c>
      <c r="C364" s="23">
        <v>27688.42</v>
      </c>
      <c r="D364" s="23">
        <f t="shared" si="11"/>
        <v>276.88419999999996</v>
      </c>
    </row>
    <row r="365" spans="1:4">
      <c r="A365" s="22">
        <f t="shared" si="10"/>
        <v>400.52618458338452</v>
      </c>
      <c r="B365" s="22">
        <v>4005.2618458338452</v>
      </c>
      <c r="C365" s="23">
        <v>27562.92</v>
      </c>
      <c r="D365" s="23">
        <f t="shared" si="11"/>
        <v>275.62919999999997</v>
      </c>
    </row>
    <row r="366" spans="1:4">
      <c r="A366" s="22">
        <f t="shared" si="10"/>
        <v>401.62956250234703</v>
      </c>
      <c r="B366" s="22">
        <v>4016.2956250234702</v>
      </c>
      <c r="C366" s="23">
        <v>27437.42</v>
      </c>
      <c r="D366" s="23">
        <f t="shared" si="11"/>
        <v>274.37419999999997</v>
      </c>
    </row>
    <row r="367" spans="1:4">
      <c r="A367" s="22">
        <f t="shared" si="10"/>
        <v>402.73294042130954</v>
      </c>
      <c r="B367" s="22">
        <v>4027.3294042130951</v>
      </c>
      <c r="C367" s="23">
        <v>27311.919999999998</v>
      </c>
      <c r="D367" s="23">
        <f t="shared" si="11"/>
        <v>273.11919999999998</v>
      </c>
    </row>
    <row r="368" spans="1:4">
      <c r="A368" s="22">
        <f t="shared" si="10"/>
        <v>403.83631834027199</v>
      </c>
      <c r="B368" s="22">
        <v>4038.3631834027201</v>
      </c>
      <c r="C368" s="23">
        <v>27186.42</v>
      </c>
      <c r="D368" s="23">
        <f t="shared" si="11"/>
        <v>271.86419999999998</v>
      </c>
    </row>
    <row r="369" spans="1:4">
      <c r="A369" s="22">
        <f t="shared" si="10"/>
        <v>404.93969625923449</v>
      </c>
      <c r="B369" s="22">
        <v>4049.3969625923451</v>
      </c>
      <c r="C369" s="23">
        <v>27060.92</v>
      </c>
      <c r="D369" s="23">
        <f t="shared" si="11"/>
        <v>270.60919999999999</v>
      </c>
    </row>
    <row r="370" spans="1:4">
      <c r="A370" s="22">
        <f t="shared" si="10"/>
        <v>406.04307417819695</v>
      </c>
      <c r="B370" s="22">
        <v>4060.4307417819696</v>
      </c>
      <c r="C370" s="23">
        <v>26935.42</v>
      </c>
      <c r="D370" s="23">
        <f t="shared" si="11"/>
        <v>269.35419999999999</v>
      </c>
    </row>
    <row r="371" spans="1:4">
      <c r="A371" s="22">
        <f t="shared" si="10"/>
        <v>407.14645209715945</v>
      </c>
      <c r="B371" s="22">
        <v>4071.4645209715945</v>
      </c>
      <c r="C371" s="23">
        <v>26809.919999999998</v>
      </c>
      <c r="D371" s="23">
        <f t="shared" si="11"/>
        <v>268.0992</v>
      </c>
    </row>
    <row r="372" spans="1:4">
      <c r="A372" s="22">
        <f t="shared" si="10"/>
        <v>408.24983001612196</v>
      </c>
      <c r="B372" s="22">
        <v>4082.4983001612195</v>
      </c>
      <c r="C372" s="23">
        <v>26684.42</v>
      </c>
      <c r="D372" s="23">
        <f t="shared" si="11"/>
        <v>266.8442</v>
      </c>
    </row>
    <row r="373" spans="1:4">
      <c r="A373" s="22">
        <f t="shared" si="10"/>
        <v>409.35320793508447</v>
      </c>
      <c r="B373" s="22">
        <v>4093.5320793508445</v>
      </c>
      <c r="C373" s="23">
        <v>26558.92</v>
      </c>
      <c r="D373" s="23">
        <f t="shared" si="11"/>
        <v>265.58920000000001</v>
      </c>
    </row>
    <row r="374" spans="1:4">
      <c r="A374" s="22">
        <f t="shared" si="10"/>
        <v>410.45658585404698</v>
      </c>
      <c r="B374" s="22">
        <v>4104.5658585404699</v>
      </c>
      <c r="C374" s="23">
        <v>26433.42</v>
      </c>
      <c r="D374" s="23">
        <f t="shared" si="11"/>
        <v>264.33420000000001</v>
      </c>
    </row>
    <row r="375" spans="1:4">
      <c r="A375" s="22">
        <f t="shared" si="10"/>
        <v>411.55996377300943</v>
      </c>
      <c r="B375" s="22">
        <v>4115.5996377300944</v>
      </c>
      <c r="C375" s="23">
        <v>26307.919999999998</v>
      </c>
      <c r="D375" s="23">
        <f t="shared" si="11"/>
        <v>263.07919999999996</v>
      </c>
    </row>
    <row r="376" spans="1:4">
      <c r="A376" s="22">
        <f t="shared" si="10"/>
        <v>412.66334169197188</v>
      </c>
      <c r="B376" s="22">
        <v>4126.6334169197189</v>
      </c>
      <c r="C376" s="23">
        <v>26182.42</v>
      </c>
      <c r="D376" s="23">
        <f t="shared" si="11"/>
        <v>261.82419999999996</v>
      </c>
    </row>
    <row r="377" spans="1:4">
      <c r="A377" s="22">
        <f t="shared" si="10"/>
        <v>413.76671961093444</v>
      </c>
      <c r="B377" s="22">
        <v>4137.6671961093443</v>
      </c>
      <c r="C377" s="23">
        <v>26056.92</v>
      </c>
      <c r="D377" s="23">
        <f t="shared" si="11"/>
        <v>260.56919999999997</v>
      </c>
    </row>
    <row r="378" spans="1:4">
      <c r="A378" s="22">
        <f t="shared" si="10"/>
        <v>414.8700975298969</v>
      </c>
      <c r="B378" s="22">
        <v>4148.7009752989688</v>
      </c>
      <c r="C378" s="23">
        <v>25931.42</v>
      </c>
      <c r="D378" s="23">
        <f t="shared" si="11"/>
        <v>259.31419999999997</v>
      </c>
    </row>
    <row r="379" spans="1:4">
      <c r="A379" s="22">
        <f t="shared" si="10"/>
        <v>415.9734754488594</v>
      </c>
      <c r="B379" s="22">
        <v>4159.7347544885943</v>
      </c>
      <c r="C379" s="23">
        <v>25805.919999999998</v>
      </c>
      <c r="D379" s="23">
        <f t="shared" si="11"/>
        <v>258.05919999999998</v>
      </c>
    </row>
    <row r="380" spans="1:4">
      <c r="A380" s="22">
        <f t="shared" si="10"/>
        <v>417.07685336782185</v>
      </c>
      <c r="B380" s="22">
        <v>4170.7685336782188</v>
      </c>
      <c r="C380" s="23">
        <v>25680.42</v>
      </c>
      <c r="D380" s="23">
        <f t="shared" si="11"/>
        <v>256.80419999999998</v>
      </c>
    </row>
    <row r="381" spans="1:4">
      <c r="A381" s="22">
        <f t="shared" si="10"/>
        <v>418.18023128678442</v>
      </c>
      <c r="B381" s="22">
        <v>4181.8023128678442</v>
      </c>
      <c r="C381" s="23">
        <v>25554.92</v>
      </c>
      <c r="D381" s="23">
        <f t="shared" si="11"/>
        <v>255.54919999999998</v>
      </c>
    </row>
    <row r="382" spans="1:4">
      <c r="A382" s="22">
        <f t="shared" si="10"/>
        <v>419.28360920574687</v>
      </c>
      <c r="B382" s="22">
        <v>4192.8360920574687</v>
      </c>
      <c r="C382" s="23">
        <v>25429.42</v>
      </c>
      <c r="D382" s="23">
        <f t="shared" si="11"/>
        <v>254.29419999999999</v>
      </c>
    </row>
    <row r="383" spans="1:4">
      <c r="A383" s="22">
        <f t="shared" si="10"/>
        <v>420.38698712470944</v>
      </c>
      <c r="B383" s="22">
        <v>4203.8698712470941</v>
      </c>
      <c r="C383" s="23">
        <v>25303.919999999998</v>
      </c>
      <c r="D383" s="23">
        <f t="shared" si="11"/>
        <v>253.03919999999999</v>
      </c>
    </row>
    <row r="384" spans="1:4">
      <c r="A384" s="22">
        <f t="shared" si="10"/>
        <v>421.49036504367189</v>
      </c>
      <c r="B384" s="22">
        <v>4214.9036504367186</v>
      </c>
      <c r="C384" s="23">
        <v>25178.42</v>
      </c>
      <c r="D384" s="23">
        <f t="shared" si="11"/>
        <v>251.78419999999997</v>
      </c>
    </row>
    <row r="385" spans="1:4">
      <c r="A385" s="22">
        <f t="shared" si="10"/>
        <v>422.59374296263434</v>
      </c>
      <c r="B385" s="22">
        <v>4225.9374296263431</v>
      </c>
      <c r="C385" s="23">
        <v>25052.92</v>
      </c>
      <c r="D385" s="23">
        <f t="shared" si="11"/>
        <v>250.52919999999997</v>
      </c>
    </row>
    <row r="386" spans="1:4">
      <c r="A386" s="22">
        <f t="shared" si="10"/>
        <v>423.69712088159685</v>
      </c>
      <c r="B386" s="22">
        <v>4236.9712088159686</v>
      </c>
      <c r="C386" s="23">
        <v>24927.42</v>
      </c>
      <c r="D386" s="23">
        <f t="shared" si="11"/>
        <v>249.27419999999998</v>
      </c>
    </row>
    <row r="387" spans="1:4">
      <c r="A387" s="22">
        <f t="shared" ref="A387:A450" si="12">$B387/10</f>
        <v>424.8004988005593</v>
      </c>
      <c r="B387" s="22">
        <v>4248.0049880055931</v>
      </c>
      <c r="C387" s="23">
        <v>24801.919999999998</v>
      </c>
      <c r="D387" s="23">
        <f t="shared" ref="D387:D450" si="13">$C387/100</f>
        <v>248.01919999999998</v>
      </c>
    </row>
    <row r="388" spans="1:4">
      <c r="A388" s="22">
        <f t="shared" si="12"/>
        <v>425.90387671952186</v>
      </c>
      <c r="B388" s="22">
        <v>4259.0387671952185</v>
      </c>
      <c r="C388" s="23">
        <v>24676.42</v>
      </c>
      <c r="D388" s="23">
        <f t="shared" si="13"/>
        <v>246.76419999999999</v>
      </c>
    </row>
    <row r="389" spans="1:4">
      <c r="A389" s="22">
        <f t="shared" si="12"/>
        <v>427.00725463848431</v>
      </c>
      <c r="B389" s="22">
        <v>4270.072546384843</v>
      </c>
      <c r="C389" s="23">
        <v>24550.92</v>
      </c>
      <c r="D389" s="23">
        <f t="shared" si="13"/>
        <v>245.50919999999999</v>
      </c>
    </row>
    <row r="390" spans="1:4">
      <c r="A390" s="22">
        <f t="shared" si="12"/>
        <v>428.11063255744682</v>
      </c>
      <c r="B390" s="22">
        <v>4281.1063255744684</v>
      </c>
      <c r="C390" s="23">
        <v>24425.42</v>
      </c>
      <c r="D390" s="23">
        <f t="shared" si="13"/>
        <v>244.25419999999997</v>
      </c>
    </row>
    <row r="391" spans="1:4">
      <c r="A391" s="22">
        <f t="shared" si="12"/>
        <v>429.21401047640927</v>
      </c>
      <c r="B391" s="22">
        <v>4292.1401047640929</v>
      </c>
      <c r="C391" s="23">
        <v>24299.919999999998</v>
      </c>
      <c r="D391" s="23">
        <f t="shared" si="13"/>
        <v>242.99919999999997</v>
      </c>
    </row>
    <row r="392" spans="1:4">
      <c r="A392" s="22">
        <f t="shared" si="12"/>
        <v>430.31738839537184</v>
      </c>
      <c r="B392" s="22">
        <v>4303.1738839537184</v>
      </c>
      <c r="C392" s="23">
        <v>24174.42</v>
      </c>
      <c r="D392" s="23">
        <f t="shared" si="13"/>
        <v>241.74419999999998</v>
      </c>
    </row>
    <row r="393" spans="1:4">
      <c r="A393" s="22">
        <f t="shared" si="12"/>
        <v>431.42076631433429</v>
      </c>
      <c r="B393" s="22">
        <v>4314.2076631433429</v>
      </c>
      <c r="C393" s="23">
        <v>24048.92</v>
      </c>
      <c r="D393" s="23">
        <f t="shared" si="13"/>
        <v>240.48919999999998</v>
      </c>
    </row>
    <row r="394" spans="1:4">
      <c r="A394" s="22">
        <f t="shared" si="12"/>
        <v>432.52414423329674</v>
      </c>
      <c r="B394" s="22">
        <v>4325.2414423329674</v>
      </c>
      <c r="C394" s="23">
        <v>23923.42</v>
      </c>
      <c r="D394" s="23">
        <f t="shared" si="13"/>
        <v>239.23419999999999</v>
      </c>
    </row>
    <row r="395" spans="1:4">
      <c r="A395" s="22">
        <f t="shared" si="12"/>
        <v>433.6275221522593</v>
      </c>
      <c r="B395" s="22">
        <v>4336.2752215225928</v>
      </c>
      <c r="C395" s="23">
        <v>23797.919999999998</v>
      </c>
      <c r="D395" s="23">
        <f t="shared" si="13"/>
        <v>237.97919999999999</v>
      </c>
    </row>
    <row r="396" spans="1:4">
      <c r="A396" s="22">
        <f t="shared" si="12"/>
        <v>434.73090007122175</v>
      </c>
      <c r="B396" s="22">
        <v>4347.3090007122173</v>
      </c>
      <c r="C396" s="23">
        <v>23672.42</v>
      </c>
      <c r="D396" s="23">
        <f t="shared" si="13"/>
        <v>236.7242</v>
      </c>
    </row>
    <row r="397" spans="1:4">
      <c r="A397" s="22">
        <f t="shared" si="12"/>
        <v>435.83427799018426</v>
      </c>
      <c r="B397" s="22">
        <v>4358.3427799018427</v>
      </c>
      <c r="C397" s="23">
        <v>23546.92</v>
      </c>
      <c r="D397" s="23">
        <f t="shared" si="13"/>
        <v>235.46919999999997</v>
      </c>
    </row>
    <row r="398" spans="1:4">
      <c r="A398" s="22">
        <f t="shared" si="12"/>
        <v>436.93765590914671</v>
      </c>
      <c r="B398" s="22">
        <v>4369.3765590914672</v>
      </c>
      <c r="C398" s="23">
        <v>23421.42</v>
      </c>
      <c r="D398" s="23">
        <f t="shared" si="13"/>
        <v>234.21419999999998</v>
      </c>
    </row>
    <row r="399" spans="1:4">
      <c r="A399" s="22">
        <f t="shared" si="12"/>
        <v>438.04103382810928</v>
      </c>
      <c r="B399" s="22">
        <v>4380.4103382810927</v>
      </c>
      <c r="C399" s="23">
        <v>23295.919999999998</v>
      </c>
      <c r="D399" s="23">
        <f t="shared" si="13"/>
        <v>232.95919999999998</v>
      </c>
    </row>
    <row r="400" spans="1:4">
      <c r="A400" s="22">
        <f t="shared" si="12"/>
        <v>439.14441174707173</v>
      </c>
      <c r="B400" s="22">
        <v>4391.4441174707172</v>
      </c>
      <c r="C400" s="23">
        <v>23170.42</v>
      </c>
      <c r="D400" s="23">
        <f t="shared" si="13"/>
        <v>231.70419999999999</v>
      </c>
    </row>
    <row r="401" spans="1:4">
      <c r="A401" s="22">
        <f t="shared" si="12"/>
        <v>440.24778966603424</v>
      </c>
      <c r="B401" s="22">
        <v>4402.4778966603426</v>
      </c>
      <c r="C401" s="23">
        <v>23044.92</v>
      </c>
      <c r="D401" s="23">
        <f t="shared" si="13"/>
        <v>230.44919999999999</v>
      </c>
    </row>
    <row r="402" spans="1:4">
      <c r="A402" s="22">
        <f t="shared" si="12"/>
        <v>441.35116758499669</v>
      </c>
      <c r="B402" s="22">
        <v>4413.5116758499671</v>
      </c>
      <c r="C402" s="23">
        <v>22919.42</v>
      </c>
      <c r="D402" s="23">
        <f t="shared" si="13"/>
        <v>229.1942</v>
      </c>
    </row>
    <row r="403" spans="1:4">
      <c r="A403" s="22">
        <f t="shared" si="12"/>
        <v>442.45454550395925</v>
      </c>
      <c r="B403" s="22">
        <v>4424.5454550395925</v>
      </c>
      <c r="C403" s="23">
        <v>22793.919999999998</v>
      </c>
      <c r="D403" s="23">
        <f t="shared" si="13"/>
        <v>227.93919999999997</v>
      </c>
    </row>
    <row r="404" spans="1:4">
      <c r="A404" s="22">
        <f t="shared" si="12"/>
        <v>443.5579234229217</v>
      </c>
      <c r="B404" s="22">
        <v>4435.579234229217</v>
      </c>
      <c r="C404" s="23">
        <v>22668.42</v>
      </c>
      <c r="D404" s="23">
        <f t="shared" si="13"/>
        <v>226.68419999999998</v>
      </c>
    </row>
    <row r="405" spans="1:4">
      <c r="A405" s="22">
        <f t="shared" si="12"/>
        <v>444.66130134188415</v>
      </c>
      <c r="B405" s="22">
        <v>4446.6130134188415</v>
      </c>
      <c r="C405" s="23">
        <v>22542.92</v>
      </c>
      <c r="D405" s="23">
        <f t="shared" si="13"/>
        <v>225.42919999999998</v>
      </c>
    </row>
    <row r="406" spans="1:4">
      <c r="A406" s="22">
        <f t="shared" si="12"/>
        <v>445.76467926084672</v>
      </c>
      <c r="B406" s="22">
        <v>4457.646792608467</v>
      </c>
      <c r="C406" s="23">
        <v>22417.42</v>
      </c>
      <c r="D406" s="23">
        <f t="shared" si="13"/>
        <v>224.17419999999998</v>
      </c>
    </row>
    <row r="407" spans="1:4">
      <c r="A407" s="22">
        <f t="shared" si="12"/>
        <v>446.86805717980917</v>
      </c>
      <c r="B407" s="22">
        <v>4468.6805717980915</v>
      </c>
      <c r="C407" s="23">
        <v>22291.919999999998</v>
      </c>
      <c r="D407" s="23">
        <f t="shared" si="13"/>
        <v>222.91919999999999</v>
      </c>
    </row>
    <row r="408" spans="1:4">
      <c r="A408" s="22">
        <f t="shared" si="12"/>
        <v>447.97143509877168</v>
      </c>
      <c r="B408" s="22">
        <v>4479.7143509877169</v>
      </c>
      <c r="C408" s="23">
        <v>22166.42</v>
      </c>
      <c r="D408" s="23">
        <f t="shared" si="13"/>
        <v>221.66419999999999</v>
      </c>
    </row>
    <row r="409" spans="1:4">
      <c r="A409" s="22">
        <f t="shared" si="12"/>
        <v>449.07481301773413</v>
      </c>
      <c r="B409" s="22">
        <v>4490.7481301773414</v>
      </c>
      <c r="C409" s="23">
        <v>22040.92</v>
      </c>
      <c r="D409" s="23">
        <f t="shared" si="13"/>
        <v>220.40919999999997</v>
      </c>
    </row>
    <row r="410" spans="1:4">
      <c r="A410" s="22">
        <f t="shared" si="12"/>
        <v>450.17819093669669</v>
      </c>
      <c r="B410" s="22">
        <v>4501.7819093669668</v>
      </c>
      <c r="C410" s="23">
        <v>21915.42</v>
      </c>
      <c r="D410" s="23">
        <f t="shared" si="13"/>
        <v>219.15419999999997</v>
      </c>
    </row>
    <row r="411" spans="1:4">
      <c r="A411" s="22">
        <f t="shared" si="12"/>
        <v>451.28156885565915</v>
      </c>
      <c r="B411" s="22">
        <v>4512.8156885565913</v>
      </c>
      <c r="C411" s="23">
        <v>21789.919999999998</v>
      </c>
      <c r="D411" s="23">
        <f t="shared" si="13"/>
        <v>217.89919999999998</v>
      </c>
    </row>
    <row r="412" spans="1:4">
      <c r="A412" s="22">
        <f t="shared" si="12"/>
        <v>452.38494677462165</v>
      </c>
      <c r="B412" s="22">
        <v>4523.8494677462168</v>
      </c>
      <c r="C412" s="23">
        <v>21664.42</v>
      </c>
      <c r="D412" s="23">
        <f t="shared" si="13"/>
        <v>216.64419999999998</v>
      </c>
    </row>
    <row r="413" spans="1:4">
      <c r="A413" s="22">
        <f t="shared" si="12"/>
        <v>453.4883246935841</v>
      </c>
      <c r="B413" s="22">
        <v>4534.8832469358413</v>
      </c>
      <c r="C413" s="23">
        <v>21538.92</v>
      </c>
      <c r="D413" s="23">
        <f t="shared" si="13"/>
        <v>215.38919999999999</v>
      </c>
    </row>
    <row r="414" spans="1:4">
      <c r="A414" s="22">
        <f t="shared" si="12"/>
        <v>454.59170261254656</v>
      </c>
      <c r="B414" s="22">
        <v>4545.9170261254658</v>
      </c>
      <c r="C414" s="23">
        <v>21413.42</v>
      </c>
      <c r="D414" s="23">
        <f t="shared" si="13"/>
        <v>214.13419999999999</v>
      </c>
    </row>
    <row r="415" spans="1:4">
      <c r="A415" s="22">
        <f t="shared" si="12"/>
        <v>455.69508053150912</v>
      </c>
      <c r="B415" s="22">
        <v>4556.9508053150912</v>
      </c>
      <c r="C415" s="23">
        <v>21287.919999999998</v>
      </c>
      <c r="D415" s="23">
        <f t="shared" si="13"/>
        <v>212.87919999999997</v>
      </c>
    </row>
    <row r="416" spans="1:4">
      <c r="A416" s="22">
        <f t="shared" si="12"/>
        <v>456.79845845047157</v>
      </c>
      <c r="B416" s="22">
        <v>4567.9845845047157</v>
      </c>
      <c r="C416" s="23">
        <v>21162.42</v>
      </c>
      <c r="D416" s="23">
        <f t="shared" si="13"/>
        <v>211.62419999999997</v>
      </c>
    </row>
    <row r="417" spans="1:4">
      <c r="A417" s="22">
        <f t="shared" si="12"/>
        <v>457.90183636943414</v>
      </c>
      <c r="B417" s="22">
        <v>4579.0183636943411</v>
      </c>
      <c r="C417" s="23">
        <v>21036.92</v>
      </c>
      <c r="D417" s="23">
        <f t="shared" si="13"/>
        <v>210.36919999999998</v>
      </c>
    </row>
    <row r="418" spans="1:4">
      <c r="A418" s="22">
        <f t="shared" si="12"/>
        <v>459.00521428839659</v>
      </c>
      <c r="B418" s="22">
        <v>4590.0521428839656</v>
      </c>
      <c r="C418" s="23">
        <v>20911.419999999998</v>
      </c>
      <c r="D418" s="23">
        <f t="shared" si="13"/>
        <v>209.11419999999998</v>
      </c>
    </row>
    <row r="419" spans="1:4">
      <c r="A419" s="22">
        <f t="shared" si="12"/>
        <v>460.1085922073591</v>
      </c>
      <c r="B419" s="22">
        <v>4601.0859220735911</v>
      </c>
      <c r="C419" s="23">
        <v>20785.919999999998</v>
      </c>
      <c r="D419" s="23">
        <f t="shared" si="13"/>
        <v>207.85919999999999</v>
      </c>
    </row>
    <row r="420" spans="1:4">
      <c r="A420" s="22">
        <f t="shared" si="12"/>
        <v>461.21197012632155</v>
      </c>
      <c r="B420" s="22">
        <v>4612.1197012632156</v>
      </c>
      <c r="C420" s="23">
        <v>20660.419999999998</v>
      </c>
      <c r="D420" s="23">
        <f t="shared" si="13"/>
        <v>206.60419999999999</v>
      </c>
    </row>
    <row r="421" spans="1:4">
      <c r="A421" s="22">
        <f t="shared" si="12"/>
        <v>462.31534804528411</v>
      </c>
      <c r="B421" s="22">
        <v>4623.153480452841</v>
      </c>
      <c r="C421" s="23">
        <v>20534.919999999998</v>
      </c>
      <c r="D421" s="23">
        <f t="shared" si="13"/>
        <v>205.3492</v>
      </c>
    </row>
    <row r="422" spans="1:4">
      <c r="A422" s="22">
        <f t="shared" si="12"/>
        <v>463.41872596424656</v>
      </c>
      <c r="B422" s="22">
        <v>4634.1872596424655</v>
      </c>
      <c r="C422" s="23">
        <v>20409.419999999998</v>
      </c>
      <c r="D422" s="23">
        <f t="shared" si="13"/>
        <v>204.09419999999997</v>
      </c>
    </row>
    <row r="423" spans="1:4">
      <c r="A423" s="22">
        <f t="shared" si="12"/>
        <v>464.52210388320901</v>
      </c>
      <c r="B423" s="22">
        <v>4645.22103883209</v>
      </c>
      <c r="C423" s="23">
        <v>20283.919999999998</v>
      </c>
      <c r="D423" s="23">
        <f t="shared" si="13"/>
        <v>202.83919999999998</v>
      </c>
    </row>
    <row r="424" spans="1:4">
      <c r="A424" s="22">
        <f t="shared" si="12"/>
        <v>465.62548180217152</v>
      </c>
      <c r="B424" s="22">
        <v>4656.2548180217154</v>
      </c>
      <c r="C424" s="23">
        <v>20158.419999999998</v>
      </c>
      <c r="D424" s="23">
        <f t="shared" si="13"/>
        <v>201.58419999999998</v>
      </c>
    </row>
    <row r="425" spans="1:4">
      <c r="A425" s="22">
        <f t="shared" si="12"/>
        <v>466.72885972113397</v>
      </c>
      <c r="B425" s="22">
        <v>4667.2885972113399</v>
      </c>
      <c r="C425" s="23">
        <v>20032.919999999998</v>
      </c>
      <c r="D425" s="23">
        <f t="shared" si="13"/>
        <v>200.32919999999999</v>
      </c>
    </row>
    <row r="426" spans="1:4">
      <c r="A426" s="22">
        <f t="shared" si="12"/>
        <v>467.83223764009654</v>
      </c>
      <c r="B426" s="22">
        <v>4678.3223764009654</v>
      </c>
      <c r="C426" s="23">
        <v>19907.419999999998</v>
      </c>
      <c r="D426" s="23">
        <f t="shared" si="13"/>
        <v>199.07419999999999</v>
      </c>
    </row>
    <row r="427" spans="1:4">
      <c r="A427" s="22">
        <f t="shared" si="12"/>
        <v>468.93561555905899</v>
      </c>
      <c r="B427" s="22">
        <v>4689.3561555905899</v>
      </c>
      <c r="C427" s="23">
        <v>19781.919999999998</v>
      </c>
      <c r="D427" s="23">
        <f t="shared" si="13"/>
        <v>197.8192</v>
      </c>
    </row>
    <row r="428" spans="1:4">
      <c r="A428" s="22">
        <f t="shared" si="12"/>
        <v>470.03899347802155</v>
      </c>
      <c r="B428" s="22">
        <v>4700.3899347802153</v>
      </c>
      <c r="C428" s="23">
        <v>19656.419999999998</v>
      </c>
      <c r="D428" s="23">
        <f t="shared" si="13"/>
        <v>196.56419999999997</v>
      </c>
    </row>
    <row r="429" spans="1:4">
      <c r="A429" s="22">
        <f t="shared" si="12"/>
        <v>471.142371396984</v>
      </c>
      <c r="B429" s="22">
        <v>4711.4237139698398</v>
      </c>
      <c r="C429" s="23">
        <v>19530.919999999998</v>
      </c>
      <c r="D429" s="23">
        <f t="shared" si="13"/>
        <v>195.30919999999998</v>
      </c>
    </row>
    <row r="430" spans="1:4">
      <c r="A430" s="22">
        <f t="shared" si="12"/>
        <v>472.24574931594651</v>
      </c>
      <c r="B430" s="22">
        <v>4722.4574931594652</v>
      </c>
      <c r="C430" s="23">
        <v>19405.419999999998</v>
      </c>
      <c r="D430" s="23">
        <f t="shared" si="13"/>
        <v>194.05419999999998</v>
      </c>
    </row>
    <row r="431" spans="1:4">
      <c r="A431" s="22">
        <f t="shared" si="12"/>
        <v>473.34912723490896</v>
      </c>
      <c r="B431" s="22">
        <v>4733.4912723490897</v>
      </c>
      <c r="C431" s="23">
        <v>19279.919999999998</v>
      </c>
      <c r="D431" s="23">
        <f t="shared" si="13"/>
        <v>192.79919999999998</v>
      </c>
    </row>
    <row r="432" spans="1:4">
      <c r="A432" s="22">
        <f t="shared" si="12"/>
        <v>474.45250515387141</v>
      </c>
      <c r="B432" s="22">
        <v>4744.5250515387143</v>
      </c>
      <c r="C432" s="23">
        <v>19154.419999999998</v>
      </c>
      <c r="D432" s="23">
        <f t="shared" si="13"/>
        <v>191.54419999999999</v>
      </c>
    </row>
    <row r="433" spans="1:4">
      <c r="A433" s="22">
        <f t="shared" si="12"/>
        <v>475.55588307283398</v>
      </c>
      <c r="B433" s="22">
        <v>4755.5588307283397</v>
      </c>
      <c r="C433" s="23">
        <v>19028.919999999998</v>
      </c>
      <c r="D433" s="23">
        <f t="shared" si="13"/>
        <v>190.28919999999999</v>
      </c>
    </row>
    <row r="434" spans="1:4">
      <c r="A434" s="22">
        <f t="shared" si="12"/>
        <v>476.65926099179643</v>
      </c>
      <c r="B434" s="22">
        <v>4766.5926099179642</v>
      </c>
      <c r="C434" s="23">
        <v>18903.419999999998</v>
      </c>
      <c r="D434" s="23">
        <f t="shared" si="13"/>
        <v>189.03419999999997</v>
      </c>
    </row>
    <row r="435" spans="1:4">
      <c r="A435" s="22">
        <f t="shared" si="12"/>
        <v>477.76263891075894</v>
      </c>
      <c r="B435" s="22">
        <v>4777.6263891075896</v>
      </c>
      <c r="C435" s="23">
        <v>18777.919999999998</v>
      </c>
      <c r="D435" s="23">
        <f t="shared" si="13"/>
        <v>187.77919999999997</v>
      </c>
    </row>
    <row r="436" spans="1:4">
      <c r="A436" s="22">
        <f t="shared" si="12"/>
        <v>478.86601682972139</v>
      </c>
      <c r="B436" s="22">
        <v>4788.6601682972141</v>
      </c>
      <c r="C436" s="23">
        <v>18652.419999999998</v>
      </c>
      <c r="D436" s="23">
        <f t="shared" si="13"/>
        <v>186.52419999999998</v>
      </c>
    </row>
    <row r="437" spans="1:4">
      <c r="A437" s="22">
        <f t="shared" si="12"/>
        <v>479.96939474868395</v>
      </c>
      <c r="B437" s="22">
        <v>4799.6939474868395</v>
      </c>
      <c r="C437" s="23">
        <v>18526.919999999998</v>
      </c>
      <c r="D437" s="23">
        <f t="shared" si="13"/>
        <v>185.26919999999998</v>
      </c>
    </row>
    <row r="438" spans="1:4">
      <c r="A438" s="22">
        <f t="shared" si="12"/>
        <v>481.0727726676464</v>
      </c>
      <c r="B438" s="22">
        <v>4810.727726676464</v>
      </c>
      <c r="C438" s="23">
        <v>18401.419999999998</v>
      </c>
      <c r="D438" s="23">
        <f t="shared" si="13"/>
        <v>184.01419999999999</v>
      </c>
    </row>
    <row r="439" spans="1:4">
      <c r="A439" s="22">
        <f t="shared" si="12"/>
        <v>482.17615058660897</v>
      </c>
      <c r="B439" s="22">
        <v>4821.7615058660895</v>
      </c>
      <c r="C439" s="23">
        <v>18275.919999999998</v>
      </c>
      <c r="D439" s="23">
        <f t="shared" si="13"/>
        <v>182.75919999999999</v>
      </c>
    </row>
    <row r="440" spans="1:4">
      <c r="A440" s="22">
        <f t="shared" si="12"/>
        <v>483.27952850557142</v>
      </c>
      <c r="B440" s="22">
        <v>4832.795285055714</v>
      </c>
      <c r="C440" s="23">
        <v>18150.419999999998</v>
      </c>
      <c r="D440" s="23">
        <f t="shared" si="13"/>
        <v>181.50419999999997</v>
      </c>
    </row>
    <row r="441" spans="1:4">
      <c r="A441" s="22">
        <f t="shared" si="12"/>
        <v>484.38290642453393</v>
      </c>
      <c r="B441" s="22">
        <v>4843.8290642453394</v>
      </c>
      <c r="C441" s="23">
        <v>18024.919999999998</v>
      </c>
      <c r="D441" s="23">
        <f t="shared" si="13"/>
        <v>180.24919999999997</v>
      </c>
    </row>
    <row r="442" spans="1:4">
      <c r="A442" s="22">
        <f t="shared" si="12"/>
        <v>485.48628434349638</v>
      </c>
      <c r="B442" s="22">
        <v>4854.8628434349639</v>
      </c>
      <c r="C442" s="23">
        <v>17899.419999999998</v>
      </c>
      <c r="D442" s="23">
        <f t="shared" si="13"/>
        <v>178.99419999999998</v>
      </c>
    </row>
    <row r="443" spans="1:4">
      <c r="A443" s="22">
        <f t="shared" si="12"/>
        <v>486.58966226245883</v>
      </c>
      <c r="B443" s="22">
        <v>4865.8966226245884</v>
      </c>
      <c r="C443" s="23">
        <v>17773.919999999998</v>
      </c>
      <c r="D443" s="23">
        <f t="shared" si="13"/>
        <v>177.73919999999998</v>
      </c>
    </row>
    <row r="444" spans="1:4">
      <c r="A444" s="22">
        <f t="shared" si="12"/>
        <v>487.6930401814214</v>
      </c>
      <c r="B444" s="22">
        <v>4876.9304018142138</v>
      </c>
      <c r="C444" s="23">
        <v>17648.419999999998</v>
      </c>
      <c r="D444" s="23">
        <f t="shared" si="13"/>
        <v>176.48419999999999</v>
      </c>
    </row>
    <row r="445" spans="1:4">
      <c r="A445" s="22">
        <f t="shared" si="12"/>
        <v>488.79641810038385</v>
      </c>
      <c r="B445" s="22">
        <v>4887.9641810038383</v>
      </c>
      <c r="C445" s="23">
        <v>17522.919999999998</v>
      </c>
      <c r="D445" s="23">
        <f t="shared" si="13"/>
        <v>175.22919999999999</v>
      </c>
    </row>
    <row r="446" spans="1:4">
      <c r="A446" s="22">
        <f t="shared" si="12"/>
        <v>489.89979601934635</v>
      </c>
      <c r="B446" s="22">
        <v>4898.9979601934638</v>
      </c>
      <c r="C446" s="23">
        <v>17397.419999999998</v>
      </c>
      <c r="D446" s="23">
        <f t="shared" si="13"/>
        <v>173.9742</v>
      </c>
    </row>
    <row r="447" spans="1:4">
      <c r="A447" s="22">
        <f t="shared" si="12"/>
        <v>491.00317393830881</v>
      </c>
      <c r="B447" s="22">
        <v>4910.0317393830883</v>
      </c>
      <c r="C447" s="23">
        <v>17271.919999999998</v>
      </c>
      <c r="D447" s="23">
        <f t="shared" si="13"/>
        <v>172.71919999999997</v>
      </c>
    </row>
    <row r="448" spans="1:4">
      <c r="A448" s="22">
        <f t="shared" si="12"/>
        <v>492.10655185727137</v>
      </c>
      <c r="B448" s="22">
        <v>4921.0655185727137</v>
      </c>
      <c r="C448" s="23">
        <v>17146.419999999998</v>
      </c>
      <c r="D448" s="23">
        <f t="shared" si="13"/>
        <v>171.46419999999998</v>
      </c>
    </row>
    <row r="449" spans="1:4">
      <c r="A449" s="22">
        <f t="shared" si="12"/>
        <v>493.20992977623382</v>
      </c>
      <c r="B449" s="22">
        <v>4932.0992977623382</v>
      </c>
      <c r="C449" s="23">
        <v>17020.919999999998</v>
      </c>
      <c r="D449" s="23">
        <f t="shared" si="13"/>
        <v>170.20919999999998</v>
      </c>
    </row>
    <row r="450" spans="1:4">
      <c r="A450" s="22">
        <f t="shared" si="12"/>
        <v>494.31330769519639</v>
      </c>
      <c r="B450" s="22">
        <v>4943.1330769519636</v>
      </c>
      <c r="C450" s="23">
        <v>16895.419999999998</v>
      </c>
      <c r="D450" s="23">
        <f t="shared" si="13"/>
        <v>168.95419999999999</v>
      </c>
    </row>
    <row r="451" spans="1:4">
      <c r="A451" s="22">
        <f t="shared" ref="A451:A514" si="14">$B451/10</f>
        <v>495.41668561415884</v>
      </c>
      <c r="B451" s="22">
        <v>4954.1668561415881</v>
      </c>
      <c r="C451" s="23">
        <v>16769.919999999998</v>
      </c>
      <c r="D451" s="23">
        <f t="shared" ref="D451:D514" si="15">$C451/100</f>
        <v>167.69919999999999</v>
      </c>
    </row>
    <row r="452" spans="1:4">
      <c r="A452" s="22">
        <f t="shared" si="14"/>
        <v>496.52006353312129</v>
      </c>
      <c r="B452" s="22">
        <v>4965.2006353312127</v>
      </c>
      <c r="C452" s="23">
        <v>16644.419999999998</v>
      </c>
      <c r="D452" s="23">
        <f t="shared" si="15"/>
        <v>166.4442</v>
      </c>
    </row>
    <row r="453" spans="1:4">
      <c r="A453" s="22">
        <f t="shared" si="14"/>
        <v>497.6234414520838</v>
      </c>
      <c r="B453" s="22">
        <v>4976.2344145208381</v>
      </c>
      <c r="C453" s="23">
        <v>16518.919999999998</v>
      </c>
      <c r="D453" s="23">
        <f t="shared" si="15"/>
        <v>165.18919999999997</v>
      </c>
    </row>
    <row r="454" spans="1:4">
      <c r="A454" s="22">
        <f t="shared" si="14"/>
        <v>498.72681937104625</v>
      </c>
      <c r="B454" s="22">
        <v>4987.2681937104626</v>
      </c>
      <c r="C454" s="23">
        <v>16393.419999999998</v>
      </c>
      <c r="D454" s="23">
        <f t="shared" si="15"/>
        <v>163.93419999999998</v>
      </c>
    </row>
    <row r="455" spans="1:4">
      <c r="A455" s="22">
        <f t="shared" si="14"/>
        <v>499.83019729000881</v>
      </c>
      <c r="B455" s="22">
        <v>4998.301972900088</v>
      </c>
      <c r="C455" s="23">
        <v>16267.919999999998</v>
      </c>
      <c r="D455" s="23">
        <f t="shared" si="15"/>
        <v>162.67919999999998</v>
      </c>
    </row>
    <row r="456" spans="1:4">
      <c r="A456" s="22">
        <f t="shared" si="14"/>
        <v>500.93357520897126</v>
      </c>
      <c r="B456" s="22">
        <v>5009.3357520897125</v>
      </c>
      <c r="C456" s="23">
        <v>16142.419999999998</v>
      </c>
      <c r="D456" s="23">
        <f t="shared" si="15"/>
        <v>161.42419999999998</v>
      </c>
    </row>
    <row r="457" spans="1:4">
      <c r="A457" s="22">
        <f t="shared" si="14"/>
        <v>502.03695312793377</v>
      </c>
      <c r="B457" s="22">
        <v>5020.3695312793379</v>
      </c>
      <c r="C457" s="23">
        <v>16016.919999999998</v>
      </c>
      <c r="D457" s="23">
        <f t="shared" si="15"/>
        <v>160.16919999999999</v>
      </c>
    </row>
    <row r="458" spans="1:4">
      <c r="A458" s="22">
        <f t="shared" si="14"/>
        <v>503.14033104689622</v>
      </c>
      <c r="B458" s="22">
        <v>5031.4033104689624</v>
      </c>
      <c r="C458" s="23">
        <v>15891.419999999998</v>
      </c>
      <c r="D458" s="23">
        <f t="shared" si="15"/>
        <v>158.91419999999999</v>
      </c>
    </row>
    <row r="459" spans="1:4">
      <c r="A459" s="22">
        <f t="shared" si="14"/>
        <v>504.24370896585879</v>
      </c>
      <c r="B459" s="22">
        <v>5042.4370896585879</v>
      </c>
      <c r="C459" s="23">
        <v>15765.919999999998</v>
      </c>
      <c r="D459" s="23">
        <f t="shared" si="15"/>
        <v>157.65919999999997</v>
      </c>
    </row>
    <row r="460" spans="1:4">
      <c r="A460" s="22">
        <f t="shared" si="14"/>
        <v>505.34708688482124</v>
      </c>
      <c r="B460" s="22">
        <v>5053.4708688482124</v>
      </c>
      <c r="C460" s="23">
        <v>15640.419999999998</v>
      </c>
      <c r="D460" s="23">
        <f t="shared" si="15"/>
        <v>156.40419999999997</v>
      </c>
    </row>
    <row r="461" spans="1:4">
      <c r="A461" s="22">
        <f t="shared" si="14"/>
        <v>506.45046480378369</v>
      </c>
      <c r="B461" s="22">
        <v>5064.5046480378369</v>
      </c>
      <c r="C461" s="23">
        <v>15514.919999999998</v>
      </c>
      <c r="D461" s="23">
        <f t="shared" si="15"/>
        <v>155.14919999999998</v>
      </c>
    </row>
    <row r="462" spans="1:4">
      <c r="A462" s="22">
        <f t="shared" si="14"/>
        <v>507.55384272274625</v>
      </c>
      <c r="B462" s="22">
        <v>5075.5384272274623</v>
      </c>
      <c r="C462" s="23">
        <v>15389.419999999998</v>
      </c>
      <c r="D462" s="23">
        <f t="shared" si="15"/>
        <v>153.89419999999998</v>
      </c>
    </row>
    <row r="463" spans="1:4">
      <c r="A463" s="22">
        <f t="shared" si="14"/>
        <v>508.6572206417087</v>
      </c>
      <c r="B463" s="22">
        <v>5086.5722064170868</v>
      </c>
      <c r="C463" s="23">
        <v>15263.919999999998</v>
      </c>
      <c r="D463" s="23">
        <f t="shared" si="15"/>
        <v>152.63919999999999</v>
      </c>
    </row>
    <row r="464" spans="1:4">
      <c r="A464" s="22">
        <f t="shared" si="14"/>
        <v>509.76059856067121</v>
      </c>
      <c r="B464" s="22">
        <v>5097.6059856067122</v>
      </c>
      <c r="C464" s="23">
        <v>15138.419999999998</v>
      </c>
      <c r="D464" s="23">
        <f t="shared" si="15"/>
        <v>151.38419999999999</v>
      </c>
    </row>
    <row r="465" spans="1:4">
      <c r="A465" s="22">
        <f t="shared" si="14"/>
        <v>510.86397647963366</v>
      </c>
      <c r="B465" s="22">
        <v>5108.6397647963367</v>
      </c>
      <c r="C465" s="23">
        <v>15012.919999999998</v>
      </c>
      <c r="D465" s="23">
        <f t="shared" si="15"/>
        <v>150.12919999999997</v>
      </c>
    </row>
    <row r="466" spans="1:4">
      <c r="A466" s="22">
        <f t="shared" si="14"/>
        <v>511.96735439859623</v>
      </c>
      <c r="B466" s="22">
        <v>5119.6735439859622</v>
      </c>
      <c r="C466" s="23">
        <v>14887.419999999998</v>
      </c>
      <c r="D466" s="23">
        <f t="shared" si="15"/>
        <v>148.87419999999997</v>
      </c>
    </row>
    <row r="467" spans="1:4">
      <c r="A467" s="22">
        <f t="shared" si="14"/>
        <v>513.07073231755862</v>
      </c>
      <c r="B467" s="22">
        <v>5130.7073231755867</v>
      </c>
      <c r="C467" s="23">
        <v>14761.919999999998</v>
      </c>
      <c r="D467" s="23">
        <f t="shared" si="15"/>
        <v>147.61919999999998</v>
      </c>
    </row>
    <row r="468" spans="1:4">
      <c r="A468" s="22">
        <f t="shared" si="14"/>
        <v>514.17411023652119</v>
      </c>
      <c r="B468" s="22">
        <v>5141.7411023652121</v>
      </c>
      <c r="C468" s="23">
        <v>14636.419999999998</v>
      </c>
      <c r="D468" s="23">
        <f t="shared" si="15"/>
        <v>146.36419999999998</v>
      </c>
    </row>
    <row r="469" spans="1:4">
      <c r="A469" s="22">
        <f t="shared" si="14"/>
        <v>515.27748815548364</v>
      </c>
      <c r="B469" s="22">
        <v>5152.7748815548366</v>
      </c>
      <c r="C469" s="23">
        <v>14510.919999999998</v>
      </c>
      <c r="D469" s="23">
        <f t="shared" si="15"/>
        <v>145.10919999999999</v>
      </c>
    </row>
    <row r="470" spans="1:4">
      <c r="A470" s="22">
        <f t="shared" si="14"/>
        <v>516.38086607444609</v>
      </c>
      <c r="B470" s="22">
        <v>5163.8086607444611</v>
      </c>
      <c r="C470" s="23">
        <v>14385.419999999998</v>
      </c>
      <c r="D470" s="23">
        <f t="shared" si="15"/>
        <v>143.85419999999999</v>
      </c>
    </row>
    <row r="471" spans="1:4">
      <c r="A471" s="22">
        <f t="shared" si="14"/>
        <v>517.48424399340865</v>
      </c>
      <c r="B471" s="22">
        <v>5174.8424399340865</v>
      </c>
      <c r="C471" s="23">
        <v>14259.919999999998</v>
      </c>
      <c r="D471" s="23">
        <f t="shared" si="15"/>
        <v>142.5992</v>
      </c>
    </row>
    <row r="472" spans="1:4">
      <c r="A472" s="22">
        <f t="shared" si="14"/>
        <v>518.58762191237111</v>
      </c>
      <c r="B472" s="22">
        <v>5185.8762191237111</v>
      </c>
      <c r="C472" s="23">
        <v>14134.419999999998</v>
      </c>
      <c r="D472" s="23">
        <f t="shared" si="15"/>
        <v>141.34419999999997</v>
      </c>
    </row>
    <row r="473" spans="1:4">
      <c r="A473" s="22">
        <f t="shared" si="14"/>
        <v>519.69099983133367</v>
      </c>
      <c r="B473" s="22">
        <v>5196.9099983133365</v>
      </c>
      <c r="C473" s="23">
        <v>14008.919999999998</v>
      </c>
      <c r="D473" s="23">
        <f t="shared" si="15"/>
        <v>140.08919999999998</v>
      </c>
    </row>
    <row r="474" spans="1:4">
      <c r="A474" s="22">
        <f t="shared" si="14"/>
        <v>520.79437775029612</v>
      </c>
      <c r="B474" s="22">
        <v>5207.943777502961</v>
      </c>
      <c r="C474" s="23">
        <v>13883.419999999998</v>
      </c>
      <c r="D474" s="23">
        <f t="shared" si="15"/>
        <v>138.83419999999998</v>
      </c>
    </row>
    <row r="475" spans="1:4">
      <c r="A475" s="22">
        <f t="shared" si="14"/>
        <v>521.89775566925869</v>
      </c>
      <c r="B475" s="22">
        <v>5218.9775566925864</v>
      </c>
      <c r="C475" s="23">
        <v>13757.919999999998</v>
      </c>
      <c r="D475" s="23">
        <f t="shared" si="15"/>
        <v>137.57919999999999</v>
      </c>
    </row>
    <row r="476" spans="1:4">
      <c r="A476" s="22">
        <f t="shared" si="14"/>
        <v>523.00113358822114</v>
      </c>
      <c r="B476" s="22">
        <v>5230.0113358822109</v>
      </c>
      <c r="C476" s="23">
        <v>13632.419999999998</v>
      </c>
      <c r="D476" s="23">
        <f t="shared" si="15"/>
        <v>136.32419999999999</v>
      </c>
    </row>
    <row r="477" spans="1:4">
      <c r="A477" s="22">
        <f t="shared" si="14"/>
        <v>524.10451150718359</v>
      </c>
      <c r="B477" s="22">
        <v>5241.0451150718363</v>
      </c>
      <c r="C477" s="23">
        <v>13506.919999999998</v>
      </c>
      <c r="D477" s="23">
        <f t="shared" si="15"/>
        <v>135.0692</v>
      </c>
    </row>
    <row r="478" spans="1:4">
      <c r="A478" s="22">
        <f t="shared" si="14"/>
        <v>525.20788942614604</v>
      </c>
      <c r="B478" s="22">
        <v>5252.0788942614608</v>
      </c>
      <c r="C478" s="23">
        <v>13381.419999999998</v>
      </c>
      <c r="D478" s="23">
        <f t="shared" si="15"/>
        <v>133.81419999999997</v>
      </c>
    </row>
    <row r="479" spans="1:4">
      <c r="A479" s="22">
        <f t="shared" si="14"/>
        <v>526.3112673451086</v>
      </c>
      <c r="B479" s="22">
        <v>5263.1126734510863</v>
      </c>
      <c r="C479" s="23">
        <v>13255.919999999998</v>
      </c>
      <c r="D479" s="23">
        <f t="shared" si="15"/>
        <v>132.55919999999998</v>
      </c>
    </row>
    <row r="480" spans="1:4">
      <c r="A480" s="22">
        <f t="shared" si="14"/>
        <v>527.41464526407105</v>
      </c>
      <c r="B480" s="22">
        <v>5274.1464526407108</v>
      </c>
      <c r="C480" s="23">
        <v>13130.419999999998</v>
      </c>
      <c r="D480" s="23">
        <f t="shared" si="15"/>
        <v>131.30419999999998</v>
      </c>
    </row>
    <row r="481" spans="1:4">
      <c r="A481" s="22">
        <f t="shared" si="14"/>
        <v>528.51802318303351</v>
      </c>
      <c r="B481" s="22">
        <v>5285.1802318303353</v>
      </c>
      <c r="C481" s="23">
        <v>13004.919999999998</v>
      </c>
      <c r="D481" s="23">
        <f t="shared" si="15"/>
        <v>130.04919999999998</v>
      </c>
    </row>
    <row r="482" spans="1:4">
      <c r="A482" s="22">
        <f t="shared" si="14"/>
        <v>529.62140110199607</v>
      </c>
      <c r="B482" s="22">
        <v>5296.2140110199607</v>
      </c>
      <c r="C482" s="23">
        <v>12879.419999999998</v>
      </c>
      <c r="D482" s="23">
        <f t="shared" si="15"/>
        <v>128.79419999999999</v>
      </c>
    </row>
    <row r="483" spans="1:4">
      <c r="A483" s="22">
        <f t="shared" si="14"/>
        <v>530.72477902095852</v>
      </c>
      <c r="B483" s="22">
        <v>5307.2477902095852</v>
      </c>
      <c r="C483" s="23">
        <v>12753.919999999998</v>
      </c>
      <c r="D483" s="23">
        <f t="shared" si="15"/>
        <v>127.53919999999998</v>
      </c>
    </row>
    <row r="484" spans="1:4">
      <c r="A484" s="22">
        <f t="shared" si="14"/>
        <v>531.82815693992109</v>
      </c>
      <c r="B484" s="22">
        <v>5318.2815693992106</v>
      </c>
      <c r="C484" s="23">
        <v>12628.419999999998</v>
      </c>
      <c r="D484" s="23">
        <f t="shared" si="15"/>
        <v>126.28419999999998</v>
      </c>
    </row>
    <row r="485" spans="1:4">
      <c r="A485" s="22">
        <f t="shared" si="14"/>
        <v>532.93153485888354</v>
      </c>
      <c r="B485" s="22">
        <v>5329.3153485888351</v>
      </c>
      <c r="C485" s="23">
        <v>12502.919999999998</v>
      </c>
      <c r="D485" s="23">
        <f t="shared" si="15"/>
        <v>125.02919999999999</v>
      </c>
    </row>
    <row r="486" spans="1:4">
      <c r="A486" s="22">
        <f t="shared" si="14"/>
        <v>534.0349127778461</v>
      </c>
      <c r="B486" s="22">
        <v>5340.3491277784606</v>
      </c>
      <c r="C486" s="23">
        <v>12377.419999999998</v>
      </c>
      <c r="D486" s="23">
        <f t="shared" si="15"/>
        <v>123.77419999999998</v>
      </c>
    </row>
    <row r="487" spans="1:4">
      <c r="A487" s="22">
        <f t="shared" si="14"/>
        <v>535.13829069680855</v>
      </c>
      <c r="B487" s="22">
        <v>5351.3829069680851</v>
      </c>
      <c r="C487" s="23">
        <v>12251.919999999998</v>
      </c>
      <c r="D487" s="23">
        <f t="shared" si="15"/>
        <v>122.51919999999998</v>
      </c>
    </row>
    <row r="488" spans="1:4">
      <c r="A488" s="22">
        <f t="shared" si="14"/>
        <v>536.241668615771</v>
      </c>
      <c r="B488" s="22">
        <v>5362.4166861577105</v>
      </c>
      <c r="C488" s="23">
        <v>12126.419999999998</v>
      </c>
      <c r="D488" s="23">
        <f t="shared" si="15"/>
        <v>121.26419999999999</v>
      </c>
    </row>
    <row r="489" spans="1:4">
      <c r="A489" s="22">
        <f t="shared" si="14"/>
        <v>537.34504653473346</v>
      </c>
      <c r="B489" s="22">
        <v>5373.450465347335</v>
      </c>
      <c r="C489" s="23">
        <v>12000.919999999998</v>
      </c>
      <c r="D489" s="23">
        <f t="shared" si="15"/>
        <v>120.00919999999998</v>
      </c>
    </row>
    <row r="490" spans="1:4">
      <c r="A490" s="22">
        <f t="shared" si="14"/>
        <v>538.44842445369591</v>
      </c>
      <c r="B490" s="22">
        <v>5384.4842445369595</v>
      </c>
      <c r="C490" s="23">
        <v>11875.419999999998</v>
      </c>
      <c r="D490" s="23">
        <f t="shared" si="15"/>
        <v>118.75419999999998</v>
      </c>
    </row>
    <row r="491" spans="1:4">
      <c r="A491" s="22">
        <f t="shared" si="14"/>
        <v>539.55180237265847</v>
      </c>
      <c r="B491" s="22">
        <v>5395.5180237265849</v>
      </c>
      <c r="C491" s="23">
        <v>11749.919999999998</v>
      </c>
      <c r="D491" s="23">
        <f t="shared" si="15"/>
        <v>117.49919999999999</v>
      </c>
    </row>
    <row r="492" spans="1:4">
      <c r="A492" s="22">
        <f t="shared" si="14"/>
        <v>540.65518029162092</v>
      </c>
      <c r="B492" s="22">
        <v>5406.5518029162095</v>
      </c>
      <c r="C492" s="23">
        <v>11624.419999999998</v>
      </c>
      <c r="D492" s="23">
        <f t="shared" si="15"/>
        <v>116.24419999999998</v>
      </c>
    </row>
    <row r="493" spans="1:4">
      <c r="A493" s="22">
        <f t="shared" si="14"/>
        <v>541.75855821058349</v>
      </c>
      <c r="B493" s="22">
        <v>5417.5855821058349</v>
      </c>
      <c r="C493" s="23">
        <v>11498.919999999998</v>
      </c>
      <c r="D493" s="23">
        <f t="shared" si="15"/>
        <v>114.98919999999998</v>
      </c>
    </row>
    <row r="494" spans="1:4">
      <c r="A494" s="22">
        <f t="shared" si="14"/>
        <v>542.86193612954594</v>
      </c>
      <c r="B494" s="22">
        <v>5428.6193612954594</v>
      </c>
      <c r="C494" s="23">
        <v>11373.419999999998</v>
      </c>
      <c r="D494" s="23">
        <f t="shared" si="15"/>
        <v>113.73419999999999</v>
      </c>
    </row>
    <row r="495" spans="1:4">
      <c r="A495" s="22">
        <f t="shared" si="14"/>
        <v>543.9653140485085</v>
      </c>
      <c r="B495" s="22">
        <v>5439.6531404850848</v>
      </c>
      <c r="C495" s="23">
        <v>11247.919999999998</v>
      </c>
      <c r="D495" s="23">
        <f t="shared" si="15"/>
        <v>112.47919999999998</v>
      </c>
    </row>
    <row r="496" spans="1:4">
      <c r="A496" s="22">
        <f t="shared" si="14"/>
        <v>545.06869196747095</v>
      </c>
      <c r="B496" s="22">
        <v>5450.6869196747093</v>
      </c>
      <c r="C496" s="23">
        <v>11122.419999999998</v>
      </c>
      <c r="D496" s="23">
        <f t="shared" si="15"/>
        <v>111.22419999999998</v>
      </c>
    </row>
    <row r="497" spans="1:4">
      <c r="A497" s="22">
        <f t="shared" si="14"/>
        <v>546.17206988643352</v>
      </c>
      <c r="B497" s="22">
        <v>5461.7206988643347</v>
      </c>
      <c r="C497" s="23">
        <v>10996.919999999998</v>
      </c>
      <c r="D497" s="23">
        <f t="shared" si="15"/>
        <v>109.96919999999999</v>
      </c>
    </row>
    <row r="498" spans="1:4">
      <c r="A498" s="22">
        <f t="shared" si="14"/>
        <v>547.27544780539597</v>
      </c>
      <c r="B498" s="22">
        <v>5472.7544780539592</v>
      </c>
      <c r="C498" s="23">
        <v>10871.419999999998</v>
      </c>
      <c r="D498" s="23">
        <f t="shared" si="15"/>
        <v>108.71419999999998</v>
      </c>
    </row>
    <row r="499" spans="1:4">
      <c r="A499" s="22">
        <f t="shared" si="14"/>
        <v>548.37882572435842</v>
      </c>
      <c r="B499" s="22">
        <v>5483.7882572435838</v>
      </c>
      <c r="C499" s="23">
        <v>10745.919999999998</v>
      </c>
      <c r="D499" s="23">
        <f t="shared" si="15"/>
        <v>107.45919999999998</v>
      </c>
    </row>
    <row r="500" spans="1:4">
      <c r="A500" s="22">
        <f t="shared" si="14"/>
        <v>549.48220364332087</v>
      </c>
      <c r="B500" s="22">
        <v>5494.8220364332092</v>
      </c>
      <c r="C500" s="23">
        <v>10620.419999999998</v>
      </c>
      <c r="D500" s="23">
        <f t="shared" si="15"/>
        <v>106.20419999999999</v>
      </c>
    </row>
    <row r="501" spans="1:4">
      <c r="A501" s="22">
        <f t="shared" si="14"/>
        <v>550.58558156228332</v>
      </c>
      <c r="B501" s="22">
        <v>5505.8558156228337</v>
      </c>
      <c r="C501" s="23">
        <v>10494.919999999998</v>
      </c>
      <c r="D501" s="23">
        <f t="shared" si="15"/>
        <v>104.94919999999998</v>
      </c>
    </row>
    <row r="502" spans="1:4">
      <c r="A502" s="22">
        <f t="shared" si="14"/>
        <v>551.68895948124589</v>
      </c>
      <c r="B502" s="22">
        <v>5516.8895948124591</v>
      </c>
      <c r="C502" s="23">
        <v>10369.419999999998</v>
      </c>
      <c r="D502" s="23">
        <f t="shared" si="15"/>
        <v>103.69419999999998</v>
      </c>
    </row>
    <row r="503" spans="1:4">
      <c r="A503" s="22">
        <f t="shared" si="14"/>
        <v>552.79233740020834</v>
      </c>
      <c r="B503" s="22">
        <v>5527.9233740020836</v>
      </c>
      <c r="C503" s="23">
        <v>10243.919999999998</v>
      </c>
      <c r="D503" s="23">
        <f t="shared" si="15"/>
        <v>102.43919999999999</v>
      </c>
    </row>
    <row r="504" spans="1:4">
      <c r="A504" s="22">
        <f t="shared" si="14"/>
        <v>553.8957153191709</v>
      </c>
      <c r="B504" s="22">
        <v>5538.957153191709</v>
      </c>
      <c r="C504" s="23">
        <v>10118.419999999998</v>
      </c>
      <c r="D504" s="23">
        <f t="shared" si="15"/>
        <v>101.18419999999998</v>
      </c>
    </row>
    <row r="505" spans="1:4">
      <c r="A505" s="22">
        <f t="shared" si="14"/>
        <v>554.99909323813336</v>
      </c>
      <c r="B505" s="22">
        <v>5549.9909323813336</v>
      </c>
      <c r="C505" s="23">
        <v>9992.9199999999983</v>
      </c>
      <c r="D505" s="23">
        <f t="shared" si="15"/>
        <v>99.92919999999998</v>
      </c>
    </row>
    <row r="506" spans="1:4">
      <c r="A506" s="22">
        <f t="shared" si="14"/>
        <v>556.10247115709592</v>
      </c>
      <c r="B506" s="22">
        <v>5561.024711570959</v>
      </c>
      <c r="C506" s="23">
        <v>9867.4199999999983</v>
      </c>
      <c r="D506" s="23">
        <f t="shared" si="15"/>
        <v>98.674199999999985</v>
      </c>
    </row>
    <row r="507" spans="1:4">
      <c r="A507" s="22">
        <f t="shared" si="14"/>
        <v>557.20584907605837</v>
      </c>
      <c r="B507" s="22">
        <v>5572.0584907605835</v>
      </c>
      <c r="C507" s="23">
        <v>9741.9199999999983</v>
      </c>
      <c r="D507" s="23">
        <f t="shared" si="15"/>
        <v>97.419199999999989</v>
      </c>
    </row>
    <row r="508" spans="1:4">
      <c r="A508" s="22">
        <f t="shared" si="14"/>
        <v>558.30922699502094</v>
      </c>
      <c r="B508" s="22">
        <v>5583.0922699502089</v>
      </c>
      <c r="C508" s="23">
        <v>9616.4199999999983</v>
      </c>
      <c r="D508" s="23">
        <f t="shared" si="15"/>
        <v>96.16419999999998</v>
      </c>
    </row>
    <row r="509" spans="1:4">
      <c r="A509" s="22">
        <f t="shared" si="14"/>
        <v>559.41260491398339</v>
      </c>
      <c r="B509" s="22">
        <v>5594.1260491398334</v>
      </c>
      <c r="C509" s="23">
        <v>9490.9199999999983</v>
      </c>
      <c r="D509" s="23">
        <f t="shared" si="15"/>
        <v>94.909199999999984</v>
      </c>
    </row>
    <row r="510" spans="1:4">
      <c r="A510" s="22">
        <f t="shared" si="14"/>
        <v>560.51598283294584</v>
      </c>
      <c r="B510" s="22">
        <v>5605.1598283294579</v>
      </c>
      <c r="C510" s="23">
        <v>9365.4199999999983</v>
      </c>
      <c r="D510" s="23">
        <f t="shared" si="15"/>
        <v>93.654199999999989</v>
      </c>
    </row>
    <row r="511" spans="1:4">
      <c r="A511" s="22">
        <f t="shared" si="14"/>
        <v>561.61936075190829</v>
      </c>
      <c r="B511" s="22">
        <v>5616.1936075190833</v>
      </c>
      <c r="C511" s="23">
        <v>9239.9199999999983</v>
      </c>
      <c r="D511" s="23">
        <f t="shared" si="15"/>
        <v>92.399199999999979</v>
      </c>
    </row>
    <row r="512" spans="1:4">
      <c r="A512" s="22">
        <f t="shared" si="14"/>
        <v>562.72273867087074</v>
      </c>
      <c r="B512" s="22">
        <v>5627.2273867087079</v>
      </c>
      <c r="C512" s="23">
        <v>9114.4199999999983</v>
      </c>
      <c r="D512" s="23">
        <f t="shared" si="15"/>
        <v>91.144199999999984</v>
      </c>
    </row>
    <row r="513" spans="1:4">
      <c r="A513" s="22">
        <f t="shared" si="14"/>
        <v>563.8261165898333</v>
      </c>
      <c r="B513" s="22">
        <v>5638.2611658983333</v>
      </c>
      <c r="C513" s="23">
        <v>8988.9199999999983</v>
      </c>
      <c r="D513" s="23">
        <f t="shared" si="15"/>
        <v>89.889199999999988</v>
      </c>
    </row>
    <row r="514" spans="1:4">
      <c r="A514" s="22">
        <f t="shared" si="14"/>
        <v>564.92949450879576</v>
      </c>
      <c r="B514" s="22">
        <v>5649.2949450879578</v>
      </c>
      <c r="C514" s="23">
        <v>8863.4199999999983</v>
      </c>
      <c r="D514" s="23">
        <f t="shared" si="15"/>
        <v>88.634199999999979</v>
      </c>
    </row>
    <row r="515" spans="1:4">
      <c r="A515" s="22">
        <f t="shared" ref="A515:A578" si="16">$B515/10</f>
        <v>566.03287242775832</v>
      </c>
      <c r="B515" s="22">
        <v>5660.3287242775832</v>
      </c>
      <c r="C515" s="23">
        <v>8737.9199999999983</v>
      </c>
      <c r="D515" s="23">
        <f t="shared" ref="D515:D578" si="17">$C515/100</f>
        <v>87.379199999999983</v>
      </c>
    </row>
    <row r="516" spans="1:4">
      <c r="A516" s="22">
        <f t="shared" si="16"/>
        <v>567.13625034672077</v>
      </c>
      <c r="B516" s="22">
        <v>5671.3625034672077</v>
      </c>
      <c r="C516" s="23">
        <v>8612.4199999999983</v>
      </c>
      <c r="D516" s="23">
        <f t="shared" si="17"/>
        <v>86.124199999999988</v>
      </c>
    </row>
    <row r="517" spans="1:4">
      <c r="A517" s="22">
        <f t="shared" si="16"/>
        <v>568.23962826568334</v>
      </c>
      <c r="B517" s="22">
        <v>5682.3962826568331</v>
      </c>
      <c r="C517" s="23">
        <v>8486.9199999999983</v>
      </c>
      <c r="D517" s="23">
        <f t="shared" si="17"/>
        <v>84.869199999999978</v>
      </c>
    </row>
    <row r="518" spans="1:4">
      <c r="A518" s="22">
        <f t="shared" si="16"/>
        <v>569.34300618464579</v>
      </c>
      <c r="B518" s="22">
        <v>5693.4300618464576</v>
      </c>
      <c r="C518" s="23">
        <v>8361.4199999999983</v>
      </c>
      <c r="D518" s="23">
        <f t="shared" si="17"/>
        <v>83.614199999999983</v>
      </c>
    </row>
    <row r="519" spans="1:4">
      <c r="A519" s="22">
        <f t="shared" si="16"/>
        <v>570.44638410360824</v>
      </c>
      <c r="B519" s="22">
        <v>5704.4638410360822</v>
      </c>
      <c r="C519" s="23">
        <v>8235.9199999999983</v>
      </c>
      <c r="D519" s="23">
        <f t="shared" si="17"/>
        <v>82.359199999999987</v>
      </c>
    </row>
    <row r="520" spans="1:4">
      <c r="A520" s="22">
        <f t="shared" si="16"/>
        <v>571.5497620225708</v>
      </c>
      <c r="B520" s="22">
        <v>5715.4976202257076</v>
      </c>
      <c r="C520" s="23">
        <v>8110.4199999999983</v>
      </c>
      <c r="D520" s="23">
        <f t="shared" si="17"/>
        <v>81.104199999999977</v>
      </c>
    </row>
    <row r="521" spans="1:4">
      <c r="A521" s="22">
        <f t="shared" si="16"/>
        <v>572.65313994153325</v>
      </c>
      <c r="B521" s="22">
        <v>5726.5313994153321</v>
      </c>
      <c r="C521" s="23">
        <v>7984.9199999999983</v>
      </c>
      <c r="D521" s="23">
        <f t="shared" si="17"/>
        <v>79.849199999999982</v>
      </c>
    </row>
    <row r="522" spans="1:4">
      <c r="A522" s="22">
        <f t="shared" si="16"/>
        <v>573.75651786049571</v>
      </c>
      <c r="B522" s="22">
        <v>5737.5651786049575</v>
      </c>
      <c r="C522" s="23">
        <v>7859.4199999999983</v>
      </c>
      <c r="D522" s="23">
        <f t="shared" si="17"/>
        <v>78.594199999999987</v>
      </c>
    </row>
    <row r="523" spans="1:4">
      <c r="A523" s="22">
        <f t="shared" si="16"/>
        <v>574.85989577945816</v>
      </c>
      <c r="B523" s="22">
        <v>5748.598957794582</v>
      </c>
      <c r="C523" s="23">
        <v>7733.9199999999983</v>
      </c>
      <c r="D523" s="23">
        <f t="shared" si="17"/>
        <v>77.339199999999977</v>
      </c>
    </row>
    <row r="524" spans="1:4">
      <c r="A524" s="22">
        <f t="shared" si="16"/>
        <v>575.96327369842072</v>
      </c>
      <c r="B524" s="22">
        <v>5759.6327369842074</v>
      </c>
      <c r="C524" s="23">
        <v>7608.4199999999983</v>
      </c>
      <c r="D524" s="23">
        <f t="shared" si="17"/>
        <v>76.084199999999981</v>
      </c>
    </row>
    <row r="525" spans="1:4">
      <c r="A525" s="22">
        <f t="shared" si="16"/>
        <v>577.06665161738317</v>
      </c>
      <c r="B525" s="22">
        <v>5770.666516173832</v>
      </c>
      <c r="C525" s="23">
        <v>7482.9199999999983</v>
      </c>
      <c r="D525" s="23">
        <f t="shared" si="17"/>
        <v>74.829199999999986</v>
      </c>
    </row>
    <row r="526" spans="1:4">
      <c r="A526" s="22">
        <f t="shared" si="16"/>
        <v>578.17002953634574</v>
      </c>
      <c r="B526" s="22">
        <v>5781.7002953634574</v>
      </c>
      <c r="C526" s="23">
        <v>7357.4199999999983</v>
      </c>
      <c r="D526" s="23">
        <f t="shared" si="17"/>
        <v>73.574199999999976</v>
      </c>
    </row>
    <row r="527" spans="1:4">
      <c r="A527" s="22">
        <f t="shared" si="16"/>
        <v>579.27340745530819</v>
      </c>
      <c r="B527" s="22">
        <v>5792.7340745530819</v>
      </c>
      <c r="C527" s="23">
        <v>7231.9199999999983</v>
      </c>
      <c r="D527" s="23">
        <f t="shared" si="17"/>
        <v>72.319199999999981</v>
      </c>
    </row>
    <row r="528" spans="1:4">
      <c r="A528" s="22">
        <f t="shared" si="16"/>
        <v>580.37678537427064</v>
      </c>
      <c r="B528" s="22">
        <v>5803.7678537427064</v>
      </c>
      <c r="C528" s="23">
        <v>7106.4199999999983</v>
      </c>
      <c r="D528" s="23">
        <f t="shared" si="17"/>
        <v>71.064199999999985</v>
      </c>
    </row>
    <row r="529" spans="1:4">
      <c r="A529" s="22">
        <f t="shared" si="16"/>
        <v>581.4801632932332</v>
      </c>
      <c r="B529" s="22">
        <v>5814.8016329323318</v>
      </c>
      <c r="C529" s="23">
        <v>6980.9199999999983</v>
      </c>
      <c r="D529" s="23">
        <f t="shared" si="17"/>
        <v>69.809199999999976</v>
      </c>
    </row>
    <row r="530" spans="1:4">
      <c r="A530" s="22">
        <f t="shared" si="16"/>
        <v>582.58354121219566</v>
      </c>
      <c r="B530" s="22">
        <v>5825.8354121219563</v>
      </c>
      <c r="C530" s="23">
        <v>6855.4199999999983</v>
      </c>
      <c r="D530" s="23">
        <f t="shared" si="17"/>
        <v>68.55419999999998</v>
      </c>
    </row>
    <row r="531" spans="1:4">
      <c r="A531" s="22">
        <f t="shared" si="16"/>
        <v>583.68691913115822</v>
      </c>
      <c r="B531" s="22">
        <v>5836.8691913115817</v>
      </c>
      <c r="C531" s="23">
        <v>6729.9199999999983</v>
      </c>
      <c r="D531" s="23">
        <f t="shared" si="17"/>
        <v>67.299199999999985</v>
      </c>
    </row>
    <row r="532" spans="1:4">
      <c r="A532" s="22">
        <f t="shared" si="16"/>
        <v>584.79029705012067</v>
      </c>
      <c r="B532" s="22">
        <v>5847.9029705012063</v>
      </c>
      <c r="C532" s="23">
        <v>6604.4199999999983</v>
      </c>
      <c r="D532" s="23">
        <f t="shared" si="17"/>
        <v>66.044199999999989</v>
      </c>
    </row>
    <row r="533" spans="1:4">
      <c r="A533" s="22">
        <f t="shared" si="16"/>
        <v>585.89367496908312</v>
      </c>
      <c r="B533" s="22">
        <v>5858.9367496908317</v>
      </c>
      <c r="C533" s="23">
        <v>6478.9199999999983</v>
      </c>
      <c r="D533" s="23">
        <f t="shared" si="17"/>
        <v>64.78919999999998</v>
      </c>
    </row>
    <row r="534" spans="1:4">
      <c r="A534" s="22">
        <f t="shared" si="16"/>
        <v>586.99705288804557</v>
      </c>
      <c r="B534" s="22">
        <v>5869.9705288804562</v>
      </c>
      <c r="C534" s="23">
        <v>6353.4199999999983</v>
      </c>
      <c r="D534" s="23">
        <f t="shared" si="17"/>
        <v>63.534199999999984</v>
      </c>
    </row>
    <row r="535" spans="1:4">
      <c r="A535" s="22">
        <f t="shared" si="16"/>
        <v>588.10043080700814</v>
      </c>
      <c r="B535" s="22">
        <v>5881.0043080700816</v>
      </c>
      <c r="C535" s="23">
        <v>6227.9199999999983</v>
      </c>
      <c r="D535" s="23">
        <f t="shared" si="17"/>
        <v>62.279199999999982</v>
      </c>
    </row>
    <row r="536" spans="1:4">
      <c r="A536" s="22">
        <f t="shared" si="16"/>
        <v>589.20380872597059</v>
      </c>
      <c r="B536" s="22">
        <v>5892.0380872597061</v>
      </c>
      <c r="C536" s="23">
        <v>6102.4199999999983</v>
      </c>
      <c r="D536" s="23">
        <f t="shared" si="17"/>
        <v>61.024199999999979</v>
      </c>
    </row>
    <row r="537" spans="1:4">
      <c r="A537" s="22">
        <f t="shared" si="16"/>
        <v>590.30718664493304</v>
      </c>
      <c r="B537" s="22">
        <v>5903.0718664493306</v>
      </c>
      <c r="C537" s="23">
        <v>5976.9199999999983</v>
      </c>
      <c r="D537" s="23">
        <f t="shared" si="17"/>
        <v>59.769199999999984</v>
      </c>
    </row>
    <row r="538" spans="1:4">
      <c r="A538" s="22">
        <f t="shared" si="16"/>
        <v>591.4105645638956</v>
      </c>
      <c r="B538" s="22">
        <v>5914.105645638956</v>
      </c>
      <c r="C538" s="23">
        <v>5851.4199999999983</v>
      </c>
      <c r="D538" s="23">
        <f t="shared" si="17"/>
        <v>58.514199999999981</v>
      </c>
    </row>
    <row r="539" spans="1:4">
      <c r="A539" s="22">
        <f t="shared" si="16"/>
        <v>592.51394248285806</v>
      </c>
      <c r="B539" s="22">
        <v>5925.1394248285806</v>
      </c>
      <c r="C539" s="23">
        <v>5725.9199999999983</v>
      </c>
      <c r="D539" s="23">
        <f t="shared" si="17"/>
        <v>57.259199999999986</v>
      </c>
    </row>
    <row r="540" spans="1:4">
      <c r="A540" s="22">
        <f t="shared" si="16"/>
        <v>593.61732040182062</v>
      </c>
      <c r="B540" s="22">
        <v>5936.173204018206</v>
      </c>
      <c r="C540" s="23">
        <v>5600.4199999999983</v>
      </c>
      <c r="D540" s="23">
        <f t="shared" si="17"/>
        <v>56.004199999999983</v>
      </c>
    </row>
    <row r="541" spans="1:4">
      <c r="A541" s="22">
        <f t="shared" si="16"/>
        <v>594.72069832078307</v>
      </c>
      <c r="B541" s="22">
        <v>5947.2069832078305</v>
      </c>
      <c r="C541" s="23">
        <v>5474.9199999999983</v>
      </c>
      <c r="D541" s="23">
        <f t="shared" si="17"/>
        <v>54.749199999999981</v>
      </c>
    </row>
    <row r="542" spans="1:4">
      <c r="A542" s="22">
        <f t="shared" si="16"/>
        <v>595.82407623974564</v>
      </c>
      <c r="B542" s="22">
        <v>5958.2407623974559</v>
      </c>
      <c r="C542" s="23">
        <v>5349.4199999999983</v>
      </c>
      <c r="D542" s="23">
        <f t="shared" si="17"/>
        <v>53.494199999999985</v>
      </c>
    </row>
    <row r="543" spans="1:4">
      <c r="A543" s="22">
        <f t="shared" si="16"/>
        <v>596.92745415870809</v>
      </c>
      <c r="B543" s="22">
        <v>5969.2745415870804</v>
      </c>
      <c r="C543" s="23">
        <v>5223.9199999999983</v>
      </c>
      <c r="D543" s="23">
        <f t="shared" si="17"/>
        <v>52.239199999999983</v>
      </c>
    </row>
    <row r="544" spans="1:4">
      <c r="A544" s="22">
        <f t="shared" si="16"/>
        <v>598.03083207767054</v>
      </c>
      <c r="B544" s="22">
        <v>5980.3083207767058</v>
      </c>
      <c r="C544" s="23">
        <v>5098.4199999999983</v>
      </c>
      <c r="D544" s="23">
        <f t="shared" si="17"/>
        <v>50.98419999999998</v>
      </c>
    </row>
    <row r="545" spans="1:4">
      <c r="A545" s="22">
        <f t="shared" si="16"/>
        <v>599.13420999663299</v>
      </c>
      <c r="B545" s="22">
        <v>5991.3420999663304</v>
      </c>
      <c r="C545" s="23">
        <v>4972.9199999999983</v>
      </c>
      <c r="D545" s="23">
        <f t="shared" si="17"/>
        <v>49.729199999999985</v>
      </c>
    </row>
    <row r="546" spans="1:4">
      <c r="A546" s="22">
        <f t="shared" si="16"/>
        <v>600.23758791559555</v>
      </c>
      <c r="B546" s="22">
        <v>6002.3758791559558</v>
      </c>
      <c r="C546" s="23">
        <v>4847.4199999999983</v>
      </c>
      <c r="D546" s="23">
        <f t="shared" si="17"/>
        <v>48.474199999999982</v>
      </c>
    </row>
    <row r="547" spans="1:4">
      <c r="A547" s="22">
        <f t="shared" si="16"/>
        <v>601.34096583455801</v>
      </c>
      <c r="B547" s="22">
        <v>6013.4096583455803</v>
      </c>
      <c r="C547" s="23">
        <v>4721.9199999999983</v>
      </c>
      <c r="D547" s="23">
        <f t="shared" si="17"/>
        <v>47.219199999999979</v>
      </c>
    </row>
    <row r="548" spans="1:4">
      <c r="A548" s="22">
        <f t="shared" si="16"/>
        <v>602.44434375352046</v>
      </c>
      <c r="B548" s="22">
        <v>6024.4434375352048</v>
      </c>
      <c r="C548" s="23">
        <v>4596.4199999999983</v>
      </c>
      <c r="D548" s="23">
        <f t="shared" si="17"/>
        <v>45.964199999999984</v>
      </c>
    </row>
    <row r="549" spans="1:4">
      <c r="A549" s="22">
        <f t="shared" si="16"/>
        <v>603.54772167248302</v>
      </c>
      <c r="B549" s="22">
        <v>6035.4772167248302</v>
      </c>
      <c r="C549" s="23">
        <v>4470.9199999999983</v>
      </c>
      <c r="D549" s="23">
        <f t="shared" si="17"/>
        <v>44.709199999999981</v>
      </c>
    </row>
    <row r="550" spans="1:4">
      <c r="A550" s="22">
        <f t="shared" si="16"/>
        <v>604.65109959144547</v>
      </c>
      <c r="B550" s="22">
        <v>6046.5109959144547</v>
      </c>
      <c r="C550" s="23">
        <v>4345.4199999999983</v>
      </c>
      <c r="D550" s="23">
        <f t="shared" si="17"/>
        <v>43.454199999999986</v>
      </c>
    </row>
    <row r="551" spans="1:4">
      <c r="A551" s="22">
        <f t="shared" si="16"/>
        <v>605.75447751040804</v>
      </c>
      <c r="B551" s="22">
        <v>6057.5447751040801</v>
      </c>
      <c r="C551" s="23">
        <v>4219.9199999999983</v>
      </c>
      <c r="D551" s="23">
        <f t="shared" si="17"/>
        <v>42.199199999999983</v>
      </c>
    </row>
    <row r="552" spans="1:4">
      <c r="A552" s="22">
        <f t="shared" si="16"/>
        <v>606.85785542937049</v>
      </c>
      <c r="B552" s="22">
        <v>6068.5785542937047</v>
      </c>
      <c r="C552" s="23">
        <v>4094.4199999999983</v>
      </c>
      <c r="D552" s="23">
        <f t="shared" si="17"/>
        <v>40.944199999999981</v>
      </c>
    </row>
    <row r="553" spans="1:4">
      <c r="A553" s="22">
        <f t="shared" si="16"/>
        <v>607.96123334833305</v>
      </c>
      <c r="B553" s="22">
        <v>6079.6123334833301</v>
      </c>
      <c r="C553" s="23">
        <v>3968.9199999999983</v>
      </c>
      <c r="D553" s="23">
        <f t="shared" si="17"/>
        <v>39.689199999999985</v>
      </c>
    </row>
    <row r="554" spans="1:4">
      <c r="A554" s="22">
        <f t="shared" si="16"/>
        <v>609.0646112672955</v>
      </c>
      <c r="B554" s="22">
        <v>6090.6461126729546</v>
      </c>
      <c r="C554" s="23">
        <v>3843.4199999999983</v>
      </c>
      <c r="D554" s="23">
        <f t="shared" si="17"/>
        <v>38.434199999999983</v>
      </c>
    </row>
    <row r="555" spans="1:4">
      <c r="A555" s="22">
        <f t="shared" si="16"/>
        <v>610.16798918625796</v>
      </c>
      <c r="B555" s="22">
        <v>6101.67989186258</v>
      </c>
      <c r="C555" s="23">
        <v>3717.9199999999983</v>
      </c>
      <c r="D555" s="23">
        <f t="shared" si="17"/>
        <v>37.17919999999998</v>
      </c>
    </row>
    <row r="556" spans="1:4">
      <c r="A556" s="22">
        <f t="shared" si="16"/>
        <v>611.27136710522041</v>
      </c>
      <c r="B556" s="22">
        <v>6112.7136710522045</v>
      </c>
      <c r="C556" s="23">
        <v>3592.4199999999983</v>
      </c>
      <c r="D556" s="23">
        <f t="shared" si="17"/>
        <v>35.924199999999985</v>
      </c>
    </row>
    <row r="557" spans="1:4">
      <c r="A557" s="22">
        <f t="shared" si="16"/>
        <v>612.37474502418286</v>
      </c>
      <c r="B557" s="22">
        <v>6123.747450241829</v>
      </c>
      <c r="C557" s="23">
        <v>3466.9199999999983</v>
      </c>
      <c r="D557" s="23">
        <f t="shared" si="17"/>
        <v>34.669199999999982</v>
      </c>
    </row>
    <row r="558" spans="1:4">
      <c r="A558" s="22">
        <f t="shared" si="16"/>
        <v>613.47812294314542</v>
      </c>
      <c r="B558" s="22">
        <v>6134.7812294314544</v>
      </c>
      <c r="C558" s="23">
        <v>3341.4199999999983</v>
      </c>
      <c r="D558" s="23">
        <f t="shared" si="17"/>
        <v>33.41419999999998</v>
      </c>
    </row>
    <row r="559" spans="1:4">
      <c r="A559" s="22">
        <f t="shared" si="16"/>
        <v>614.58150086210787</v>
      </c>
      <c r="B559" s="22">
        <v>6145.815008621079</v>
      </c>
      <c r="C559" s="23">
        <v>3215.9199999999983</v>
      </c>
      <c r="D559" s="23">
        <f t="shared" si="17"/>
        <v>32.159199999999984</v>
      </c>
    </row>
    <row r="560" spans="1:4">
      <c r="A560" s="22">
        <f t="shared" si="16"/>
        <v>615.68487878107044</v>
      </c>
      <c r="B560" s="22">
        <v>6156.8487878107044</v>
      </c>
      <c r="C560" s="23">
        <v>3090.4199999999983</v>
      </c>
      <c r="D560" s="23">
        <f t="shared" si="17"/>
        <v>30.904199999999982</v>
      </c>
    </row>
    <row r="561" spans="1:4">
      <c r="A561" s="22">
        <f t="shared" si="16"/>
        <v>616.78825670003289</v>
      </c>
      <c r="B561" s="22">
        <v>6167.8825670003289</v>
      </c>
      <c r="C561" s="23">
        <v>2964.9199999999983</v>
      </c>
      <c r="D561" s="23">
        <f t="shared" si="17"/>
        <v>29.649199999999983</v>
      </c>
    </row>
    <row r="562" spans="1:4">
      <c r="A562" s="22">
        <f t="shared" si="16"/>
        <v>617.89163461899545</v>
      </c>
      <c r="B562" s="22">
        <v>6178.9163461899543</v>
      </c>
      <c r="C562" s="23">
        <v>2839.4199999999983</v>
      </c>
      <c r="D562" s="23">
        <f t="shared" si="17"/>
        <v>28.394199999999984</v>
      </c>
    </row>
    <row r="563" spans="1:4">
      <c r="A563" s="22">
        <f t="shared" si="16"/>
        <v>618.9950125379579</v>
      </c>
      <c r="B563" s="22">
        <v>6189.9501253795788</v>
      </c>
      <c r="C563" s="23">
        <v>2713.9199999999983</v>
      </c>
      <c r="D563" s="23">
        <f t="shared" si="17"/>
        <v>27.139199999999981</v>
      </c>
    </row>
    <row r="564" spans="1:4">
      <c r="A564" s="22">
        <f t="shared" si="16"/>
        <v>620.09839045692047</v>
      </c>
      <c r="B564" s="22">
        <v>6200.9839045692042</v>
      </c>
      <c r="C564" s="23">
        <v>2588.4199999999983</v>
      </c>
      <c r="D564" s="23">
        <f t="shared" si="17"/>
        <v>25.884199999999982</v>
      </c>
    </row>
    <row r="565" spans="1:4">
      <c r="A565" s="22">
        <f t="shared" si="16"/>
        <v>621.20176837588292</v>
      </c>
      <c r="B565" s="22">
        <v>6212.0176837588288</v>
      </c>
      <c r="C565" s="23">
        <v>2462.9199999999983</v>
      </c>
      <c r="D565" s="23">
        <f t="shared" si="17"/>
        <v>24.629199999999983</v>
      </c>
    </row>
    <row r="566" spans="1:4">
      <c r="A566" s="22">
        <f t="shared" si="16"/>
        <v>622.30514629484537</v>
      </c>
      <c r="B566" s="22">
        <v>6223.0514629484533</v>
      </c>
      <c r="C566" s="23">
        <v>2337.4199999999983</v>
      </c>
      <c r="D566" s="23">
        <f t="shared" si="17"/>
        <v>23.374199999999984</v>
      </c>
    </row>
    <row r="567" spans="1:4">
      <c r="A567" s="22">
        <f t="shared" si="16"/>
        <v>623.40852421380782</v>
      </c>
      <c r="B567" s="22">
        <v>6234.0852421380787</v>
      </c>
      <c r="C567" s="23">
        <v>2211.9199999999983</v>
      </c>
      <c r="D567" s="23">
        <f t="shared" si="17"/>
        <v>22.119199999999982</v>
      </c>
    </row>
    <row r="568" spans="1:4">
      <c r="A568" s="22">
        <f t="shared" si="16"/>
        <v>624.51190213277027</v>
      </c>
      <c r="B568" s="22">
        <v>6245.1190213277032</v>
      </c>
      <c r="C568" s="23">
        <v>2086.4199999999983</v>
      </c>
      <c r="D568" s="23">
        <f t="shared" si="17"/>
        <v>20.864199999999983</v>
      </c>
    </row>
    <row r="569" spans="1:4">
      <c r="A569" s="22">
        <f t="shared" si="16"/>
        <v>625.61528005173284</v>
      </c>
      <c r="B569" s="22">
        <v>6256.1528005173286</v>
      </c>
      <c r="C569" s="23">
        <v>1960.9199999999983</v>
      </c>
      <c r="D569" s="23">
        <f t="shared" si="17"/>
        <v>19.609199999999984</v>
      </c>
    </row>
    <row r="570" spans="1:4">
      <c r="A570" s="22">
        <f t="shared" si="16"/>
        <v>626.71865797069529</v>
      </c>
      <c r="B570" s="22">
        <v>6267.1865797069531</v>
      </c>
      <c r="C570" s="23">
        <v>1835.4199999999983</v>
      </c>
      <c r="D570" s="23">
        <f t="shared" si="17"/>
        <v>18.354199999999981</v>
      </c>
    </row>
    <row r="571" spans="1:4">
      <c r="A571" s="22">
        <f t="shared" si="16"/>
        <v>627.82203588965785</v>
      </c>
      <c r="B571" s="22">
        <v>6278.2203588965785</v>
      </c>
      <c r="C571" s="23">
        <v>1709.9199999999983</v>
      </c>
      <c r="D571" s="23">
        <f t="shared" si="17"/>
        <v>17.099199999999982</v>
      </c>
    </row>
    <row r="572" spans="1:4">
      <c r="A572" s="22">
        <f t="shared" si="16"/>
        <v>628.92541380862031</v>
      </c>
      <c r="B572" s="22">
        <v>6289.2541380862031</v>
      </c>
      <c r="C572" s="23">
        <v>1584.4199999999983</v>
      </c>
      <c r="D572" s="23">
        <f t="shared" si="17"/>
        <v>15.844199999999983</v>
      </c>
    </row>
    <row r="573" spans="1:4">
      <c r="A573" s="22">
        <f t="shared" si="16"/>
        <v>630.02879172758287</v>
      </c>
      <c r="B573" s="22">
        <v>6300.2879172758285</v>
      </c>
      <c r="C573" s="23">
        <v>1458.9199999999983</v>
      </c>
      <c r="D573" s="23">
        <f t="shared" si="17"/>
        <v>14.589199999999982</v>
      </c>
    </row>
    <row r="574" spans="1:4">
      <c r="A574" s="22">
        <f t="shared" si="16"/>
        <v>631.13216964654532</v>
      </c>
      <c r="B574" s="22">
        <v>6311.321696465453</v>
      </c>
      <c r="C574" s="23">
        <v>1333.4199999999983</v>
      </c>
      <c r="D574" s="23">
        <f t="shared" si="17"/>
        <v>13.334199999999983</v>
      </c>
    </row>
    <row r="575" spans="1:4">
      <c r="A575" s="22">
        <f t="shared" si="16"/>
        <v>632.23554756550777</v>
      </c>
      <c r="B575" s="22">
        <v>6322.3554756550775</v>
      </c>
      <c r="C575" s="23">
        <v>1207.9199999999983</v>
      </c>
      <c r="D575" s="23">
        <f t="shared" si="17"/>
        <v>12.079199999999982</v>
      </c>
    </row>
    <row r="576" spans="1:4">
      <c r="A576" s="22">
        <f t="shared" si="16"/>
        <v>633.33892548447034</v>
      </c>
      <c r="B576" s="22">
        <v>6333.3892548447029</v>
      </c>
      <c r="C576" s="23">
        <v>1082.4199999999983</v>
      </c>
      <c r="D576" s="23">
        <f t="shared" si="17"/>
        <v>10.824199999999983</v>
      </c>
    </row>
    <row r="577" spans="1:4">
      <c r="A577" s="22">
        <f t="shared" si="16"/>
        <v>634.44230340343279</v>
      </c>
      <c r="B577" s="22">
        <v>6344.4230340343274</v>
      </c>
      <c r="C577" s="23">
        <v>956.91999999999825</v>
      </c>
      <c r="D577" s="23">
        <f t="shared" si="17"/>
        <v>9.5691999999999826</v>
      </c>
    </row>
    <row r="578" spans="1:4">
      <c r="A578" s="22">
        <f t="shared" si="16"/>
        <v>635.54568132239524</v>
      </c>
      <c r="B578" s="22">
        <v>6355.4568132239528</v>
      </c>
      <c r="C578" s="23">
        <v>831.41999999999825</v>
      </c>
      <c r="D578" s="23">
        <f t="shared" si="17"/>
        <v>8.3141999999999818</v>
      </c>
    </row>
    <row r="579" spans="1:4">
      <c r="A579" s="22">
        <f t="shared" ref="A579:A584" si="18">$B579/10</f>
        <v>636.64905924135769</v>
      </c>
      <c r="B579" s="22">
        <v>6366.4905924135774</v>
      </c>
      <c r="C579" s="23">
        <v>703.5</v>
      </c>
      <c r="D579" s="23">
        <f>$C579/100</f>
        <v>7.0350000000000001</v>
      </c>
    </row>
    <row r="580" spans="1:4">
      <c r="A580" s="22">
        <f t="shared" si="18"/>
        <v>637.75243716032026</v>
      </c>
      <c r="B580" s="22">
        <v>6377.5243716032028</v>
      </c>
      <c r="C580" s="23">
        <v>582.38</v>
      </c>
      <c r="D580" s="23">
        <f>$C580/100</f>
        <v>5.8238000000000003</v>
      </c>
    </row>
    <row r="581" spans="1:4">
      <c r="A581" s="22">
        <f t="shared" si="18"/>
        <v>638.85581507928271</v>
      </c>
      <c r="B581" s="22">
        <v>6388.5581507928273</v>
      </c>
      <c r="C581" s="23">
        <v>469.66</v>
      </c>
      <c r="D581" s="23">
        <f>$C581/100</f>
        <v>4.6966000000000001</v>
      </c>
    </row>
    <row r="582" spans="1:4">
      <c r="A582" s="22">
        <f t="shared" si="18"/>
        <v>639.95919299824527</v>
      </c>
      <c r="B582" s="22">
        <v>6399.5919299824527</v>
      </c>
      <c r="C582" s="23">
        <v>367.54</v>
      </c>
      <c r="D582" s="23">
        <f t="shared" ref="D582:D584" si="19">$C582/100</f>
        <v>3.6754000000000002</v>
      </c>
    </row>
    <row r="583" spans="1:4">
      <c r="A583" s="22">
        <f t="shared" si="18"/>
        <v>641.06257091720772</v>
      </c>
      <c r="B583" s="22">
        <v>6410.6257091720772</v>
      </c>
      <c r="C583" s="23">
        <v>277.37</v>
      </c>
      <c r="D583" s="23">
        <f t="shared" si="19"/>
        <v>2.7736999999999998</v>
      </c>
    </row>
    <row r="584" spans="1:4">
      <c r="A584" s="22">
        <f t="shared" si="18"/>
        <v>642.16594883617029</v>
      </c>
      <c r="B584" s="22">
        <v>6421.6594883617026</v>
      </c>
      <c r="C584" s="23">
        <v>200</v>
      </c>
      <c r="D584" s="23">
        <f t="shared" si="19"/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8"/>
  <dimension ref="A1:G544"/>
  <sheetViews>
    <sheetView workbookViewId="0">
      <selection activeCell="D2" sqref="D2"/>
    </sheetView>
  </sheetViews>
  <sheetFormatPr baseColWidth="10" defaultColWidth="10.3984375" defaultRowHeight="14.25"/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>
        <f>$B2/10</f>
        <v>0</v>
      </c>
      <c r="B2">
        <v>0</v>
      </c>
      <c r="C2">
        <v>3488</v>
      </c>
      <c r="D2">
        <f>$C2/100</f>
        <v>34.880000000000003</v>
      </c>
    </row>
    <row r="3" spans="1:4">
      <c r="A3">
        <f t="shared" ref="A3:A66" si="0">$B3/10</f>
        <v>1</v>
      </c>
      <c r="B3">
        <v>10</v>
      </c>
      <c r="C3">
        <v>3613</v>
      </c>
      <c r="D3">
        <f t="shared" ref="D3:D66" si="1">$C3/100</f>
        <v>36.130000000000003</v>
      </c>
    </row>
    <row r="4" spans="1:4">
      <c r="A4">
        <f t="shared" si="0"/>
        <v>2</v>
      </c>
      <c r="B4">
        <v>20</v>
      </c>
      <c r="C4">
        <v>3739</v>
      </c>
      <c r="D4">
        <f t="shared" si="1"/>
        <v>37.39</v>
      </c>
    </row>
    <row r="5" spans="1:4">
      <c r="A5">
        <f t="shared" si="0"/>
        <v>3</v>
      </c>
      <c r="B5">
        <v>30</v>
      </c>
      <c r="C5">
        <v>3864</v>
      </c>
      <c r="D5">
        <f t="shared" si="1"/>
        <v>38.64</v>
      </c>
    </row>
    <row r="6" spans="1:4">
      <c r="A6">
        <f t="shared" si="0"/>
        <v>4</v>
      </c>
      <c r="B6">
        <v>40</v>
      </c>
      <c r="C6">
        <v>3990</v>
      </c>
      <c r="D6">
        <f t="shared" si="1"/>
        <v>39.9</v>
      </c>
    </row>
    <row r="7" spans="1:4">
      <c r="A7">
        <f t="shared" si="0"/>
        <v>5</v>
      </c>
      <c r="B7">
        <v>50</v>
      </c>
      <c r="C7">
        <v>4115</v>
      </c>
      <c r="D7">
        <f t="shared" si="1"/>
        <v>41.15</v>
      </c>
    </row>
    <row r="8" spans="1:4">
      <c r="A8">
        <f t="shared" si="0"/>
        <v>6</v>
      </c>
      <c r="B8">
        <v>60</v>
      </c>
      <c r="C8">
        <v>4241</v>
      </c>
      <c r="D8">
        <f t="shared" si="1"/>
        <v>42.41</v>
      </c>
    </row>
    <row r="9" spans="1:4">
      <c r="A9">
        <f t="shared" si="0"/>
        <v>7</v>
      </c>
      <c r="B9">
        <v>70</v>
      </c>
      <c r="C9">
        <v>4366</v>
      </c>
      <c r="D9">
        <f t="shared" si="1"/>
        <v>43.66</v>
      </c>
    </row>
    <row r="10" spans="1:4">
      <c r="A10">
        <f t="shared" si="0"/>
        <v>8</v>
      </c>
      <c r="B10">
        <v>80</v>
      </c>
      <c r="C10">
        <v>4492</v>
      </c>
      <c r="D10">
        <f t="shared" si="1"/>
        <v>44.92</v>
      </c>
    </row>
    <row r="11" spans="1:4">
      <c r="A11">
        <f t="shared" si="0"/>
        <v>9</v>
      </c>
      <c r="B11">
        <v>90</v>
      </c>
      <c r="C11">
        <v>4617</v>
      </c>
      <c r="D11">
        <f t="shared" si="1"/>
        <v>46.17</v>
      </c>
    </row>
    <row r="12" spans="1:4">
      <c r="A12">
        <f t="shared" si="0"/>
        <v>10</v>
      </c>
      <c r="B12">
        <v>100</v>
      </c>
      <c r="C12">
        <v>4743</v>
      </c>
      <c r="D12">
        <f t="shared" si="1"/>
        <v>47.43</v>
      </c>
    </row>
    <row r="13" spans="1:4">
      <c r="A13">
        <f t="shared" si="0"/>
        <v>11</v>
      </c>
      <c r="B13">
        <v>110</v>
      </c>
      <c r="C13">
        <v>4868</v>
      </c>
      <c r="D13">
        <f t="shared" si="1"/>
        <v>48.68</v>
      </c>
    </row>
    <row r="14" spans="1:4">
      <c r="A14">
        <f t="shared" si="0"/>
        <v>12</v>
      </c>
      <c r="B14">
        <v>120</v>
      </c>
      <c r="C14">
        <v>4994</v>
      </c>
      <c r="D14">
        <f t="shared" si="1"/>
        <v>49.94</v>
      </c>
    </row>
    <row r="15" spans="1:4">
      <c r="A15">
        <f t="shared" si="0"/>
        <v>13</v>
      </c>
      <c r="B15">
        <v>130</v>
      </c>
      <c r="C15">
        <v>5119</v>
      </c>
      <c r="D15">
        <f t="shared" si="1"/>
        <v>51.19</v>
      </c>
    </row>
    <row r="16" spans="1:4">
      <c r="A16">
        <f t="shared" si="0"/>
        <v>14</v>
      </c>
      <c r="B16">
        <v>140</v>
      </c>
      <c r="C16">
        <v>5245</v>
      </c>
      <c r="D16">
        <f t="shared" si="1"/>
        <v>52.45</v>
      </c>
    </row>
    <row r="17" spans="1:4">
      <c r="A17">
        <f t="shared" si="0"/>
        <v>15</v>
      </c>
      <c r="B17">
        <v>150</v>
      </c>
      <c r="C17">
        <v>5370</v>
      </c>
      <c r="D17">
        <f t="shared" si="1"/>
        <v>53.7</v>
      </c>
    </row>
    <row r="18" spans="1:4">
      <c r="A18">
        <f t="shared" si="0"/>
        <v>16</v>
      </c>
      <c r="B18">
        <v>160</v>
      </c>
      <c r="C18">
        <v>5496</v>
      </c>
      <c r="D18">
        <f t="shared" si="1"/>
        <v>54.96</v>
      </c>
    </row>
    <row r="19" spans="1:4">
      <c r="A19">
        <f t="shared" si="0"/>
        <v>17</v>
      </c>
      <c r="B19">
        <v>170</v>
      </c>
      <c r="C19">
        <v>5622</v>
      </c>
      <c r="D19">
        <f t="shared" si="1"/>
        <v>56.22</v>
      </c>
    </row>
    <row r="20" spans="1:4">
      <c r="A20">
        <f t="shared" si="0"/>
        <v>18</v>
      </c>
      <c r="B20">
        <v>180</v>
      </c>
      <c r="C20">
        <v>5747</v>
      </c>
      <c r="D20">
        <f t="shared" si="1"/>
        <v>57.47</v>
      </c>
    </row>
    <row r="21" spans="1:4">
      <c r="A21">
        <f t="shared" si="0"/>
        <v>19</v>
      </c>
      <c r="B21">
        <v>190</v>
      </c>
      <c r="C21">
        <v>5873</v>
      </c>
      <c r="D21">
        <f t="shared" si="1"/>
        <v>58.73</v>
      </c>
    </row>
    <row r="22" spans="1:4">
      <c r="A22">
        <f t="shared" si="0"/>
        <v>20</v>
      </c>
      <c r="B22">
        <v>200</v>
      </c>
      <c r="C22">
        <v>5998</v>
      </c>
      <c r="D22">
        <f t="shared" si="1"/>
        <v>59.98</v>
      </c>
    </row>
    <row r="23" spans="1:4">
      <c r="A23">
        <f t="shared" si="0"/>
        <v>21</v>
      </c>
      <c r="B23">
        <v>210</v>
      </c>
      <c r="C23">
        <v>6124</v>
      </c>
      <c r="D23">
        <f t="shared" si="1"/>
        <v>61.24</v>
      </c>
    </row>
    <row r="24" spans="1:4">
      <c r="A24">
        <f t="shared" si="0"/>
        <v>22</v>
      </c>
      <c r="B24">
        <v>220</v>
      </c>
      <c r="C24">
        <v>6249</v>
      </c>
      <c r="D24">
        <f t="shared" si="1"/>
        <v>62.49</v>
      </c>
    </row>
    <row r="25" spans="1:4">
      <c r="A25">
        <f t="shared" si="0"/>
        <v>23</v>
      </c>
      <c r="B25">
        <v>230</v>
      </c>
      <c r="C25">
        <v>6375</v>
      </c>
      <c r="D25">
        <f t="shared" si="1"/>
        <v>63.75</v>
      </c>
    </row>
    <row r="26" spans="1:4">
      <c r="A26">
        <f t="shared" si="0"/>
        <v>24</v>
      </c>
      <c r="B26">
        <v>240</v>
      </c>
      <c r="C26">
        <v>6500</v>
      </c>
      <c r="D26">
        <f t="shared" si="1"/>
        <v>65</v>
      </c>
    </row>
    <row r="27" spans="1:4">
      <c r="A27">
        <f t="shared" si="0"/>
        <v>25</v>
      </c>
      <c r="B27">
        <v>250</v>
      </c>
      <c r="C27">
        <v>6626</v>
      </c>
      <c r="D27">
        <f t="shared" si="1"/>
        <v>66.260000000000005</v>
      </c>
    </row>
    <row r="28" spans="1:4">
      <c r="A28">
        <f t="shared" si="0"/>
        <v>26</v>
      </c>
      <c r="B28">
        <v>260</v>
      </c>
      <c r="C28">
        <v>6751</v>
      </c>
      <c r="D28">
        <f t="shared" si="1"/>
        <v>67.510000000000005</v>
      </c>
    </row>
    <row r="29" spans="1:4">
      <c r="A29">
        <f t="shared" si="0"/>
        <v>27</v>
      </c>
      <c r="B29">
        <v>270</v>
      </c>
      <c r="C29">
        <v>6877</v>
      </c>
      <c r="D29">
        <f t="shared" si="1"/>
        <v>68.77</v>
      </c>
    </row>
    <row r="30" spans="1:4">
      <c r="A30">
        <f t="shared" si="0"/>
        <v>28</v>
      </c>
      <c r="B30">
        <v>280</v>
      </c>
      <c r="C30">
        <v>7002</v>
      </c>
      <c r="D30">
        <f t="shared" si="1"/>
        <v>70.02</v>
      </c>
    </row>
    <row r="31" spans="1:4">
      <c r="A31">
        <f t="shared" si="0"/>
        <v>29</v>
      </c>
      <c r="B31">
        <v>290</v>
      </c>
      <c r="C31">
        <v>7128</v>
      </c>
      <c r="D31">
        <f t="shared" si="1"/>
        <v>71.28</v>
      </c>
    </row>
    <row r="32" spans="1:4">
      <c r="A32">
        <f t="shared" si="0"/>
        <v>30</v>
      </c>
      <c r="B32">
        <v>300</v>
      </c>
      <c r="C32">
        <v>7253</v>
      </c>
      <c r="D32">
        <f t="shared" si="1"/>
        <v>72.53</v>
      </c>
    </row>
    <row r="33" spans="1:4">
      <c r="A33">
        <f t="shared" si="0"/>
        <v>31</v>
      </c>
      <c r="B33">
        <v>310</v>
      </c>
      <c r="C33">
        <v>7379</v>
      </c>
      <c r="D33">
        <f t="shared" si="1"/>
        <v>73.790000000000006</v>
      </c>
    </row>
    <row r="34" spans="1:4">
      <c r="A34">
        <f t="shared" si="0"/>
        <v>32</v>
      </c>
      <c r="B34">
        <v>320</v>
      </c>
      <c r="C34">
        <v>7504</v>
      </c>
      <c r="D34">
        <f t="shared" si="1"/>
        <v>75.040000000000006</v>
      </c>
    </row>
    <row r="35" spans="1:4">
      <c r="A35">
        <f t="shared" si="0"/>
        <v>33</v>
      </c>
      <c r="B35">
        <v>330</v>
      </c>
      <c r="C35">
        <v>7630</v>
      </c>
      <c r="D35">
        <f t="shared" si="1"/>
        <v>76.3</v>
      </c>
    </row>
    <row r="36" spans="1:4">
      <c r="A36">
        <f t="shared" si="0"/>
        <v>34</v>
      </c>
      <c r="B36">
        <v>340</v>
      </c>
      <c r="C36">
        <v>7755</v>
      </c>
      <c r="D36">
        <f t="shared" si="1"/>
        <v>77.55</v>
      </c>
    </row>
    <row r="37" spans="1:4">
      <c r="A37">
        <f t="shared" si="0"/>
        <v>35</v>
      </c>
      <c r="B37">
        <v>350</v>
      </c>
      <c r="C37">
        <v>7881</v>
      </c>
      <c r="D37">
        <f t="shared" si="1"/>
        <v>78.81</v>
      </c>
    </row>
    <row r="38" spans="1:4">
      <c r="A38">
        <f t="shared" si="0"/>
        <v>36</v>
      </c>
      <c r="B38">
        <v>360</v>
      </c>
      <c r="C38">
        <v>8006</v>
      </c>
      <c r="D38">
        <f t="shared" si="1"/>
        <v>80.06</v>
      </c>
    </row>
    <row r="39" spans="1:4">
      <c r="A39">
        <f t="shared" si="0"/>
        <v>37</v>
      </c>
      <c r="B39">
        <v>370</v>
      </c>
      <c r="C39">
        <v>8132</v>
      </c>
      <c r="D39">
        <f t="shared" si="1"/>
        <v>81.319999999999993</v>
      </c>
    </row>
    <row r="40" spans="1:4">
      <c r="A40">
        <f t="shared" si="0"/>
        <v>38</v>
      </c>
      <c r="B40">
        <v>380</v>
      </c>
      <c r="C40">
        <v>8257</v>
      </c>
      <c r="D40">
        <f t="shared" si="1"/>
        <v>82.57</v>
      </c>
    </row>
    <row r="41" spans="1:4">
      <c r="A41">
        <f t="shared" si="0"/>
        <v>39</v>
      </c>
      <c r="B41">
        <v>390</v>
      </c>
      <c r="C41">
        <v>8383</v>
      </c>
      <c r="D41">
        <f t="shared" si="1"/>
        <v>83.83</v>
      </c>
    </row>
    <row r="42" spans="1:4">
      <c r="A42">
        <f t="shared" si="0"/>
        <v>40</v>
      </c>
      <c r="B42">
        <v>400</v>
      </c>
      <c r="C42">
        <v>8508</v>
      </c>
      <c r="D42">
        <f t="shared" si="1"/>
        <v>85.08</v>
      </c>
    </row>
    <row r="43" spans="1:4">
      <c r="A43">
        <f t="shared" si="0"/>
        <v>41</v>
      </c>
      <c r="B43">
        <v>410</v>
      </c>
      <c r="C43">
        <v>8634</v>
      </c>
      <c r="D43">
        <f t="shared" si="1"/>
        <v>86.34</v>
      </c>
    </row>
    <row r="44" spans="1:4">
      <c r="A44">
        <f t="shared" si="0"/>
        <v>42</v>
      </c>
      <c r="B44">
        <v>420</v>
      </c>
      <c r="C44">
        <v>8759</v>
      </c>
      <c r="D44">
        <f t="shared" si="1"/>
        <v>87.59</v>
      </c>
    </row>
    <row r="45" spans="1:4">
      <c r="A45">
        <f t="shared" si="0"/>
        <v>43</v>
      </c>
      <c r="B45">
        <v>430</v>
      </c>
      <c r="C45">
        <v>8885</v>
      </c>
      <c r="D45">
        <f t="shared" si="1"/>
        <v>88.85</v>
      </c>
    </row>
    <row r="46" spans="1:4">
      <c r="A46">
        <f t="shared" si="0"/>
        <v>44</v>
      </c>
      <c r="B46">
        <v>440</v>
      </c>
      <c r="C46">
        <v>9010</v>
      </c>
      <c r="D46">
        <f t="shared" si="1"/>
        <v>90.1</v>
      </c>
    </row>
    <row r="47" spans="1:4">
      <c r="A47">
        <f t="shared" si="0"/>
        <v>45</v>
      </c>
      <c r="B47">
        <v>450</v>
      </c>
      <c r="C47">
        <v>9136</v>
      </c>
      <c r="D47">
        <f t="shared" si="1"/>
        <v>91.36</v>
      </c>
    </row>
    <row r="48" spans="1:4">
      <c r="A48">
        <f t="shared" si="0"/>
        <v>46</v>
      </c>
      <c r="B48">
        <v>460</v>
      </c>
      <c r="C48">
        <v>9261</v>
      </c>
      <c r="D48">
        <f t="shared" si="1"/>
        <v>92.61</v>
      </c>
    </row>
    <row r="49" spans="1:4">
      <c r="A49">
        <f t="shared" si="0"/>
        <v>47</v>
      </c>
      <c r="B49">
        <v>470</v>
      </c>
      <c r="C49">
        <v>9387</v>
      </c>
      <c r="D49">
        <f t="shared" si="1"/>
        <v>93.87</v>
      </c>
    </row>
    <row r="50" spans="1:4">
      <c r="A50">
        <f t="shared" si="0"/>
        <v>48</v>
      </c>
      <c r="B50">
        <v>480</v>
      </c>
      <c r="C50">
        <v>9512</v>
      </c>
      <c r="D50">
        <f t="shared" si="1"/>
        <v>95.12</v>
      </c>
    </row>
    <row r="51" spans="1:4">
      <c r="A51">
        <f t="shared" si="0"/>
        <v>49</v>
      </c>
      <c r="B51">
        <v>490</v>
      </c>
      <c r="C51">
        <v>9638</v>
      </c>
      <c r="D51">
        <f t="shared" si="1"/>
        <v>96.38</v>
      </c>
    </row>
    <row r="52" spans="1:4">
      <c r="A52">
        <f t="shared" si="0"/>
        <v>50</v>
      </c>
      <c r="B52">
        <v>500</v>
      </c>
      <c r="C52">
        <v>9763</v>
      </c>
      <c r="D52">
        <f t="shared" si="1"/>
        <v>97.63</v>
      </c>
    </row>
    <row r="53" spans="1:4">
      <c r="A53">
        <f t="shared" si="0"/>
        <v>51</v>
      </c>
      <c r="B53">
        <v>510</v>
      </c>
      <c r="C53">
        <v>9889</v>
      </c>
      <c r="D53">
        <f t="shared" si="1"/>
        <v>98.89</v>
      </c>
    </row>
    <row r="54" spans="1:4">
      <c r="A54">
        <f t="shared" si="0"/>
        <v>52</v>
      </c>
      <c r="B54">
        <v>520</v>
      </c>
      <c r="C54">
        <v>10014</v>
      </c>
      <c r="D54">
        <f t="shared" si="1"/>
        <v>100.14</v>
      </c>
    </row>
    <row r="55" spans="1:4">
      <c r="A55">
        <f t="shared" si="0"/>
        <v>53</v>
      </c>
      <c r="B55">
        <v>530</v>
      </c>
      <c r="C55">
        <v>10140</v>
      </c>
      <c r="D55">
        <f t="shared" si="1"/>
        <v>101.4</v>
      </c>
    </row>
    <row r="56" spans="1:4">
      <c r="A56">
        <f t="shared" si="0"/>
        <v>54</v>
      </c>
      <c r="B56">
        <v>540</v>
      </c>
      <c r="C56">
        <v>10265</v>
      </c>
      <c r="D56">
        <f t="shared" si="1"/>
        <v>102.65</v>
      </c>
    </row>
    <row r="57" spans="1:4">
      <c r="A57">
        <f t="shared" si="0"/>
        <v>55</v>
      </c>
      <c r="B57">
        <v>550</v>
      </c>
      <c r="C57">
        <v>10391</v>
      </c>
      <c r="D57">
        <f t="shared" si="1"/>
        <v>103.91</v>
      </c>
    </row>
    <row r="58" spans="1:4">
      <c r="A58">
        <f t="shared" si="0"/>
        <v>56</v>
      </c>
      <c r="B58">
        <v>560</v>
      </c>
      <c r="C58">
        <v>10516</v>
      </c>
      <c r="D58">
        <f t="shared" si="1"/>
        <v>105.16</v>
      </c>
    </row>
    <row r="59" spans="1:4">
      <c r="A59">
        <f t="shared" si="0"/>
        <v>57</v>
      </c>
      <c r="B59">
        <v>570</v>
      </c>
      <c r="C59">
        <v>10642</v>
      </c>
      <c r="D59">
        <f t="shared" si="1"/>
        <v>106.42</v>
      </c>
    </row>
    <row r="60" spans="1:4">
      <c r="A60">
        <f t="shared" si="0"/>
        <v>58</v>
      </c>
      <c r="B60">
        <v>580</v>
      </c>
      <c r="C60">
        <v>10767</v>
      </c>
      <c r="D60">
        <f t="shared" si="1"/>
        <v>107.67</v>
      </c>
    </row>
    <row r="61" spans="1:4">
      <c r="A61">
        <f t="shared" si="0"/>
        <v>59</v>
      </c>
      <c r="B61">
        <v>590</v>
      </c>
      <c r="C61">
        <v>10893</v>
      </c>
      <c r="D61">
        <f t="shared" si="1"/>
        <v>108.93</v>
      </c>
    </row>
    <row r="62" spans="1:4">
      <c r="A62">
        <f t="shared" si="0"/>
        <v>60</v>
      </c>
      <c r="B62">
        <v>600</v>
      </c>
      <c r="C62">
        <v>11018</v>
      </c>
      <c r="D62">
        <f t="shared" si="1"/>
        <v>110.18</v>
      </c>
    </row>
    <row r="63" spans="1:4">
      <c r="A63">
        <f t="shared" si="0"/>
        <v>61</v>
      </c>
      <c r="B63">
        <v>610</v>
      </c>
      <c r="C63">
        <v>11144</v>
      </c>
      <c r="D63">
        <f t="shared" si="1"/>
        <v>111.44</v>
      </c>
    </row>
    <row r="64" spans="1:4">
      <c r="A64">
        <f t="shared" si="0"/>
        <v>62</v>
      </c>
      <c r="B64">
        <v>620</v>
      </c>
      <c r="C64">
        <v>11269</v>
      </c>
      <c r="D64">
        <f t="shared" si="1"/>
        <v>112.69</v>
      </c>
    </row>
    <row r="65" spans="1:4">
      <c r="A65">
        <f t="shared" si="0"/>
        <v>63</v>
      </c>
      <c r="B65">
        <v>630</v>
      </c>
      <c r="C65">
        <v>11395</v>
      </c>
      <c r="D65">
        <f t="shared" si="1"/>
        <v>113.95</v>
      </c>
    </row>
    <row r="66" spans="1:4">
      <c r="A66">
        <f t="shared" si="0"/>
        <v>64</v>
      </c>
      <c r="B66">
        <v>640</v>
      </c>
      <c r="C66">
        <v>11520</v>
      </c>
      <c r="D66">
        <f t="shared" si="1"/>
        <v>115.2</v>
      </c>
    </row>
    <row r="67" spans="1:4">
      <c r="A67">
        <f t="shared" ref="A67:A130" si="2">$B67/10</f>
        <v>65</v>
      </c>
      <c r="B67">
        <v>650</v>
      </c>
      <c r="C67">
        <v>11646</v>
      </c>
      <c r="D67">
        <f t="shared" ref="D67:D130" si="3">$C67/100</f>
        <v>116.46</v>
      </c>
    </row>
    <row r="68" spans="1:4">
      <c r="A68">
        <f t="shared" si="2"/>
        <v>66</v>
      </c>
      <c r="B68">
        <v>660</v>
      </c>
      <c r="C68">
        <v>11771</v>
      </c>
      <c r="D68">
        <f t="shared" si="3"/>
        <v>117.71</v>
      </c>
    </row>
    <row r="69" spans="1:4">
      <c r="A69">
        <f t="shared" si="2"/>
        <v>67</v>
      </c>
      <c r="B69">
        <v>670</v>
      </c>
      <c r="C69">
        <v>11897</v>
      </c>
      <c r="D69">
        <f t="shared" si="3"/>
        <v>118.97</v>
      </c>
    </row>
    <row r="70" spans="1:4">
      <c r="A70">
        <f t="shared" si="2"/>
        <v>68</v>
      </c>
      <c r="B70">
        <v>680</v>
      </c>
      <c r="C70">
        <v>12023</v>
      </c>
      <c r="D70">
        <f t="shared" si="3"/>
        <v>120.23</v>
      </c>
    </row>
    <row r="71" spans="1:4">
      <c r="A71">
        <f t="shared" si="2"/>
        <v>69</v>
      </c>
      <c r="B71">
        <v>690</v>
      </c>
      <c r="C71">
        <v>12148</v>
      </c>
      <c r="D71">
        <f t="shared" si="3"/>
        <v>121.48</v>
      </c>
    </row>
    <row r="72" spans="1:4">
      <c r="A72">
        <f t="shared" si="2"/>
        <v>70</v>
      </c>
      <c r="B72">
        <v>700</v>
      </c>
      <c r="C72">
        <v>12274</v>
      </c>
      <c r="D72">
        <f t="shared" si="3"/>
        <v>122.74</v>
      </c>
    </row>
    <row r="73" spans="1:4">
      <c r="A73">
        <f t="shared" si="2"/>
        <v>71</v>
      </c>
      <c r="B73">
        <v>710</v>
      </c>
      <c r="C73">
        <v>12399</v>
      </c>
      <c r="D73">
        <f t="shared" si="3"/>
        <v>123.99</v>
      </c>
    </row>
    <row r="74" spans="1:4">
      <c r="A74">
        <f t="shared" si="2"/>
        <v>72</v>
      </c>
      <c r="B74">
        <v>720</v>
      </c>
      <c r="C74">
        <v>12525</v>
      </c>
      <c r="D74">
        <f t="shared" si="3"/>
        <v>125.25</v>
      </c>
    </row>
    <row r="75" spans="1:4">
      <c r="A75">
        <f t="shared" si="2"/>
        <v>73</v>
      </c>
      <c r="B75">
        <v>730</v>
      </c>
      <c r="C75">
        <v>12650</v>
      </c>
      <c r="D75">
        <f t="shared" si="3"/>
        <v>126.5</v>
      </c>
    </row>
    <row r="76" spans="1:4">
      <c r="A76">
        <f t="shared" si="2"/>
        <v>74</v>
      </c>
      <c r="B76">
        <v>740</v>
      </c>
      <c r="C76">
        <v>12776</v>
      </c>
      <c r="D76">
        <f t="shared" si="3"/>
        <v>127.76</v>
      </c>
    </row>
    <row r="77" spans="1:4">
      <c r="A77">
        <f t="shared" si="2"/>
        <v>75</v>
      </c>
      <c r="B77">
        <v>750</v>
      </c>
      <c r="C77">
        <v>12901</v>
      </c>
      <c r="D77">
        <f t="shared" si="3"/>
        <v>129.01</v>
      </c>
    </row>
    <row r="78" spans="1:4">
      <c r="A78">
        <f t="shared" si="2"/>
        <v>76</v>
      </c>
      <c r="B78">
        <v>760</v>
      </c>
      <c r="C78">
        <v>13027</v>
      </c>
      <c r="D78">
        <f t="shared" si="3"/>
        <v>130.27000000000001</v>
      </c>
    </row>
    <row r="79" spans="1:4">
      <c r="A79">
        <f t="shared" si="2"/>
        <v>77</v>
      </c>
      <c r="B79">
        <v>770</v>
      </c>
      <c r="C79">
        <v>13152</v>
      </c>
      <c r="D79">
        <f t="shared" si="3"/>
        <v>131.52000000000001</v>
      </c>
    </row>
    <row r="80" spans="1:4">
      <c r="A80">
        <f t="shared" si="2"/>
        <v>78</v>
      </c>
      <c r="B80">
        <v>780</v>
      </c>
      <c r="C80">
        <v>13278</v>
      </c>
      <c r="D80">
        <f t="shared" si="3"/>
        <v>132.78</v>
      </c>
    </row>
    <row r="81" spans="1:4">
      <c r="A81">
        <f t="shared" si="2"/>
        <v>79</v>
      </c>
      <c r="B81">
        <v>790</v>
      </c>
      <c r="C81">
        <v>13403</v>
      </c>
      <c r="D81">
        <f t="shared" si="3"/>
        <v>134.03</v>
      </c>
    </row>
    <row r="82" spans="1:4">
      <c r="A82">
        <f t="shared" si="2"/>
        <v>80</v>
      </c>
      <c r="B82">
        <v>800</v>
      </c>
      <c r="C82">
        <v>13529</v>
      </c>
      <c r="D82">
        <f t="shared" si="3"/>
        <v>135.29</v>
      </c>
    </row>
    <row r="83" spans="1:4">
      <c r="A83">
        <f t="shared" si="2"/>
        <v>81</v>
      </c>
      <c r="B83">
        <v>810</v>
      </c>
      <c r="C83">
        <v>13654</v>
      </c>
      <c r="D83">
        <f t="shared" si="3"/>
        <v>136.54</v>
      </c>
    </row>
    <row r="84" spans="1:4">
      <c r="A84">
        <f t="shared" si="2"/>
        <v>82</v>
      </c>
      <c r="B84">
        <v>820</v>
      </c>
      <c r="C84">
        <v>13780</v>
      </c>
      <c r="D84">
        <f t="shared" si="3"/>
        <v>137.80000000000001</v>
      </c>
    </row>
    <row r="85" spans="1:4">
      <c r="A85">
        <f t="shared" si="2"/>
        <v>83</v>
      </c>
      <c r="B85">
        <v>830</v>
      </c>
      <c r="C85">
        <v>13905</v>
      </c>
      <c r="D85">
        <f t="shared" si="3"/>
        <v>139.05000000000001</v>
      </c>
    </row>
    <row r="86" spans="1:4">
      <c r="A86">
        <f t="shared" si="2"/>
        <v>84</v>
      </c>
      <c r="B86">
        <v>840</v>
      </c>
      <c r="C86">
        <v>14031</v>
      </c>
      <c r="D86">
        <f t="shared" si="3"/>
        <v>140.31</v>
      </c>
    </row>
    <row r="87" spans="1:4">
      <c r="A87">
        <f t="shared" si="2"/>
        <v>85</v>
      </c>
      <c r="B87">
        <v>850</v>
      </c>
      <c r="C87">
        <v>14156</v>
      </c>
      <c r="D87">
        <f t="shared" si="3"/>
        <v>141.56</v>
      </c>
    </row>
    <row r="88" spans="1:4">
      <c r="A88">
        <f t="shared" si="2"/>
        <v>86</v>
      </c>
      <c r="B88">
        <v>860</v>
      </c>
      <c r="C88">
        <v>14282</v>
      </c>
      <c r="D88">
        <f t="shared" si="3"/>
        <v>142.82</v>
      </c>
    </row>
    <row r="89" spans="1:4">
      <c r="A89">
        <f t="shared" si="2"/>
        <v>87</v>
      </c>
      <c r="B89">
        <v>870</v>
      </c>
      <c r="C89">
        <v>14407</v>
      </c>
      <c r="D89">
        <f t="shared" si="3"/>
        <v>144.07</v>
      </c>
    </row>
    <row r="90" spans="1:4">
      <c r="A90">
        <f t="shared" si="2"/>
        <v>88</v>
      </c>
      <c r="B90">
        <v>880</v>
      </c>
      <c r="C90">
        <v>14533</v>
      </c>
      <c r="D90">
        <f t="shared" si="3"/>
        <v>145.33000000000001</v>
      </c>
    </row>
    <row r="91" spans="1:4">
      <c r="A91">
        <f t="shared" si="2"/>
        <v>89</v>
      </c>
      <c r="B91">
        <v>890</v>
      </c>
      <c r="C91">
        <v>14658</v>
      </c>
      <c r="D91">
        <f t="shared" si="3"/>
        <v>146.58000000000001</v>
      </c>
    </row>
    <row r="92" spans="1:4">
      <c r="A92">
        <f t="shared" si="2"/>
        <v>90</v>
      </c>
      <c r="B92">
        <v>900</v>
      </c>
      <c r="C92">
        <v>14784</v>
      </c>
      <c r="D92">
        <f t="shared" si="3"/>
        <v>147.84</v>
      </c>
    </row>
    <row r="93" spans="1:4">
      <c r="A93">
        <f t="shared" si="2"/>
        <v>91</v>
      </c>
      <c r="B93">
        <v>910</v>
      </c>
      <c r="C93">
        <v>14909</v>
      </c>
      <c r="D93">
        <f t="shared" si="3"/>
        <v>149.09</v>
      </c>
    </row>
    <row r="94" spans="1:4">
      <c r="A94">
        <f t="shared" si="2"/>
        <v>92</v>
      </c>
      <c r="B94">
        <v>920</v>
      </c>
      <c r="C94">
        <v>15035</v>
      </c>
      <c r="D94">
        <f t="shared" si="3"/>
        <v>150.35</v>
      </c>
    </row>
    <row r="95" spans="1:4">
      <c r="A95">
        <f t="shared" si="2"/>
        <v>93</v>
      </c>
      <c r="B95">
        <v>930</v>
      </c>
      <c r="C95">
        <v>15160</v>
      </c>
      <c r="D95">
        <f t="shared" si="3"/>
        <v>151.6</v>
      </c>
    </row>
    <row r="96" spans="1:4">
      <c r="A96">
        <f t="shared" si="2"/>
        <v>94</v>
      </c>
      <c r="B96">
        <v>940</v>
      </c>
      <c r="C96">
        <v>15286</v>
      </c>
      <c r="D96">
        <f t="shared" si="3"/>
        <v>152.86000000000001</v>
      </c>
    </row>
    <row r="97" spans="1:4">
      <c r="A97">
        <f t="shared" si="2"/>
        <v>95</v>
      </c>
      <c r="B97">
        <v>950</v>
      </c>
      <c r="C97">
        <v>15411</v>
      </c>
      <c r="D97">
        <f t="shared" si="3"/>
        <v>154.11000000000001</v>
      </c>
    </row>
    <row r="98" spans="1:4">
      <c r="A98">
        <f t="shared" si="2"/>
        <v>96</v>
      </c>
      <c r="B98">
        <v>960</v>
      </c>
      <c r="C98">
        <v>15537</v>
      </c>
      <c r="D98">
        <f t="shared" si="3"/>
        <v>155.37</v>
      </c>
    </row>
    <row r="99" spans="1:4">
      <c r="A99">
        <f t="shared" si="2"/>
        <v>97</v>
      </c>
      <c r="B99">
        <v>970</v>
      </c>
      <c r="C99">
        <v>15662</v>
      </c>
      <c r="D99">
        <f t="shared" si="3"/>
        <v>156.62</v>
      </c>
    </row>
    <row r="100" spans="1:4">
      <c r="A100">
        <f t="shared" si="2"/>
        <v>98</v>
      </c>
      <c r="B100">
        <v>980</v>
      </c>
      <c r="C100">
        <v>15788</v>
      </c>
      <c r="D100">
        <f t="shared" si="3"/>
        <v>157.88</v>
      </c>
    </row>
    <row r="101" spans="1:4">
      <c r="A101">
        <f t="shared" si="2"/>
        <v>99</v>
      </c>
      <c r="B101">
        <v>990</v>
      </c>
      <c r="C101">
        <v>15913</v>
      </c>
      <c r="D101">
        <f t="shared" si="3"/>
        <v>159.13</v>
      </c>
    </row>
    <row r="102" spans="1:4">
      <c r="A102">
        <f t="shared" si="2"/>
        <v>100</v>
      </c>
      <c r="B102">
        <v>1000</v>
      </c>
      <c r="C102">
        <v>16039</v>
      </c>
      <c r="D102">
        <f t="shared" si="3"/>
        <v>160.38999999999999</v>
      </c>
    </row>
    <row r="103" spans="1:4">
      <c r="A103">
        <f t="shared" si="2"/>
        <v>101</v>
      </c>
      <c r="B103">
        <v>1010</v>
      </c>
      <c r="C103">
        <v>16164</v>
      </c>
      <c r="D103">
        <f t="shared" si="3"/>
        <v>161.63999999999999</v>
      </c>
    </row>
    <row r="104" spans="1:4">
      <c r="A104">
        <f t="shared" si="2"/>
        <v>102</v>
      </c>
      <c r="B104">
        <v>1020</v>
      </c>
      <c r="C104">
        <v>16290</v>
      </c>
      <c r="D104">
        <f t="shared" si="3"/>
        <v>162.9</v>
      </c>
    </row>
    <row r="105" spans="1:4">
      <c r="A105">
        <f t="shared" si="2"/>
        <v>103</v>
      </c>
      <c r="B105">
        <v>1030</v>
      </c>
      <c r="C105">
        <v>16415</v>
      </c>
      <c r="D105">
        <f t="shared" si="3"/>
        <v>164.15</v>
      </c>
    </row>
    <row r="106" spans="1:4">
      <c r="A106">
        <f t="shared" si="2"/>
        <v>104</v>
      </c>
      <c r="B106">
        <v>1040</v>
      </c>
      <c r="C106">
        <v>16541</v>
      </c>
      <c r="D106">
        <f t="shared" si="3"/>
        <v>165.41</v>
      </c>
    </row>
    <row r="107" spans="1:4">
      <c r="A107">
        <f t="shared" si="2"/>
        <v>105</v>
      </c>
      <c r="B107">
        <v>1050</v>
      </c>
      <c r="C107">
        <v>16666</v>
      </c>
      <c r="D107">
        <f t="shared" si="3"/>
        <v>166.66</v>
      </c>
    </row>
    <row r="108" spans="1:4">
      <c r="A108">
        <f t="shared" si="2"/>
        <v>106</v>
      </c>
      <c r="B108">
        <v>1060</v>
      </c>
      <c r="C108">
        <v>16792</v>
      </c>
      <c r="D108">
        <f t="shared" si="3"/>
        <v>167.92</v>
      </c>
    </row>
    <row r="109" spans="1:4">
      <c r="A109">
        <f t="shared" si="2"/>
        <v>107</v>
      </c>
      <c r="B109">
        <v>1070</v>
      </c>
      <c r="C109">
        <v>16917</v>
      </c>
      <c r="D109">
        <f t="shared" si="3"/>
        <v>169.17</v>
      </c>
    </row>
    <row r="110" spans="1:4">
      <c r="A110">
        <f t="shared" si="2"/>
        <v>108</v>
      </c>
      <c r="B110">
        <v>1080</v>
      </c>
      <c r="C110">
        <v>17043</v>
      </c>
      <c r="D110">
        <f t="shared" si="3"/>
        <v>170.43</v>
      </c>
    </row>
    <row r="111" spans="1:4">
      <c r="A111">
        <f t="shared" si="2"/>
        <v>109</v>
      </c>
      <c r="B111">
        <v>1090</v>
      </c>
      <c r="C111">
        <v>17168</v>
      </c>
      <c r="D111">
        <f t="shared" si="3"/>
        <v>171.68</v>
      </c>
    </row>
    <row r="112" spans="1:4">
      <c r="A112">
        <f t="shared" si="2"/>
        <v>110</v>
      </c>
      <c r="B112">
        <v>1100</v>
      </c>
      <c r="C112">
        <v>17294</v>
      </c>
      <c r="D112">
        <f t="shared" si="3"/>
        <v>172.94</v>
      </c>
    </row>
    <row r="113" spans="1:4">
      <c r="A113">
        <f t="shared" si="2"/>
        <v>111</v>
      </c>
      <c r="B113">
        <v>1110</v>
      </c>
      <c r="C113">
        <v>17419</v>
      </c>
      <c r="D113">
        <f t="shared" si="3"/>
        <v>174.19</v>
      </c>
    </row>
    <row r="114" spans="1:4">
      <c r="A114">
        <f t="shared" si="2"/>
        <v>112</v>
      </c>
      <c r="B114">
        <v>1120</v>
      </c>
      <c r="C114">
        <v>17545</v>
      </c>
      <c r="D114">
        <f t="shared" si="3"/>
        <v>175.45</v>
      </c>
    </row>
    <row r="115" spans="1:4">
      <c r="A115">
        <f t="shared" si="2"/>
        <v>113</v>
      </c>
      <c r="B115">
        <v>1130</v>
      </c>
      <c r="C115">
        <v>17670</v>
      </c>
      <c r="D115">
        <f t="shared" si="3"/>
        <v>176.7</v>
      </c>
    </row>
    <row r="116" spans="1:4">
      <c r="A116">
        <f t="shared" si="2"/>
        <v>114</v>
      </c>
      <c r="B116">
        <v>1140</v>
      </c>
      <c r="C116">
        <v>17796</v>
      </c>
      <c r="D116">
        <f t="shared" si="3"/>
        <v>177.96</v>
      </c>
    </row>
    <row r="117" spans="1:4">
      <c r="A117">
        <f t="shared" si="2"/>
        <v>115</v>
      </c>
      <c r="B117">
        <v>1150</v>
      </c>
      <c r="C117">
        <v>17921</v>
      </c>
      <c r="D117">
        <f t="shared" si="3"/>
        <v>179.21</v>
      </c>
    </row>
    <row r="118" spans="1:4">
      <c r="A118">
        <f t="shared" si="2"/>
        <v>116</v>
      </c>
      <c r="B118">
        <v>1160</v>
      </c>
      <c r="C118">
        <v>18047</v>
      </c>
      <c r="D118">
        <f t="shared" si="3"/>
        <v>180.47</v>
      </c>
    </row>
    <row r="119" spans="1:4">
      <c r="A119">
        <f t="shared" si="2"/>
        <v>117</v>
      </c>
      <c r="B119">
        <v>1170</v>
      </c>
      <c r="C119">
        <v>18173</v>
      </c>
      <c r="D119">
        <f t="shared" si="3"/>
        <v>181.73</v>
      </c>
    </row>
    <row r="120" spans="1:4">
      <c r="A120">
        <f t="shared" si="2"/>
        <v>118</v>
      </c>
      <c r="B120">
        <v>1180</v>
      </c>
      <c r="C120">
        <v>18298</v>
      </c>
      <c r="D120">
        <f t="shared" si="3"/>
        <v>182.98</v>
      </c>
    </row>
    <row r="121" spans="1:4">
      <c r="A121">
        <f t="shared" si="2"/>
        <v>119</v>
      </c>
      <c r="B121">
        <v>1190</v>
      </c>
      <c r="C121">
        <v>18424</v>
      </c>
      <c r="D121">
        <f t="shared" si="3"/>
        <v>184.24</v>
      </c>
    </row>
    <row r="122" spans="1:4">
      <c r="A122">
        <f t="shared" si="2"/>
        <v>120</v>
      </c>
      <c r="B122">
        <v>1200</v>
      </c>
      <c r="C122">
        <v>18549</v>
      </c>
      <c r="D122">
        <f t="shared" si="3"/>
        <v>185.49</v>
      </c>
    </row>
    <row r="123" spans="1:4">
      <c r="A123">
        <f t="shared" si="2"/>
        <v>121</v>
      </c>
      <c r="B123">
        <v>1210</v>
      </c>
      <c r="C123">
        <v>18675</v>
      </c>
      <c r="D123">
        <f t="shared" si="3"/>
        <v>186.75</v>
      </c>
    </row>
    <row r="124" spans="1:4">
      <c r="A124">
        <f t="shared" si="2"/>
        <v>122</v>
      </c>
      <c r="B124">
        <v>1220</v>
      </c>
      <c r="C124">
        <v>18800</v>
      </c>
      <c r="D124">
        <f t="shared" si="3"/>
        <v>188</v>
      </c>
    </row>
    <row r="125" spans="1:4">
      <c r="A125">
        <f t="shared" si="2"/>
        <v>123</v>
      </c>
      <c r="B125">
        <v>1230</v>
      </c>
      <c r="C125">
        <v>18926</v>
      </c>
      <c r="D125">
        <f t="shared" si="3"/>
        <v>189.26</v>
      </c>
    </row>
    <row r="126" spans="1:4">
      <c r="A126">
        <f t="shared" si="2"/>
        <v>124</v>
      </c>
      <c r="B126">
        <v>1240</v>
      </c>
      <c r="C126">
        <v>19051</v>
      </c>
      <c r="D126">
        <f t="shared" si="3"/>
        <v>190.51</v>
      </c>
    </row>
    <row r="127" spans="1:4">
      <c r="A127">
        <f t="shared" si="2"/>
        <v>125</v>
      </c>
      <c r="B127">
        <v>1250</v>
      </c>
      <c r="C127">
        <v>19177</v>
      </c>
      <c r="D127">
        <f t="shared" si="3"/>
        <v>191.77</v>
      </c>
    </row>
    <row r="128" spans="1:4">
      <c r="A128">
        <f t="shared" si="2"/>
        <v>126</v>
      </c>
      <c r="B128">
        <v>1260</v>
      </c>
      <c r="C128">
        <v>19302</v>
      </c>
      <c r="D128">
        <f t="shared" si="3"/>
        <v>193.02</v>
      </c>
    </row>
    <row r="129" spans="1:4">
      <c r="A129">
        <f t="shared" si="2"/>
        <v>127</v>
      </c>
      <c r="B129">
        <v>1270</v>
      </c>
      <c r="C129">
        <v>19428</v>
      </c>
      <c r="D129">
        <f t="shared" si="3"/>
        <v>194.28</v>
      </c>
    </row>
    <row r="130" spans="1:4">
      <c r="A130">
        <f t="shared" si="2"/>
        <v>128</v>
      </c>
      <c r="B130">
        <v>1280</v>
      </c>
      <c r="C130">
        <v>19553</v>
      </c>
      <c r="D130">
        <f t="shared" si="3"/>
        <v>195.53</v>
      </c>
    </row>
    <row r="131" spans="1:4">
      <c r="A131">
        <f t="shared" ref="A131:A194" si="4">$B131/10</f>
        <v>129</v>
      </c>
      <c r="B131">
        <v>1290</v>
      </c>
      <c r="C131">
        <v>19679</v>
      </c>
      <c r="D131">
        <f t="shared" ref="D131:D194" si="5">$C131/100</f>
        <v>196.79</v>
      </c>
    </row>
    <row r="132" spans="1:4">
      <c r="A132">
        <f t="shared" si="4"/>
        <v>130</v>
      </c>
      <c r="B132">
        <v>1300</v>
      </c>
      <c r="C132">
        <v>19804</v>
      </c>
      <c r="D132">
        <f t="shared" si="5"/>
        <v>198.04</v>
      </c>
    </row>
    <row r="133" spans="1:4">
      <c r="A133">
        <f t="shared" si="4"/>
        <v>131</v>
      </c>
      <c r="B133">
        <v>1310</v>
      </c>
      <c r="C133">
        <v>19930</v>
      </c>
      <c r="D133">
        <f t="shared" si="5"/>
        <v>199.3</v>
      </c>
    </row>
    <row r="134" spans="1:4">
      <c r="A134">
        <f t="shared" si="4"/>
        <v>132</v>
      </c>
      <c r="B134">
        <v>1320</v>
      </c>
      <c r="C134">
        <v>20055</v>
      </c>
      <c r="D134">
        <f t="shared" si="5"/>
        <v>200.55</v>
      </c>
    </row>
    <row r="135" spans="1:4">
      <c r="A135">
        <f t="shared" si="4"/>
        <v>133</v>
      </c>
      <c r="B135">
        <v>1330</v>
      </c>
      <c r="C135">
        <v>20181</v>
      </c>
      <c r="D135">
        <f t="shared" si="5"/>
        <v>201.81</v>
      </c>
    </row>
    <row r="136" spans="1:4">
      <c r="A136">
        <f t="shared" si="4"/>
        <v>134</v>
      </c>
      <c r="B136">
        <v>1340</v>
      </c>
      <c r="C136">
        <v>20306</v>
      </c>
      <c r="D136">
        <f t="shared" si="5"/>
        <v>203.06</v>
      </c>
    </row>
    <row r="137" spans="1:4">
      <c r="A137">
        <f t="shared" si="4"/>
        <v>135</v>
      </c>
      <c r="B137">
        <v>1350</v>
      </c>
      <c r="C137">
        <v>20432</v>
      </c>
      <c r="D137">
        <f t="shared" si="5"/>
        <v>204.32</v>
      </c>
    </row>
    <row r="138" spans="1:4">
      <c r="A138">
        <f t="shared" si="4"/>
        <v>136</v>
      </c>
      <c r="B138">
        <v>1360</v>
      </c>
      <c r="C138">
        <v>20557</v>
      </c>
      <c r="D138">
        <f t="shared" si="5"/>
        <v>205.57</v>
      </c>
    </row>
    <row r="139" spans="1:4">
      <c r="A139">
        <f t="shared" si="4"/>
        <v>137</v>
      </c>
      <c r="B139">
        <v>1370</v>
      </c>
      <c r="C139">
        <v>20683</v>
      </c>
      <c r="D139">
        <f t="shared" si="5"/>
        <v>206.83</v>
      </c>
    </row>
    <row r="140" spans="1:4">
      <c r="A140">
        <f t="shared" si="4"/>
        <v>138</v>
      </c>
      <c r="B140">
        <v>1380</v>
      </c>
      <c r="C140">
        <v>20808</v>
      </c>
      <c r="D140">
        <f t="shared" si="5"/>
        <v>208.08</v>
      </c>
    </row>
    <row r="141" spans="1:4">
      <c r="A141">
        <f t="shared" si="4"/>
        <v>139</v>
      </c>
      <c r="B141">
        <v>1390</v>
      </c>
      <c r="C141">
        <v>20934</v>
      </c>
      <c r="D141">
        <f t="shared" si="5"/>
        <v>209.34</v>
      </c>
    </row>
    <row r="142" spans="1:4">
      <c r="A142">
        <f t="shared" si="4"/>
        <v>140</v>
      </c>
      <c r="B142">
        <v>1400</v>
      </c>
      <c r="C142">
        <v>21059</v>
      </c>
      <c r="D142">
        <f t="shared" si="5"/>
        <v>210.59</v>
      </c>
    </row>
    <row r="143" spans="1:4">
      <c r="A143">
        <f t="shared" si="4"/>
        <v>141</v>
      </c>
      <c r="B143">
        <v>1410</v>
      </c>
      <c r="C143">
        <v>21185</v>
      </c>
      <c r="D143">
        <f t="shared" si="5"/>
        <v>211.85</v>
      </c>
    </row>
    <row r="144" spans="1:4">
      <c r="A144">
        <f t="shared" si="4"/>
        <v>142</v>
      </c>
      <c r="B144">
        <v>1420</v>
      </c>
      <c r="C144">
        <v>21310</v>
      </c>
      <c r="D144">
        <f t="shared" si="5"/>
        <v>213.1</v>
      </c>
    </row>
    <row r="145" spans="1:4">
      <c r="A145">
        <f t="shared" si="4"/>
        <v>143</v>
      </c>
      <c r="B145">
        <v>1430</v>
      </c>
      <c r="C145">
        <v>21436</v>
      </c>
      <c r="D145">
        <f t="shared" si="5"/>
        <v>214.36</v>
      </c>
    </row>
    <row r="146" spans="1:4">
      <c r="A146">
        <f t="shared" si="4"/>
        <v>144</v>
      </c>
      <c r="B146">
        <v>1440</v>
      </c>
      <c r="C146">
        <v>21561</v>
      </c>
      <c r="D146">
        <f t="shared" si="5"/>
        <v>215.61</v>
      </c>
    </row>
    <row r="147" spans="1:4">
      <c r="A147">
        <f t="shared" si="4"/>
        <v>145</v>
      </c>
      <c r="B147">
        <v>1450</v>
      </c>
      <c r="C147">
        <v>21687</v>
      </c>
      <c r="D147">
        <f t="shared" si="5"/>
        <v>216.87</v>
      </c>
    </row>
    <row r="148" spans="1:4">
      <c r="A148">
        <f t="shared" si="4"/>
        <v>146</v>
      </c>
      <c r="B148">
        <v>1460</v>
      </c>
      <c r="C148">
        <v>21812</v>
      </c>
      <c r="D148">
        <f t="shared" si="5"/>
        <v>218.12</v>
      </c>
    </row>
    <row r="149" spans="1:4">
      <c r="A149">
        <f t="shared" si="4"/>
        <v>147</v>
      </c>
      <c r="B149">
        <v>1470</v>
      </c>
      <c r="C149">
        <v>21938</v>
      </c>
      <c r="D149">
        <f t="shared" si="5"/>
        <v>219.38</v>
      </c>
    </row>
    <row r="150" spans="1:4">
      <c r="A150">
        <f t="shared" si="4"/>
        <v>148</v>
      </c>
      <c r="B150">
        <v>1480</v>
      </c>
      <c r="C150">
        <v>22063</v>
      </c>
      <c r="D150">
        <f t="shared" si="5"/>
        <v>220.63</v>
      </c>
    </row>
    <row r="151" spans="1:4">
      <c r="A151">
        <f t="shared" si="4"/>
        <v>149</v>
      </c>
      <c r="B151">
        <v>1490</v>
      </c>
      <c r="C151">
        <v>22189</v>
      </c>
      <c r="D151">
        <f t="shared" si="5"/>
        <v>221.89</v>
      </c>
    </row>
    <row r="152" spans="1:4">
      <c r="A152">
        <f t="shared" si="4"/>
        <v>150</v>
      </c>
      <c r="B152">
        <v>1500</v>
      </c>
      <c r="C152">
        <v>22314</v>
      </c>
      <c r="D152">
        <f t="shared" si="5"/>
        <v>223.14</v>
      </c>
    </row>
    <row r="153" spans="1:4">
      <c r="A153">
        <f t="shared" si="4"/>
        <v>151</v>
      </c>
      <c r="B153">
        <v>1510</v>
      </c>
      <c r="C153">
        <v>22440</v>
      </c>
      <c r="D153">
        <f t="shared" si="5"/>
        <v>224.4</v>
      </c>
    </row>
    <row r="154" spans="1:4">
      <c r="A154">
        <f t="shared" si="4"/>
        <v>152</v>
      </c>
      <c r="B154">
        <v>1520</v>
      </c>
      <c r="C154">
        <v>22565</v>
      </c>
      <c r="D154">
        <f t="shared" si="5"/>
        <v>225.65</v>
      </c>
    </row>
    <row r="155" spans="1:4">
      <c r="A155">
        <f t="shared" si="4"/>
        <v>153</v>
      </c>
      <c r="B155">
        <v>1530</v>
      </c>
      <c r="C155">
        <v>22691</v>
      </c>
      <c r="D155">
        <f t="shared" si="5"/>
        <v>226.91</v>
      </c>
    </row>
    <row r="156" spans="1:4">
      <c r="A156">
        <f t="shared" si="4"/>
        <v>154</v>
      </c>
      <c r="B156">
        <v>1540</v>
      </c>
      <c r="C156">
        <v>22816</v>
      </c>
      <c r="D156">
        <f t="shared" si="5"/>
        <v>228.16</v>
      </c>
    </row>
    <row r="157" spans="1:4">
      <c r="A157">
        <f t="shared" si="4"/>
        <v>155</v>
      </c>
      <c r="B157">
        <v>1550</v>
      </c>
      <c r="C157">
        <v>22942</v>
      </c>
      <c r="D157">
        <f t="shared" si="5"/>
        <v>229.42</v>
      </c>
    </row>
    <row r="158" spans="1:4">
      <c r="A158">
        <f t="shared" si="4"/>
        <v>156</v>
      </c>
      <c r="B158">
        <v>1560</v>
      </c>
      <c r="C158">
        <v>23067</v>
      </c>
      <c r="D158">
        <f t="shared" si="5"/>
        <v>230.67</v>
      </c>
    </row>
    <row r="159" spans="1:4">
      <c r="A159">
        <f t="shared" si="4"/>
        <v>157</v>
      </c>
      <c r="B159">
        <v>1570</v>
      </c>
      <c r="C159">
        <v>23193</v>
      </c>
      <c r="D159">
        <f t="shared" si="5"/>
        <v>231.93</v>
      </c>
    </row>
    <row r="160" spans="1:4">
      <c r="A160">
        <f t="shared" si="4"/>
        <v>158</v>
      </c>
      <c r="B160">
        <v>1580</v>
      </c>
      <c r="C160">
        <v>23318</v>
      </c>
      <c r="D160">
        <f t="shared" si="5"/>
        <v>233.18</v>
      </c>
    </row>
    <row r="161" spans="1:4">
      <c r="A161">
        <f t="shared" si="4"/>
        <v>159</v>
      </c>
      <c r="B161">
        <v>1590</v>
      </c>
      <c r="C161">
        <v>23444</v>
      </c>
      <c r="D161">
        <f t="shared" si="5"/>
        <v>234.44</v>
      </c>
    </row>
    <row r="162" spans="1:4">
      <c r="A162">
        <f t="shared" si="4"/>
        <v>160</v>
      </c>
      <c r="B162">
        <v>1600</v>
      </c>
      <c r="C162">
        <v>23569</v>
      </c>
      <c r="D162">
        <f t="shared" si="5"/>
        <v>235.69</v>
      </c>
    </row>
    <row r="163" spans="1:4">
      <c r="A163">
        <f t="shared" si="4"/>
        <v>161</v>
      </c>
      <c r="B163">
        <v>1610</v>
      </c>
      <c r="C163">
        <v>23695</v>
      </c>
      <c r="D163">
        <f t="shared" si="5"/>
        <v>236.95</v>
      </c>
    </row>
    <row r="164" spans="1:4">
      <c r="A164">
        <f t="shared" si="4"/>
        <v>162</v>
      </c>
      <c r="B164">
        <v>1620</v>
      </c>
      <c r="C164">
        <v>23820</v>
      </c>
      <c r="D164">
        <f t="shared" si="5"/>
        <v>238.2</v>
      </c>
    </row>
    <row r="165" spans="1:4">
      <c r="A165">
        <f t="shared" si="4"/>
        <v>163</v>
      </c>
      <c r="B165">
        <v>1630</v>
      </c>
      <c r="C165">
        <v>23946</v>
      </c>
      <c r="D165">
        <f t="shared" si="5"/>
        <v>239.46</v>
      </c>
    </row>
    <row r="166" spans="1:4">
      <c r="A166">
        <f t="shared" si="4"/>
        <v>164</v>
      </c>
      <c r="B166">
        <v>1640</v>
      </c>
      <c r="C166">
        <v>24071</v>
      </c>
      <c r="D166">
        <f t="shared" si="5"/>
        <v>240.71</v>
      </c>
    </row>
    <row r="167" spans="1:4">
      <c r="A167">
        <f t="shared" si="4"/>
        <v>165</v>
      </c>
      <c r="B167">
        <v>1650</v>
      </c>
      <c r="C167">
        <v>24197</v>
      </c>
      <c r="D167">
        <f t="shared" si="5"/>
        <v>241.97</v>
      </c>
    </row>
    <row r="168" spans="1:4">
      <c r="A168">
        <f t="shared" si="4"/>
        <v>166</v>
      </c>
      <c r="B168">
        <v>1660</v>
      </c>
      <c r="C168">
        <v>24322</v>
      </c>
      <c r="D168">
        <f t="shared" si="5"/>
        <v>243.22</v>
      </c>
    </row>
    <row r="169" spans="1:4">
      <c r="A169">
        <f t="shared" si="4"/>
        <v>167</v>
      </c>
      <c r="B169">
        <v>1670</v>
      </c>
      <c r="C169">
        <v>24448</v>
      </c>
      <c r="D169">
        <f t="shared" si="5"/>
        <v>244.48</v>
      </c>
    </row>
    <row r="170" spans="1:4">
      <c r="A170">
        <f t="shared" si="4"/>
        <v>168</v>
      </c>
      <c r="B170">
        <v>1680</v>
      </c>
      <c r="C170">
        <v>24574</v>
      </c>
      <c r="D170">
        <f t="shared" si="5"/>
        <v>245.74</v>
      </c>
    </row>
    <row r="171" spans="1:4">
      <c r="A171">
        <f t="shared" si="4"/>
        <v>169</v>
      </c>
      <c r="B171">
        <v>1690</v>
      </c>
      <c r="C171">
        <v>24699</v>
      </c>
      <c r="D171">
        <f t="shared" si="5"/>
        <v>246.99</v>
      </c>
    </row>
    <row r="172" spans="1:4">
      <c r="A172">
        <f t="shared" si="4"/>
        <v>170</v>
      </c>
      <c r="B172">
        <v>1700</v>
      </c>
      <c r="C172">
        <v>24825</v>
      </c>
      <c r="D172">
        <f t="shared" si="5"/>
        <v>248.25</v>
      </c>
    </row>
    <row r="173" spans="1:4">
      <c r="A173">
        <f t="shared" si="4"/>
        <v>171</v>
      </c>
      <c r="B173">
        <v>1710</v>
      </c>
      <c r="C173">
        <v>24950</v>
      </c>
      <c r="D173">
        <f t="shared" si="5"/>
        <v>249.5</v>
      </c>
    </row>
    <row r="174" spans="1:4">
      <c r="A174">
        <f t="shared" si="4"/>
        <v>172</v>
      </c>
      <c r="B174">
        <v>1720</v>
      </c>
      <c r="C174">
        <v>25076</v>
      </c>
      <c r="D174">
        <f t="shared" si="5"/>
        <v>250.76</v>
      </c>
    </row>
    <row r="175" spans="1:4">
      <c r="A175">
        <f t="shared" si="4"/>
        <v>173</v>
      </c>
      <c r="B175">
        <v>1730</v>
      </c>
      <c r="C175">
        <v>25201</v>
      </c>
      <c r="D175">
        <f t="shared" si="5"/>
        <v>252.01</v>
      </c>
    </row>
    <row r="176" spans="1:4">
      <c r="A176">
        <f t="shared" si="4"/>
        <v>174</v>
      </c>
      <c r="B176">
        <v>1740</v>
      </c>
      <c r="C176">
        <v>25327</v>
      </c>
      <c r="D176">
        <f t="shared" si="5"/>
        <v>253.27</v>
      </c>
    </row>
    <row r="177" spans="1:4">
      <c r="A177">
        <f t="shared" si="4"/>
        <v>175</v>
      </c>
      <c r="B177">
        <v>1750</v>
      </c>
      <c r="C177">
        <v>25452</v>
      </c>
      <c r="D177">
        <f t="shared" si="5"/>
        <v>254.52</v>
      </c>
    </row>
    <row r="178" spans="1:4">
      <c r="A178">
        <f t="shared" si="4"/>
        <v>176</v>
      </c>
      <c r="B178">
        <v>1760</v>
      </c>
      <c r="C178">
        <v>25578</v>
      </c>
      <c r="D178">
        <f t="shared" si="5"/>
        <v>255.78</v>
      </c>
    </row>
    <row r="179" spans="1:4">
      <c r="A179">
        <f t="shared" si="4"/>
        <v>177</v>
      </c>
      <c r="B179">
        <v>1770</v>
      </c>
      <c r="C179">
        <v>25703</v>
      </c>
      <c r="D179">
        <f t="shared" si="5"/>
        <v>257.02999999999997</v>
      </c>
    </row>
    <row r="180" spans="1:4">
      <c r="A180">
        <f t="shared" si="4"/>
        <v>178</v>
      </c>
      <c r="B180">
        <v>1780</v>
      </c>
      <c r="C180">
        <v>25829</v>
      </c>
      <c r="D180">
        <f t="shared" si="5"/>
        <v>258.29000000000002</v>
      </c>
    </row>
    <row r="181" spans="1:4">
      <c r="A181">
        <f t="shared" si="4"/>
        <v>179</v>
      </c>
      <c r="B181">
        <v>1790</v>
      </c>
      <c r="C181">
        <v>25954</v>
      </c>
      <c r="D181">
        <f t="shared" si="5"/>
        <v>259.54000000000002</v>
      </c>
    </row>
    <row r="182" spans="1:4">
      <c r="A182">
        <f t="shared" si="4"/>
        <v>180</v>
      </c>
      <c r="B182">
        <v>1800</v>
      </c>
      <c r="C182">
        <v>26080</v>
      </c>
      <c r="D182">
        <f t="shared" si="5"/>
        <v>260.8</v>
      </c>
    </row>
    <row r="183" spans="1:4">
      <c r="A183">
        <f t="shared" si="4"/>
        <v>181</v>
      </c>
      <c r="B183">
        <v>1810</v>
      </c>
      <c r="C183">
        <v>26205</v>
      </c>
      <c r="D183">
        <f t="shared" si="5"/>
        <v>262.05</v>
      </c>
    </row>
    <row r="184" spans="1:4">
      <c r="A184">
        <f t="shared" si="4"/>
        <v>182</v>
      </c>
      <c r="B184">
        <v>1820</v>
      </c>
      <c r="C184">
        <v>26331</v>
      </c>
      <c r="D184">
        <f t="shared" si="5"/>
        <v>263.31</v>
      </c>
    </row>
    <row r="185" spans="1:4">
      <c r="A185">
        <f t="shared" si="4"/>
        <v>183</v>
      </c>
      <c r="B185">
        <v>1830</v>
      </c>
      <c r="C185">
        <v>26456</v>
      </c>
      <c r="D185">
        <f t="shared" si="5"/>
        <v>264.56</v>
      </c>
    </row>
    <row r="186" spans="1:4">
      <c r="A186">
        <f t="shared" si="4"/>
        <v>184</v>
      </c>
      <c r="B186">
        <v>1840</v>
      </c>
      <c r="C186">
        <v>26582</v>
      </c>
      <c r="D186">
        <f t="shared" si="5"/>
        <v>265.82</v>
      </c>
    </row>
    <row r="187" spans="1:4">
      <c r="A187">
        <f t="shared" si="4"/>
        <v>185</v>
      </c>
      <c r="B187">
        <v>1850</v>
      </c>
      <c r="C187">
        <v>26707</v>
      </c>
      <c r="D187">
        <f t="shared" si="5"/>
        <v>267.07</v>
      </c>
    </row>
    <row r="188" spans="1:4">
      <c r="A188">
        <f t="shared" si="4"/>
        <v>186</v>
      </c>
      <c r="B188">
        <v>1860</v>
      </c>
      <c r="C188">
        <v>26833</v>
      </c>
      <c r="D188">
        <f t="shared" si="5"/>
        <v>268.33</v>
      </c>
    </row>
    <row r="189" spans="1:4">
      <c r="A189">
        <f t="shared" si="4"/>
        <v>187</v>
      </c>
      <c r="B189">
        <v>1870</v>
      </c>
      <c r="C189">
        <v>26958</v>
      </c>
      <c r="D189">
        <f t="shared" si="5"/>
        <v>269.58</v>
      </c>
    </row>
    <row r="190" spans="1:4">
      <c r="A190">
        <f t="shared" si="4"/>
        <v>188</v>
      </c>
      <c r="B190">
        <v>1880</v>
      </c>
      <c r="C190">
        <v>27084</v>
      </c>
      <c r="D190">
        <f t="shared" si="5"/>
        <v>270.83999999999997</v>
      </c>
    </row>
    <row r="191" spans="1:4">
      <c r="A191">
        <f t="shared" si="4"/>
        <v>189</v>
      </c>
      <c r="B191">
        <v>1890</v>
      </c>
      <c r="C191">
        <v>27209</v>
      </c>
      <c r="D191">
        <f t="shared" si="5"/>
        <v>272.08999999999997</v>
      </c>
    </row>
    <row r="192" spans="1:4">
      <c r="A192">
        <f t="shared" si="4"/>
        <v>190</v>
      </c>
      <c r="B192">
        <v>1900</v>
      </c>
      <c r="C192">
        <v>27335</v>
      </c>
      <c r="D192">
        <f t="shared" si="5"/>
        <v>273.35000000000002</v>
      </c>
    </row>
    <row r="193" spans="1:4">
      <c r="A193">
        <f t="shared" si="4"/>
        <v>191</v>
      </c>
      <c r="B193">
        <v>1910</v>
      </c>
      <c r="C193">
        <v>27460</v>
      </c>
      <c r="D193">
        <f t="shared" si="5"/>
        <v>274.60000000000002</v>
      </c>
    </row>
    <row r="194" spans="1:4">
      <c r="A194">
        <f t="shared" si="4"/>
        <v>192</v>
      </c>
      <c r="B194">
        <v>1920</v>
      </c>
      <c r="C194">
        <v>27586</v>
      </c>
      <c r="D194">
        <f t="shared" si="5"/>
        <v>275.86</v>
      </c>
    </row>
    <row r="195" spans="1:4">
      <c r="A195">
        <f t="shared" ref="A195:A258" si="6">$B195/10</f>
        <v>193</v>
      </c>
      <c r="B195">
        <v>1930</v>
      </c>
      <c r="C195">
        <v>27711</v>
      </c>
      <c r="D195">
        <f t="shared" ref="D195:D258" si="7">$C195/100</f>
        <v>277.11</v>
      </c>
    </row>
    <row r="196" spans="1:4">
      <c r="A196">
        <f t="shared" si="6"/>
        <v>194</v>
      </c>
      <c r="B196">
        <v>1940</v>
      </c>
      <c r="C196">
        <v>27837</v>
      </c>
      <c r="D196">
        <f t="shared" si="7"/>
        <v>278.37</v>
      </c>
    </row>
    <row r="197" spans="1:4">
      <c r="A197">
        <f t="shared" si="6"/>
        <v>195</v>
      </c>
      <c r="B197">
        <v>1950</v>
      </c>
      <c r="C197">
        <v>27962</v>
      </c>
      <c r="D197">
        <f t="shared" si="7"/>
        <v>279.62</v>
      </c>
    </row>
    <row r="198" spans="1:4">
      <c r="A198">
        <f t="shared" si="6"/>
        <v>196</v>
      </c>
      <c r="B198">
        <v>1960</v>
      </c>
      <c r="C198">
        <v>28088</v>
      </c>
      <c r="D198">
        <f t="shared" si="7"/>
        <v>280.88</v>
      </c>
    </row>
    <row r="199" spans="1:4">
      <c r="A199">
        <f t="shared" si="6"/>
        <v>197</v>
      </c>
      <c r="B199">
        <v>1970</v>
      </c>
      <c r="C199">
        <v>28213</v>
      </c>
      <c r="D199">
        <f t="shared" si="7"/>
        <v>282.13</v>
      </c>
    </row>
    <row r="200" spans="1:4">
      <c r="A200">
        <f t="shared" si="6"/>
        <v>198</v>
      </c>
      <c r="B200">
        <v>1980</v>
      </c>
      <c r="C200">
        <v>28339</v>
      </c>
      <c r="D200">
        <f t="shared" si="7"/>
        <v>283.39</v>
      </c>
    </row>
    <row r="201" spans="1:4">
      <c r="A201">
        <f t="shared" si="6"/>
        <v>199</v>
      </c>
      <c r="B201">
        <v>1990</v>
      </c>
      <c r="C201">
        <v>28464</v>
      </c>
      <c r="D201">
        <f t="shared" si="7"/>
        <v>284.64</v>
      </c>
    </row>
    <row r="202" spans="1:4">
      <c r="A202">
        <f t="shared" si="6"/>
        <v>200</v>
      </c>
      <c r="B202">
        <v>2000</v>
      </c>
      <c r="C202">
        <v>28590</v>
      </c>
      <c r="D202">
        <f t="shared" si="7"/>
        <v>285.89999999999998</v>
      </c>
    </row>
    <row r="203" spans="1:4">
      <c r="A203">
        <f t="shared" si="6"/>
        <v>201</v>
      </c>
      <c r="B203">
        <v>2010</v>
      </c>
      <c r="C203">
        <v>28715</v>
      </c>
      <c r="D203">
        <f t="shared" si="7"/>
        <v>287.14999999999998</v>
      </c>
    </row>
    <row r="204" spans="1:4">
      <c r="A204">
        <f t="shared" si="6"/>
        <v>202</v>
      </c>
      <c r="B204">
        <v>2020</v>
      </c>
      <c r="C204">
        <v>28841</v>
      </c>
      <c r="D204">
        <f t="shared" si="7"/>
        <v>288.41000000000003</v>
      </c>
    </row>
    <row r="205" spans="1:4">
      <c r="A205">
        <f t="shared" si="6"/>
        <v>203</v>
      </c>
      <c r="B205">
        <v>2030</v>
      </c>
      <c r="C205">
        <v>28966</v>
      </c>
      <c r="D205">
        <f t="shared" si="7"/>
        <v>289.66000000000003</v>
      </c>
    </row>
    <row r="206" spans="1:4">
      <c r="A206">
        <f t="shared" si="6"/>
        <v>204</v>
      </c>
      <c r="B206">
        <v>2040</v>
      </c>
      <c r="C206">
        <v>29092</v>
      </c>
      <c r="D206">
        <f t="shared" si="7"/>
        <v>290.92</v>
      </c>
    </row>
    <row r="207" spans="1:4">
      <c r="A207">
        <f t="shared" si="6"/>
        <v>205</v>
      </c>
      <c r="B207">
        <v>2050</v>
      </c>
      <c r="C207">
        <v>29217</v>
      </c>
      <c r="D207">
        <f t="shared" si="7"/>
        <v>292.17</v>
      </c>
    </row>
    <row r="208" spans="1:4">
      <c r="A208">
        <f t="shared" si="6"/>
        <v>206</v>
      </c>
      <c r="B208">
        <v>2060</v>
      </c>
      <c r="C208">
        <v>29343</v>
      </c>
      <c r="D208">
        <f t="shared" si="7"/>
        <v>293.43</v>
      </c>
    </row>
    <row r="209" spans="1:4">
      <c r="A209">
        <f t="shared" si="6"/>
        <v>207</v>
      </c>
      <c r="B209">
        <v>2070</v>
      </c>
      <c r="C209">
        <v>29468</v>
      </c>
      <c r="D209">
        <f t="shared" si="7"/>
        <v>294.68</v>
      </c>
    </row>
    <row r="210" spans="1:4">
      <c r="A210">
        <f t="shared" si="6"/>
        <v>208</v>
      </c>
      <c r="B210">
        <v>2080</v>
      </c>
      <c r="C210">
        <v>29594</v>
      </c>
      <c r="D210">
        <f t="shared" si="7"/>
        <v>295.94</v>
      </c>
    </row>
    <row r="211" spans="1:4">
      <c r="A211">
        <f t="shared" si="6"/>
        <v>209</v>
      </c>
      <c r="B211">
        <v>2090</v>
      </c>
      <c r="C211">
        <v>29719</v>
      </c>
      <c r="D211">
        <f t="shared" si="7"/>
        <v>297.19</v>
      </c>
    </row>
    <row r="212" spans="1:4">
      <c r="A212">
        <f t="shared" si="6"/>
        <v>210</v>
      </c>
      <c r="B212">
        <v>2100</v>
      </c>
      <c r="C212">
        <v>29845</v>
      </c>
      <c r="D212">
        <f t="shared" si="7"/>
        <v>298.45</v>
      </c>
    </row>
    <row r="213" spans="1:4">
      <c r="A213">
        <f t="shared" si="6"/>
        <v>211</v>
      </c>
      <c r="B213">
        <v>2110</v>
      </c>
      <c r="C213">
        <v>29970</v>
      </c>
      <c r="D213">
        <f t="shared" si="7"/>
        <v>299.7</v>
      </c>
    </row>
    <row r="214" spans="1:4">
      <c r="A214">
        <f t="shared" si="6"/>
        <v>212</v>
      </c>
      <c r="B214">
        <v>2120</v>
      </c>
      <c r="C214">
        <v>30096</v>
      </c>
      <c r="D214">
        <f t="shared" si="7"/>
        <v>300.95999999999998</v>
      </c>
    </row>
    <row r="215" spans="1:4">
      <c r="A215">
        <f t="shared" si="6"/>
        <v>213</v>
      </c>
      <c r="B215">
        <v>2130</v>
      </c>
      <c r="C215">
        <v>30221</v>
      </c>
      <c r="D215">
        <f t="shared" si="7"/>
        <v>302.20999999999998</v>
      </c>
    </row>
    <row r="216" spans="1:4">
      <c r="A216">
        <f t="shared" si="6"/>
        <v>214</v>
      </c>
      <c r="B216">
        <v>2140</v>
      </c>
      <c r="C216">
        <v>30347</v>
      </c>
      <c r="D216">
        <f t="shared" si="7"/>
        <v>303.47000000000003</v>
      </c>
    </row>
    <row r="217" spans="1:4">
      <c r="A217">
        <f t="shared" si="6"/>
        <v>215</v>
      </c>
      <c r="B217">
        <v>2150</v>
      </c>
      <c r="C217">
        <v>30472</v>
      </c>
      <c r="D217">
        <f t="shared" si="7"/>
        <v>304.72000000000003</v>
      </c>
    </row>
    <row r="218" spans="1:4">
      <c r="A218">
        <f t="shared" si="6"/>
        <v>216</v>
      </c>
      <c r="B218">
        <v>2160</v>
      </c>
      <c r="C218">
        <v>30598</v>
      </c>
      <c r="D218">
        <f t="shared" si="7"/>
        <v>305.98</v>
      </c>
    </row>
    <row r="219" spans="1:4">
      <c r="A219">
        <f t="shared" si="6"/>
        <v>217</v>
      </c>
      <c r="B219">
        <v>2170</v>
      </c>
      <c r="C219">
        <v>30724</v>
      </c>
      <c r="D219">
        <f t="shared" si="7"/>
        <v>307.24</v>
      </c>
    </row>
    <row r="220" spans="1:4">
      <c r="A220">
        <f t="shared" si="6"/>
        <v>218</v>
      </c>
      <c r="B220">
        <v>2180</v>
      </c>
      <c r="C220">
        <v>30849</v>
      </c>
      <c r="D220">
        <f t="shared" si="7"/>
        <v>308.49</v>
      </c>
    </row>
    <row r="221" spans="1:4">
      <c r="A221">
        <f t="shared" si="6"/>
        <v>219</v>
      </c>
      <c r="B221">
        <v>2190</v>
      </c>
      <c r="C221">
        <v>30975</v>
      </c>
      <c r="D221">
        <f t="shared" si="7"/>
        <v>309.75</v>
      </c>
    </row>
    <row r="222" spans="1:4">
      <c r="A222">
        <f t="shared" si="6"/>
        <v>220</v>
      </c>
      <c r="B222">
        <v>2200</v>
      </c>
      <c r="C222">
        <v>31100</v>
      </c>
      <c r="D222">
        <f t="shared" si="7"/>
        <v>311</v>
      </c>
    </row>
    <row r="223" spans="1:4">
      <c r="A223">
        <f t="shared" si="6"/>
        <v>221</v>
      </c>
      <c r="B223">
        <v>2210</v>
      </c>
      <c r="C223">
        <v>31226</v>
      </c>
      <c r="D223">
        <f t="shared" si="7"/>
        <v>312.26</v>
      </c>
    </row>
    <row r="224" spans="1:4">
      <c r="A224">
        <f t="shared" si="6"/>
        <v>222</v>
      </c>
      <c r="B224">
        <v>2220</v>
      </c>
      <c r="C224">
        <v>31351</v>
      </c>
      <c r="D224">
        <f t="shared" si="7"/>
        <v>313.51</v>
      </c>
    </row>
    <row r="225" spans="1:4">
      <c r="A225">
        <f t="shared" si="6"/>
        <v>223</v>
      </c>
      <c r="B225">
        <v>2230</v>
      </c>
      <c r="C225">
        <v>31477</v>
      </c>
      <c r="D225">
        <f t="shared" si="7"/>
        <v>314.77</v>
      </c>
    </row>
    <row r="226" spans="1:4">
      <c r="A226">
        <f t="shared" si="6"/>
        <v>224</v>
      </c>
      <c r="B226">
        <v>2240</v>
      </c>
      <c r="C226">
        <v>31602</v>
      </c>
      <c r="D226">
        <f t="shared" si="7"/>
        <v>316.02</v>
      </c>
    </row>
    <row r="227" spans="1:4">
      <c r="A227">
        <f t="shared" si="6"/>
        <v>225</v>
      </c>
      <c r="B227">
        <v>2250</v>
      </c>
      <c r="C227">
        <v>31728</v>
      </c>
      <c r="D227">
        <f t="shared" si="7"/>
        <v>317.27999999999997</v>
      </c>
    </row>
    <row r="228" spans="1:4">
      <c r="A228">
        <f t="shared" si="6"/>
        <v>226</v>
      </c>
      <c r="B228">
        <v>2260</v>
      </c>
      <c r="C228">
        <v>31853</v>
      </c>
      <c r="D228">
        <f t="shared" si="7"/>
        <v>318.52999999999997</v>
      </c>
    </row>
    <row r="229" spans="1:4">
      <c r="A229">
        <f t="shared" si="6"/>
        <v>227</v>
      </c>
      <c r="B229">
        <v>2270</v>
      </c>
      <c r="C229">
        <v>31979</v>
      </c>
      <c r="D229">
        <f t="shared" si="7"/>
        <v>319.79000000000002</v>
      </c>
    </row>
    <row r="230" spans="1:4">
      <c r="A230">
        <f t="shared" si="6"/>
        <v>228</v>
      </c>
      <c r="B230">
        <v>2280</v>
      </c>
      <c r="C230">
        <v>32104</v>
      </c>
      <c r="D230">
        <f t="shared" si="7"/>
        <v>321.04000000000002</v>
      </c>
    </row>
    <row r="231" spans="1:4">
      <c r="A231">
        <f t="shared" si="6"/>
        <v>229</v>
      </c>
      <c r="B231">
        <v>2290</v>
      </c>
      <c r="C231">
        <v>32230</v>
      </c>
      <c r="D231">
        <f t="shared" si="7"/>
        <v>322.3</v>
      </c>
    </row>
    <row r="232" spans="1:4">
      <c r="A232">
        <f t="shared" si="6"/>
        <v>230</v>
      </c>
      <c r="B232">
        <v>2300</v>
      </c>
      <c r="C232">
        <v>32355</v>
      </c>
      <c r="D232">
        <f t="shared" si="7"/>
        <v>323.55</v>
      </c>
    </row>
    <row r="233" spans="1:4">
      <c r="A233">
        <f t="shared" si="6"/>
        <v>231</v>
      </c>
      <c r="B233">
        <v>2310</v>
      </c>
      <c r="C233">
        <v>32481</v>
      </c>
      <c r="D233">
        <f t="shared" si="7"/>
        <v>324.81</v>
      </c>
    </row>
    <row r="234" spans="1:4">
      <c r="A234">
        <f t="shared" si="6"/>
        <v>232</v>
      </c>
      <c r="B234">
        <v>2320</v>
      </c>
      <c r="C234">
        <v>32606</v>
      </c>
      <c r="D234">
        <f t="shared" si="7"/>
        <v>326.06</v>
      </c>
    </row>
    <row r="235" spans="1:4">
      <c r="A235">
        <f t="shared" si="6"/>
        <v>233</v>
      </c>
      <c r="B235">
        <v>2330</v>
      </c>
      <c r="C235">
        <v>32732</v>
      </c>
      <c r="D235">
        <f t="shared" si="7"/>
        <v>327.32</v>
      </c>
    </row>
    <row r="236" spans="1:4">
      <c r="A236">
        <f t="shared" si="6"/>
        <v>234</v>
      </c>
      <c r="B236">
        <v>2340</v>
      </c>
      <c r="C236">
        <v>32857</v>
      </c>
      <c r="D236">
        <f t="shared" si="7"/>
        <v>328.57</v>
      </c>
    </row>
    <row r="237" spans="1:4">
      <c r="A237">
        <f t="shared" si="6"/>
        <v>235</v>
      </c>
      <c r="B237">
        <v>2350</v>
      </c>
      <c r="C237">
        <v>32983</v>
      </c>
      <c r="D237">
        <f t="shared" si="7"/>
        <v>329.83</v>
      </c>
    </row>
    <row r="238" spans="1:4">
      <c r="A238">
        <f t="shared" si="6"/>
        <v>236</v>
      </c>
      <c r="B238">
        <v>2360</v>
      </c>
      <c r="C238">
        <v>33108</v>
      </c>
      <c r="D238">
        <f t="shared" si="7"/>
        <v>331.08</v>
      </c>
    </row>
    <row r="239" spans="1:4">
      <c r="A239">
        <f t="shared" si="6"/>
        <v>237</v>
      </c>
      <c r="B239">
        <v>2370</v>
      </c>
      <c r="C239">
        <v>33234</v>
      </c>
      <c r="D239">
        <f t="shared" si="7"/>
        <v>332.34</v>
      </c>
    </row>
    <row r="240" spans="1:4">
      <c r="A240">
        <f t="shared" si="6"/>
        <v>238</v>
      </c>
      <c r="B240">
        <v>2380</v>
      </c>
      <c r="C240">
        <v>33359</v>
      </c>
      <c r="D240">
        <f t="shared" si="7"/>
        <v>333.59</v>
      </c>
    </row>
    <row r="241" spans="1:4">
      <c r="A241">
        <f t="shared" si="6"/>
        <v>239</v>
      </c>
      <c r="B241">
        <v>2390</v>
      </c>
      <c r="C241">
        <v>33485</v>
      </c>
      <c r="D241">
        <f t="shared" si="7"/>
        <v>334.85</v>
      </c>
    </row>
    <row r="242" spans="1:4">
      <c r="A242">
        <f t="shared" si="6"/>
        <v>240</v>
      </c>
      <c r="B242">
        <v>2400</v>
      </c>
      <c r="C242">
        <v>33610</v>
      </c>
      <c r="D242">
        <f t="shared" si="7"/>
        <v>336.1</v>
      </c>
    </row>
    <row r="243" spans="1:4">
      <c r="A243">
        <f t="shared" si="6"/>
        <v>241</v>
      </c>
      <c r="B243">
        <v>2410</v>
      </c>
      <c r="C243">
        <v>33736</v>
      </c>
      <c r="D243">
        <f t="shared" si="7"/>
        <v>337.36</v>
      </c>
    </row>
    <row r="244" spans="1:4">
      <c r="A244">
        <f t="shared" si="6"/>
        <v>242</v>
      </c>
      <c r="B244">
        <v>2420</v>
      </c>
      <c r="C244">
        <v>33861</v>
      </c>
      <c r="D244">
        <f t="shared" si="7"/>
        <v>338.61</v>
      </c>
    </row>
    <row r="245" spans="1:4">
      <c r="A245">
        <f t="shared" si="6"/>
        <v>243</v>
      </c>
      <c r="B245">
        <v>2430</v>
      </c>
      <c r="C245">
        <v>33987</v>
      </c>
      <c r="D245">
        <f t="shared" si="7"/>
        <v>339.87</v>
      </c>
    </row>
    <row r="246" spans="1:4">
      <c r="A246">
        <f t="shared" si="6"/>
        <v>244</v>
      </c>
      <c r="B246">
        <v>2440</v>
      </c>
      <c r="C246">
        <v>34112</v>
      </c>
      <c r="D246">
        <f t="shared" si="7"/>
        <v>341.12</v>
      </c>
    </row>
    <row r="247" spans="1:4">
      <c r="A247">
        <f t="shared" si="6"/>
        <v>245</v>
      </c>
      <c r="B247">
        <v>2450</v>
      </c>
      <c r="C247">
        <v>34238</v>
      </c>
      <c r="D247">
        <f t="shared" si="7"/>
        <v>342.38</v>
      </c>
    </row>
    <row r="248" spans="1:4">
      <c r="A248">
        <f t="shared" si="6"/>
        <v>246</v>
      </c>
      <c r="B248">
        <v>2460</v>
      </c>
      <c r="C248">
        <v>34363</v>
      </c>
      <c r="D248">
        <f t="shared" si="7"/>
        <v>343.63</v>
      </c>
    </row>
    <row r="249" spans="1:4">
      <c r="A249">
        <f t="shared" si="6"/>
        <v>247</v>
      </c>
      <c r="B249">
        <v>2470</v>
      </c>
      <c r="C249">
        <v>34489</v>
      </c>
      <c r="D249">
        <f t="shared" si="7"/>
        <v>344.89</v>
      </c>
    </row>
    <row r="250" spans="1:4">
      <c r="A250">
        <f t="shared" si="6"/>
        <v>248</v>
      </c>
      <c r="B250">
        <v>2480</v>
      </c>
      <c r="C250">
        <v>34614</v>
      </c>
      <c r="D250">
        <f t="shared" si="7"/>
        <v>346.14</v>
      </c>
    </row>
    <row r="251" spans="1:4">
      <c r="A251">
        <f t="shared" si="6"/>
        <v>249</v>
      </c>
      <c r="B251">
        <v>2490</v>
      </c>
      <c r="C251">
        <v>34740</v>
      </c>
      <c r="D251">
        <f t="shared" si="7"/>
        <v>347.4</v>
      </c>
    </row>
    <row r="252" spans="1:4">
      <c r="A252">
        <f t="shared" si="6"/>
        <v>250</v>
      </c>
      <c r="B252">
        <v>2500</v>
      </c>
      <c r="C252">
        <v>34865</v>
      </c>
      <c r="D252">
        <f t="shared" si="7"/>
        <v>348.65</v>
      </c>
    </row>
    <row r="253" spans="1:4">
      <c r="A253">
        <f t="shared" si="6"/>
        <v>251</v>
      </c>
      <c r="B253">
        <v>2510</v>
      </c>
      <c r="C253">
        <v>34991</v>
      </c>
      <c r="D253">
        <f t="shared" si="7"/>
        <v>349.91</v>
      </c>
    </row>
    <row r="254" spans="1:4">
      <c r="A254">
        <f t="shared" si="6"/>
        <v>252</v>
      </c>
      <c r="B254">
        <v>2520</v>
      </c>
      <c r="C254">
        <v>35116</v>
      </c>
      <c r="D254">
        <f t="shared" si="7"/>
        <v>351.16</v>
      </c>
    </row>
    <row r="255" spans="1:4">
      <c r="A255">
        <f t="shared" si="6"/>
        <v>253</v>
      </c>
      <c r="B255">
        <v>2530</v>
      </c>
      <c r="C255">
        <v>35242</v>
      </c>
      <c r="D255">
        <f t="shared" si="7"/>
        <v>352.42</v>
      </c>
    </row>
    <row r="256" spans="1:4">
      <c r="A256">
        <f t="shared" si="6"/>
        <v>254</v>
      </c>
      <c r="B256">
        <v>2540</v>
      </c>
      <c r="C256">
        <v>35367</v>
      </c>
      <c r="D256">
        <f t="shared" si="7"/>
        <v>353.67</v>
      </c>
    </row>
    <row r="257" spans="1:4">
      <c r="A257">
        <f t="shared" si="6"/>
        <v>255</v>
      </c>
      <c r="B257">
        <v>2550</v>
      </c>
      <c r="C257">
        <v>35493</v>
      </c>
      <c r="D257">
        <f t="shared" si="7"/>
        <v>354.93</v>
      </c>
    </row>
    <row r="258" spans="1:4">
      <c r="A258">
        <f t="shared" si="6"/>
        <v>256</v>
      </c>
      <c r="B258">
        <v>2560</v>
      </c>
      <c r="C258">
        <v>35618</v>
      </c>
      <c r="D258">
        <f t="shared" si="7"/>
        <v>356.18</v>
      </c>
    </row>
    <row r="259" spans="1:4">
      <c r="A259">
        <f t="shared" ref="A259:A322" si="8">$B259/10</f>
        <v>257</v>
      </c>
      <c r="B259">
        <v>2570</v>
      </c>
      <c r="C259">
        <v>35744</v>
      </c>
      <c r="D259">
        <f t="shared" ref="D259:D322" si="9">$C259/100</f>
        <v>357.44</v>
      </c>
    </row>
    <row r="260" spans="1:4">
      <c r="A260">
        <f t="shared" si="8"/>
        <v>258</v>
      </c>
      <c r="B260">
        <v>2580</v>
      </c>
      <c r="C260">
        <v>35869</v>
      </c>
      <c r="D260">
        <f t="shared" si="9"/>
        <v>358.69</v>
      </c>
    </row>
    <row r="261" spans="1:4">
      <c r="A261">
        <f t="shared" si="8"/>
        <v>259</v>
      </c>
      <c r="B261">
        <v>2590</v>
      </c>
      <c r="C261">
        <v>35995</v>
      </c>
      <c r="D261">
        <f t="shared" si="9"/>
        <v>359.95</v>
      </c>
    </row>
    <row r="262" spans="1:4">
      <c r="A262">
        <f t="shared" si="8"/>
        <v>260</v>
      </c>
      <c r="B262">
        <v>2600</v>
      </c>
      <c r="C262">
        <v>36120</v>
      </c>
      <c r="D262">
        <f t="shared" si="9"/>
        <v>361.2</v>
      </c>
    </row>
    <row r="263" spans="1:4">
      <c r="A263">
        <f t="shared" si="8"/>
        <v>261</v>
      </c>
      <c r="B263">
        <v>2610</v>
      </c>
      <c r="C263">
        <v>36246</v>
      </c>
      <c r="D263">
        <f t="shared" si="9"/>
        <v>362.46</v>
      </c>
    </row>
    <row r="264" spans="1:4">
      <c r="A264">
        <f t="shared" si="8"/>
        <v>262</v>
      </c>
      <c r="B264">
        <v>2620</v>
      </c>
      <c r="C264">
        <v>36371</v>
      </c>
      <c r="D264">
        <f t="shared" si="9"/>
        <v>363.71</v>
      </c>
    </row>
    <row r="265" spans="1:4">
      <c r="A265">
        <f t="shared" si="8"/>
        <v>263</v>
      </c>
      <c r="B265">
        <v>2630</v>
      </c>
      <c r="C265">
        <v>36497</v>
      </c>
      <c r="D265">
        <f t="shared" si="9"/>
        <v>364.97</v>
      </c>
    </row>
    <row r="266" spans="1:4">
      <c r="A266">
        <f t="shared" si="8"/>
        <v>264</v>
      </c>
      <c r="B266">
        <v>2640</v>
      </c>
      <c r="C266">
        <v>36622</v>
      </c>
      <c r="D266">
        <f t="shared" si="9"/>
        <v>366.22</v>
      </c>
    </row>
    <row r="267" spans="1:4">
      <c r="A267">
        <f t="shared" si="8"/>
        <v>265</v>
      </c>
      <c r="B267">
        <v>2650</v>
      </c>
      <c r="C267">
        <v>36748</v>
      </c>
      <c r="D267">
        <f t="shared" si="9"/>
        <v>367.48</v>
      </c>
    </row>
    <row r="268" spans="1:4">
      <c r="A268">
        <f t="shared" si="8"/>
        <v>266</v>
      </c>
      <c r="B268">
        <v>2660</v>
      </c>
      <c r="C268">
        <v>36873</v>
      </c>
      <c r="D268">
        <f t="shared" si="9"/>
        <v>368.73</v>
      </c>
    </row>
    <row r="269" spans="1:4">
      <c r="A269">
        <f t="shared" si="8"/>
        <v>267</v>
      </c>
      <c r="B269">
        <v>2670</v>
      </c>
      <c r="C269">
        <v>36999</v>
      </c>
      <c r="D269">
        <f t="shared" si="9"/>
        <v>369.99</v>
      </c>
    </row>
    <row r="270" spans="1:4">
      <c r="A270">
        <f t="shared" si="8"/>
        <v>268</v>
      </c>
      <c r="B270">
        <v>2680</v>
      </c>
      <c r="C270">
        <v>37125</v>
      </c>
      <c r="D270">
        <f t="shared" si="9"/>
        <v>371.25</v>
      </c>
    </row>
    <row r="271" spans="1:4">
      <c r="A271">
        <f t="shared" si="8"/>
        <v>269</v>
      </c>
      <c r="B271">
        <v>2690</v>
      </c>
      <c r="C271">
        <v>37250</v>
      </c>
      <c r="D271">
        <f t="shared" si="9"/>
        <v>372.5</v>
      </c>
    </row>
    <row r="272" spans="1:4">
      <c r="A272">
        <f t="shared" si="8"/>
        <v>270</v>
      </c>
      <c r="B272">
        <v>2700</v>
      </c>
      <c r="C272">
        <v>37376</v>
      </c>
      <c r="D272">
        <f t="shared" si="9"/>
        <v>373.76</v>
      </c>
    </row>
    <row r="273" spans="1:4">
      <c r="A273">
        <f t="shared" si="8"/>
        <v>271</v>
      </c>
      <c r="B273">
        <v>2710</v>
      </c>
      <c r="C273">
        <v>37501</v>
      </c>
      <c r="D273">
        <f t="shared" si="9"/>
        <v>375.01</v>
      </c>
    </row>
    <row r="274" spans="1:4">
      <c r="A274">
        <f t="shared" si="8"/>
        <v>272</v>
      </c>
      <c r="B274">
        <v>2720</v>
      </c>
      <c r="C274">
        <v>37627</v>
      </c>
      <c r="D274">
        <f t="shared" si="9"/>
        <v>376.27</v>
      </c>
    </row>
    <row r="275" spans="1:4">
      <c r="A275">
        <f t="shared" si="8"/>
        <v>273</v>
      </c>
      <c r="B275">
        <v>2730</v>
      </c>
      <c r="C275">
        <v>37752</v>
      </c>
      <c r="D275">
        <f t="shared" si="9"/>
        <v>377.52</v>
      </c>
    </row>
    <row r="276" spans="1:4">
      <c r="A276">
        <f t="shared" si="8"/>
        <v>274</v>
      </c>
      <c r="B276">
        <v>2740</v>
      </c>
      <c r="C276">
        <v>37878</v>
      </c>
      <c r="D276">
        <f t="shared" si="9"/>
        <v>378.78</v>
      </c>
    </row>
    <row r="277" spans="1:4">
      <c r="A277">
        <f t="shared" si="8"/>
        <v>275</v>
      </c>
      <c r="B277">
        <v>2750</v>
      </c>
      <c r="C277">
        <v>38003</v>
      </c>
      <c r="D277">
        <f t="shared" si="9"/>
        <v>380.03</v>
      </c>
    </row>
    <row r="278" spans="1:4">
      <c r="A278">
        <f t="shared" si="8"/>
        <v>276</v>
      </c>
      <c r="B278">
        <v>2760</v>
      </c>
      <c r="C278">
        <v>38129</v>
      </c>
      <c r="D278">
        <f t="shared" si="9"/>
        <v>381.29</v>
      </c>
    </row>
    <row r="279" spans="1:4">
      <c r="A279">
        <f t="shared" si="8"/>
        <v>277</v>
      </c>
      <c r="B279">
        <v>2770</v>
      </c>
      <c r="C279">
        <v>38254</v>
      </c>
      <c r="D279">
        <f t="shared" si="9"/>
        <v>382.54</v>
      </c>
    </row>
    <row r="280" spans="1:4">
      <c r="A280">
        <f t="shared" si="8"/>
        <v>278</v>
      </c>
      <c r="B280">
        <v>2780</v>
      </c>
      <c r="C280">
        <v>38380</v>
      </c>
      <c r="D280">
        <f t="shared" si="9"/>
        <v>383.8</v>
      </c>
    </row>
    <row r="281" spans="1:4">
      <c r="A281">
        <f t="shared" si="8"/>
        <v>279</v>
      </c>
      <c r="B281">
        <v>2790</v>
      </c>
      <c r="C281">
        <v>38505</v>
      </c>
      <c r="D281">
        <f t="shared" si="9"/>
        <v>385.05</v>
      </c>
    </row>
    <row r="282" spans="1:4">
      <c r="A282">
        <f t="shared" si="8"/>
        <v>280</v>
      </c>
      <c r="B282">
        <v>2800</v>
      </c>
      <c r="C282">
        <v>38631</v>
      </c>
      <c r="D282">
        <f t="shared" si="9"/>
        <v>386.31</v>
      </c>
    </row>
    <row r="283" spans="1:4">
      <c r="A283">
        <f t="shared" si="8"/>
        <v>281</v>
      </c>
      <c r="B283">
        <v>2810</v>
      </c>
      <c r="C283">
        <v>38756</v>
      </c>
      <c r="D283">
        <f t="shared" si="9"/>
        <v>387.56</v>
      </c>
    </row>
    <row r="284" spans="1:4">
      <c r="A284">
        <f t="shared" si="8"/>
        <v>282</v>
      </c>
      <c r="B284">
        <v>2820</v>
      </c>
      <c r="C284">
        <v>38882</v>
      </c>
      <c r="D284">
        <f t="shared" si="9"/>
        <v>388.82</v>
      </c>
    </row>
    <row r="285" spans="1:4">
      <c r="A285">
        <f t="shared" si="8"/>
        <v>283</v>
      </c>
      <c r="B285">
        <v>2830</v>
      </c>
      <c r="C285">
        <v>39007</v>
      </c>
      <c r="D285">
        <f t="shared" si="9"/>
        <v>390.07</v>
      </c>
    </row>
    <row r="286" spans="1:4">
      <c r="A286">
        <f t="shared" si="8"/>
        <v>284</v>
      </c>
      <c r="B286">
        <v>2840</v>
      </c>
      <c r="C286">
        <v>39133</v>
      </c>
      <c r="D286">
        <f t="shared" si="9"/>
        <v>391.33</v>
      </c>
    </row>
    <row r="287" spans="1:4">
      <c r="A287">
        <f t="shared" si="8"/>
        <v>285</v>
      </c>
      <c r="B287">
        <v>2850</v>
      </c>
      <c r="C287">
        <v>39258</v>
      </c>
      <c r="D287">
        <f t="shared" si="9"/>
        <v>392.58</v>
      </c>
    </row>
    <row r="288" spans="1:4">
      <c r="A288">
        <f t="shared" si="8"/>
        <v>286</v>
      </c>
      <c r="B288">
        <v>2860</v>
      </c>
      <c r="C288">
        <v>39384</v>
      </c>
      <c r="D288">
        <f t="shared" si="9"/>
        <v>393.84</v>
      </c>
    </row>
    <row r="289" spans="1:4">
      <c r="A289">
        <f t="shared" si="8"/>
        <v>287</v>
      </c>
      <c r="B289">
        <v>2870</v>
      </c>
      <c r="C289">
        <v>39509</v>
      </c>
      <c r="D289">
        <f t="shared" si="9"/>
        <v>395.09</v>
      </c>
    </row>
    <row r="290" spans="1:4">
      <c r="A290">
        <f t="shared" si="8"/>
        <v>288</v>
      </c>
      <c r="B290">
        <v>2880</v>
      </c>
      <c r="C290">
        <v>39635</v>
      </c>
      <c r="D290">
        <f t="shared" si="9"/>
        <v>396.35</v>
      </c>
    </row>
    <row r="291" spans="1:4">
      <c r="A291">
        <f t="shared" si="8"/>
        <v>289</v>
      </c>
      <c r="B291">
        <v>2890</v>
      </c>
      <c r="C291">
        <v>39760</v>
      </c>
      <c r="D291">
        <f t="shared" si="9"/>
        <v>397.6</v>
      </c>
    </row>
    <row r="292" spans="1:4">
      <c r="A292">
        <f t="shared" si="8"/>
        <v>290</v>
      </c>
      <c r="B292">
        <v>2900</v>
      </c>
      <c r="C292">
        <v>39886</v>
      </c>
      <c r="D292">
        <f t="shared" si="9"/>
        <v>398.86</v>
      </c>
    </row>
    <row r="293" spans="1:4">
      <c r="A293">
        <f t="shared" si="8"/>
        <v>291</v>
      </c>
      <c r="B293">
        <v>2910</v>
      </c>
      <c r="C293">
        <v>40011</v>
      </c>
      <c r="D293">
        <f t="shared" si="9"/>
        <v>400.11</v>
      </c>
    </row>
    <row r="294" spans="1:4">
      <c r="A294">
        <f t="shared" si="8"/>
        <v>292</v>
      </c>
      <c r="B294">
        <v>2920</v>
      </c>
      <c r="C294">
        <v>40137</v>
      </c>
      <c r="D294">
        <f t="shared" si="9"/>
        <v>401.37</v>
      </c>
    </row>
    <row r="295" spans="1:4">
      <c r="A295">
        <f t="shared" si="8"/>
        <v>293</v>
      </c>
      <c r="B295">
        <v>2930</v>
      </c>
      <c r="C295">
        <v>40262</v>
      </c>
      <c r="D295">
        <f t="shared" si="9"/>
        <v>402.62</v>
      </c>
    </row>
    <row r="296" spans="1:4">
      <c r="A296">
        <f t="shared" si="8"/>
        <v>294</v>
      </c>
      <c r="B296">
        <v>2940</v>
      </c>
      <c r="C296">
        <v>40388</v>
      </c>
      <c r="D296">
        <f t="shared" si="9"/>
        <v>403.88</v>
      </c>
    </row>
    <row r="297" spans="1:4">
      <c r="A297">
        <f t="shared" si="8"/>
        <v>295</v>
      </c>
      <c r="B297">
        <v>2950</v>
      </c>
      <c r="C297">
        <v>40513</v>
      </c>
      <c r="D297">
        <f t="shared" si="9"/>
        <v>405.13</v>
      </c>
    </row>
    <row r="298" spans="1:4">
      <c r="A298">
        <f t="shared" si="8"/>
        <v>296</v>
      </c>
      <c r="B298">
        <v>2960</v>
      </c>
      <c r="C298">
        <v>40639</v>
      </c>
      <c r="D298">
        <f t="shared" si="9"/>
        <v>406.39</v>
      </c>
    </row>
    <row r="299" spans="1:4">
      <c r="A299">
        <f t="shared" si="8"/>
        <v>297</v>
      </c>
      <c r="B299">
        <v>2970</v>
      </c>
      <c r="C299">
        <v>40764</v>
      </c>
      <c r="D299">
        <f t="shared" si="9"/>
        <v>407.64</v>
      </c>
    </row>
    <row r="300" spans="1:4">
      <c r="A300">
        <f t="shared" si="8"/>
        <v>298</v>
      </c>
      <c r="B300">
        <v>2980</v>
      </c>
      <c r="C300">
        <v>40890</v>
      </c>
      <c r="D300">
        <f t="shared" si="9"/>
        <v>408.9</v>
      </c>
    </row>
    <row r="301" spans="1:4">
      <c r="A301">
        <f t="shared" si="8"/>
        <v>299</v>
      </c>
      <c r="B301">
        <v>2990</v>
      </c>
      <c r="C301">
        <v>41015</v>
      </c>
      <c r="D301">
        <f t="shared" si="9"/>
        <v>410.15</v>
      </c>
    </row>
    <row r="302" spans="1:4">
      <c r="A302">
        <f t="shared" si="8"/>
        <v>300</v>
      </c>
      <c r="B302">
        <v>3000</v>
      </c>
      <c r="C302">
        <v>41141</v>
      </c>
      <c r="D302">
        <f t="shared" si="9"/>
        <v>411.41</v>
      </c>
    </row>
    <row r="303" spans="1:4">
      <c r="A303">
        <f t="shared" si="8"/>
        <v>301</v>
      </c>
      <c r="B303">
        <v>3010</v>
      </c>
      <c r="C303">
        <v>41266</v>
      </c>
      <c r="D303">
        <f t="shared" si="9"/>
        <v>412.66</v>
      </c>
    </row>
    <row r="304" spans="1:4">
      <c r="A304">
        <f t="shared" si="8"/>
        <v>302</v>
      </c>
      <c r="B304">
        <v>3020</v>
      </c>
      <c r="C304">
        <v>41392</v>
      </c>
      <c r="D304">
        <f t="shared" si="9"/>
        <v>413.92</v>
      </c>
    </row>
    <row r="305" spans="1:4">
      <c r="A305">
        <f t="shared" si="8"/>
        <v>303</v>
      </c>
      <c r="B305">
        <v>3030</v>
      </c>
      <c r="C305">
        <v>41517</v>
      </c>
      <c r="D305">
        <f t="shared" si="9"/>
        <v>415.17</v>
      </c>
    </row>
    <row r="306" spans="1:4">
      <c r="A306">
        <f t="shared" si="8"/>
        <v>304</v>
      </c>
      <c r="B306">
        <v>3040</v>
      </c>
      <c r="C306">
        <v>41643</v>
      </c>
      <c r="D306">
        <f t="shared" si="9"/>
        <v>416.43</v>
      </c>
    </row>
    <row r="307" spans="1:4">
      <c r="A307">
        <f t="shared" si="8"/>
        <v>305</v>
      </c>
      <c r="B307">
        <v>3050</v>
      </c>
      <c r="C307">
        <v>41768</v>
      </c>
      <c r="D307">
        <f t="shared" si="9"/>
        <v>417.68</v>
      </c>
    </row>
    <row r="308" spans="1:4">
      <c r="A308">
        <f t="shared" si="8"/>
        <v>306</v>
      </c>
      <c r="B308">
        <v>3060</v>
      </c>
      <c r="C308">
        <v>41894</v>
      </c>
      <c r="D308">
        <f t="shared" si="9"/>
        <v>418.94</v>
      </c>
    </row>
    <row r="309" spans="1:4">
      <c r="A309">
        <f t="shared" si="8"/>
        <v>307</v>
      </c>
      <c r="B309">
        <v>3070</v>
      </c>
      <c r="C309">
        <v>42019</v>
      </c>
      <c r="D309">
        <f t="shared" si="9"/>
        <v>420.19</v>
      </c>
    </row>
    <row r="310" spans="1:4">
      <c r="A310">
        <f t="shared" si="8"/>
        <v>308</v>
      </c>
      <c r="B310">
        <v>3080</v>
      </c>
      <c r="C310">
        <v>42145</v>
      </c>
      <c r="D310">
        <f t="shared" si="9"/>
        <v>421.45</v>
      </c>
    </row>
    <row r="311" spans="1:4">
      <c r="A311">
        <f t="shared" si="8"/>
        <v>309</v>
      </c>
      <c r="B311">
        <v>3090</v>
      </c>
      <c r="C311">
        <v>42270</v>
      </c>
      <c r="D311">
        <f t="shared" si="9"/>
        <v>422.7</v>
      </c>
    </row>
    <row r="312" spans="1:4">
      <c r="A312">
        <f t="shared" si="8"/>
        <v>310</v>
      </c>
      <c r="B312">
        <v>3100</v>
      </c>
      <c r="C312">
        <v>42396</v>
      </c>
      <c r="D312">
        <f t="shared" si="9"/>
        <v>423.96</v>
      </c>
    </row>
    <row r="313" spans="1:4">
      <c r="A313">
        <f t="shared" si="8"/>
        <v>311</v>
      </c>
      <c r="B313">
        <v>3110</v>
      </c>
      <c r="C313">
        <v>42521</v>
      </c>
      <c r="D313">
        <f t="shared" si="9"/>
        <v>425.21</v>
      </c>
    </row>
    <row r="314" spans="1:4">
      <c r="A314">
        <f t="shared" si="8"/>
        <v>312</v>
      </c>
      <c r="B314">
        <v>3120</v>
      </c>
      <c r="C314">
        <v>42647</v>
      </c>
      <c r="D314">
        <f t="shared" si="9"/>
        <v>426.47</v>
      </c>
    </row>
    <row r="315" spans="1:4">
      <c r="A315">
        <f t="shared" si="8"/>
        <v>313</v>
      </c>
      <c r="B315">
        <v>3130</v>
      </c>
      <c r="C315">
        <v>42772</v>
      </c>
      <c r="D315">
        <f t="shared" si="9"/>
        <v>427.72</v>
      </c>
    </row>
    <row r="316" spans="1:4">
      <c r="A316">
        <f t="shared" si="8"/>
        <v>314</v>
      </c>
      <c r="B316">
        <v>3140</v>
      </c>
      <c r="C316">
        <v>42898</v>
      </c>
      <c r="D316">
        <f t="shared" si="9"/>
        <v>428.98</v>
      </c>
    </row>
    <row r="317" spans="1:4">
      <c r="A317">
        <f t="shared" si="8"/>
        <v>315</v>
      </c>
      <c r="B317">
        <v>3150</v>
      </c>
      <c r="C317">
        <v>43023</v>
      </c>
      <c r="D317">
        <f t="shared" si="9"/>
        <v>430.23</v>
      </c>
    </row>
    <row r="318" spans="1:4">
      <c r="A318">
        <f t="shared" si="8"/>
        <v>316</v>
      </c>
      <c r="B318">
        <v>3160</v>
      </c>
      <c r="C318">
        <v>43149</v>
      </c>
      <c r="D318">
        <f t="shared" si="9"/>
        <v>431.49</v>
      </c>
    </row>
    <row r="319" spans="1:4">
      <c r="A319">
        <f t="shared" si="8"/>
        <v>317</v>
      </c>
      <c r="B319">
        <v>3170</v>
      </c>
      <c r="C319">
        <v>43275</v>
      </c>
      <c r="D319">
        <f t="shared" si="9"/>
        <v>432.75</v>
      </c>
    </row>
    <row r="320" spans="1:4">
      <c r="A320">
        <f t="shared" si="8"/>
        <v>318</v>
      </c>
      <c r="B320">
        <v>3180</v>
      </c>
      <c r="C320">
        <v>43400</v>
      </c>
      <c r="D320">
        <f t="shared" si="9"/>
        <v>434</v>
      </c>
    </row>
    <row r="321" spans="1:4">
      <c r="A321">
        <f t="shared" si="8"/>
        <v>319</v>
      </c>
      <c r="B321">
        <v>3190</v>
      </c>
      <c r="C321">
        <v>43526</v>
      </c>
      <c r="D321">
        <f t="shared" si="9"/>
        <v>435.26</v>
      </c>
    </row>
    <row r="322" spans="1:4">
      <c r="A322">
        <f t="shared" si="8"/>
        <v>320</v>
      </c>
      <c r="B322">
        <v>3200</v>
      </c>
      <c r="C322">
        <v>43651</v>
      </c>
      <c r="D322">
        <f t="shared" si="9"/>
        <v>436.51</v>
      </c>
    </row>
    <row r="323" spans="1:4">
      <c r="A323">
        <f t="shared" ref="A323:A386" si="10">$B323/10</f>
        <v>321</v>
      </c>
      <c r="B323">
        <v>3210</v>
      </c>
      <c r="C323">
        <v>43777</v>
      </c>
      <c r="D323">
        <f t="shared" ref="D323:D386" si="11">$C323/100</f>
        <v>437.77</v>
      </c>
    </row>
    <row r="324" spans="1:4">
      <c r="A324">
        <f t="shared" si="10"/>
        <v>322</v>
      </c>
      <c r="B324">
        <v>3220</v>
      </c>
      <c r="C324">
        <v>43902</v>
      </c>
      <c r="D324">
        <f t="shared" si="11"/>
        <v>439.02</v>
      </c>
    </row>
    <row r="325" spans="1:4">
      <c r="A325">
        <f t="shared" si="10"/>
        <v>323</v>
      </c>
      <c r="B325">
        <v>3230</v>
      </c>
      <c r="C325">
        <v>44028</v>
      </c>
      <c r="D325">
        <f t="shared" si="11"/>
        <v>440.28</v>
      </c>
    </row>
    <row r="326" spans="1:4">
      <c r="A326">
        <f t="shared" si="10"/>
        <v>324</v>
      </c>
      <c r="B326">
        <v>3240</v>
      </c>
      <c r="C326">
        <v>44153</v>
      </c>
      <c r="D326">
        <f t="shared" si="11"/>
        <v>441.53</v>
      </c>
    </row>
    <row r="327" spans="1:4">
      <c r="A327">
        <f t="shared" si="10"/>
        <v>325</v>
      </c>
      <c r="B327">
        <v>3250</v>
      </c>
      <c r="C327">
        <v>44279</v>
      </c>
      <c r="D327">
        <f t="shared" si="11"/>
        <v>442.79</v>
      </c>
    </row>
    <row r="328" spans="1:4">
      <c r="A328">
        <f t="shared" si="10"/>
        <v>326</v>
      </c>
      <c r="B328">
        <v>3260</v>
      </c>
      <c r="C328">
        <v>44404</v>
      </c>
      <c r="D328">
        <f t="shared" si="11"/>
        <v>444.04</v>
      </c>
    </row>
    <row r="329" spans="1:4">
      <c r="A329">
        <f t="shared" si="10"/>
        <v>327</v>
      </c>
      <c r="B329">
        <v>3270</v>
      </c>
      <c r="C329">
        <v>44530</v>
      </c>
      <c r="D329">
        <f t="shared" si="11"/>
        <v>445.3</v>
      </c>
    </row>
    <row r="330" spans="1:4">
      <c r="A330">
        <f t="shared" si="10"/>
        <v>328</v>
      </c>
      <c r="B330">
        <v>3280</v>
      </c>
      <c r="C330">
        <v>44655</v>
      </c>
      <c r="D330">
        <f t="shared" si="11"/>
        <v>446.55</v>
      </c>
    </row>
    <row r="331" spans="1:4">
      <c r="A331">
        <f t="shared" si="10"/>
        <v>329</v>
      </c>
      <c r="B331">
        <v>3290</v>
      </c>
      <c r="C331">
        <v>44781</v>
      </c>
      <c r="D331">
        <f t="shared" si="11"/>
        <v>447.81</v>
      </c>
    </row>
    <row r="332" spans="1:4">
      <c r="A332">
        <f t="shared" si="10"/>
        <v>330</v>
      </c>
      <c r="B332">
        <v>3300</v>
      </c>
      <c r="C332">
        <v>44906</v>
      </c>
      <c r="D332">
        <f t="shared" si="11"/>
        <v>449.06</v>
      </c>
    </row>
    <row r="333" spans="1:4">
      <c r="A333">
        <f t="shared" si="10"/>
        <v>331</v>
      </c>
      <c r="B333">
        <v>3310</v>
      </c>
      <c r="C333">
        <v>45032</v>
      </c>
      <c r="D333">
        <f t="shared" si="11"/>
        <v>450.32</v>
      </c>
    </row>
    <row r="334" spans="1:4">
      <c r="A334">
        <f t="shared" si="10"/>
        <v>332</v>
      </c>
      <c r="B334">
        <v>3320</v>
      </c>
      <c r="C334">
        <v>45157</v>
      </c>
      <c r="D334">
        <f t="shared" si="11"/>
        <v>451.57</v>
      </c>
    </row>
    <row r="335" spans="1:4">
      <c r="A335">
        <f t="shared" si="10"/>
        <v>333</v>
      </c>
      <c r="B335">
        <v>3330</v>
      </c>
      <c r="C335">
        <v>45283</v>
      </c>
      <c r="D335">
        <f t="shared" si="11"/>
        <v>452.83</v>
      </c>
    </row>
    <row r="336" spans="1:4">
      <c r="A336">
        <f t="shared" si="10"/>
        <v>334</v>
      </c>
      <c r="B336">
        <v>3340</v>
      </c>
      <c r="C336">
        <v>45408</v>
      </c>
      <c r="D336">
        <f t="shared" si="11"/>
        <v>454.08</v>
      </c>
    </row>
    <row r="337" spans="1:4">
      <c r="A337">
        <f t="shared" si="10"/>
        <v>335</v>
      </c>
      <c r="B337">
        <v>3350</v>
      </c>
      <c r="C337">
        <v>45534</v>
      </c>
      <c r="D337">
        <f t="shared" si="11"/>
        <v>455.34</v>
      </c>
    </row>
    <row r="338" spans="1:4">
      <c r="A338">
        <f t="shared" si="10"/>
        <v>336</v>
      </c>
      <c r="B338">
        <v>3360</v>
      </c>
      <c r="C338">
        <v>45659</v>
      </c>
      <c r="D338">
        <f t="shared" si="11"/>
        <v>456.59</v>
      </c>
    </row>
    <row r="339" spans="1:4">
      <c r="A339">
        <f t="shared" si="10"/>
        <v>337</v>
      </c>
      <c r="B339">
        <v>3370</v>
      </c>
      <c r="C339">
        <v>45785</v>
      </c>
      <c r="D339">
        <f t="shared" si="11"/>
        <v>457.85</v>
      </c>
    </row>
    <row r="340" spans="1:4">
      <c r="A340">
        <f t="shared" si="10"/>
        <v>338</v>
      </c>
      <c r="B340">
        <v>3380</v>
      </c>
      <c r="C340">
        <v>45910</v>
      </c>
      <c r="D340">
        <f t="shared" si="11"/>
        <v>459.1</v>
      </c>
    </row>
    <row r="341" spans="1:4">
      <c r="A341">
        <f t="shared" si="10"/>
        <v>339</v>
      </c>
      <c r="B341">
        <v>3390</v>
      </c>
      <c r="C341">
        <v>46036</v>
      </c>
      <c r="D341">
        <f t="shared" si="11"/>
        <v>460.36</v>
      </c>
    </row>
    <row r="342" spans="1:4">
      <c r="A342">
        <f t="shared" si="10"/>
        <v>340</v>
      </c>
      <c r="B342">
        <v>3400</v>
      </c>
      <c r="C342">
        <v>46161</v>
      </c>
      <c r="D342">
        <f t="shared" si="11"/>
        <v>461.61</v>
      </c>
    </row>
    <row r="343" spans="1:4">
      <c r="A343">
        <f t="shared" si="10"/>
        <v>341</v>
      </c>
      <c r="B343">
        <v>3410</v>
      </c>
      <c r="C343">
        <v>46287</v>
      </c>
      <c r="D343">
        <f t="shared" si="11"/>
        <v>462.87</v>
      </c>
    </row>
    <row r="344" spans="1:4">
      <c r="A344">
        <f t="shared" si="10"/>
        <v>342</v>
      </c>
      <c r="B344">
        <v>3420</v>
      </c>
      <c r="C344">
        <v>46412</v>
      </c>
      <c r="D344">
        <f t="shared" si="11"/>
        <v>464.12</v>
      </c>
    </row>
    <row r="345" spans="1:4">
      <c r="A345">
        <f t="shared" si="10"/>
        <v>343</v>
      </c>
      <c r="B345">
        <v>3430</v>
      </c>
      <c r="C345">
        <v>46538</v>
      </c>
      <c r="D345">
        <f t="shared" si="11"/>
        <v>465.38</v>
      </c>
    </row>
    <row r="346" spans="1:4">
      <c r="A346">
        <f t="shared" si="10"/>
        <v>344</v>
      </c>
      <c r="B346">
        <v>3440</v>
      </c>
      <c r="C346">
        <v>46663</v>
      </c>
      <c r="D346">
        <f t="shared" si="11"/>
        <v>466.63</v>
      </c>
    </row>
    <row r="347" spans="1:4">
      <c r="A347">
        <f t="shared" si="10"/>
        <v>345</v>
      </c>
      <c r="B347">
        <v>3450</v>
      </c>
      <c r="C347">
        <v>46789</v>
      </c>
      <c r="D347">
        <f t="shared" si="11"/>
        <v>467.89</v>
      </c>
    </row>
    <row r="348" spans="1:4">
      <c r="A348">
        <f t="shared" si="10"/>
        <v>346</v>
      </c>
      <c r="B348">
        <v>3460</v>
      </c>
      <c r="C348">
        <v>46914</v>
      </c>
      <c r="D348">
        <f t="shared" si="11"/>
        <v>469.14</v>
      </c>
    </row>
    <row r="349" spans="1:4">
      <c r="A349">
        <f t="shared" si="10"/>
        <v>347</v>
      </c>
      <c r="B349">
        <v>3470</v>
      </c>
      <c r="C349">
        <v>47040</v>
      </c>
      <c r="D349">
        <f t="shared" si="11"/>
        <v>470.4</v>
      </c>
    </row>
    <row r="350" spans="1:4">
      <c r="A350">
        <f t="shared" si="10"/>
        <v>348</v>
      </c>
      <c r="B350">
        <v>3480</v>
      </c>
      <c r="C350">
        <v>47165</v>
      </c>
      <c r="D350">
        <f t="shared" si="11"/>
        <v>471.65</v>
      </c>
    </row>
    <row r="351" spans="1:4">
      <c r="A351">
        <f t="shared" si="10"/>
        <v>349</v>
      </c>
      <c r="B351">
        <v>3490</v>
      </c>
      <c r="C351">
        <v>47291</v>
      </c>
      <c r="D351">
        <f t="shared" si="11"/>
        <v>472.91</v>
      </c>
    </row>
    <row r="352" spans="1:4">
      <c r="A352">
        <f t="shared" si="10"/>
        <v>350</v>
      </c>
      <c r="B352">
        <v>3500</v>
      </c>
      <c r="C352">
        <v>47416</v>
      </c>
      <c r="D352">
        <f t="shared" si="11"/>
        <v>474.16</v>
      </c>
    </row>
    <row r="353" spans="1:4">
      <c r="A353">
        <f t="shared" si="10"/>
        <v>351</v>
      </c>
      <c r="B353">
        <v>3510</v>
      </c>
      <c r="C353">
        <v>47542</v>
      </c>
      <c r="D353">
        <f t="shared" si="11"/>
        <v>475.42</v>
      </c>
    </row>
    <row r="354" spans="1:4">
      <c r="A354">
        <f t="shared" si="10"/>
        <v>352</v>
      </c>
      <c r="B354">
        <v>3520</v>
      </c>
      <c r="C354">
        <v>47667</v>
      </c>
      <c r="D354">
        <f t="shared" si="11"/>
        <v>476.67</v>
      </c>
    </row>
    <row r="355" spans="1:4">
      <c r="A355">
        <f t="shared" si="10"/>
        <v>353</v>
      </c>
      <c r="B355">
        <v>3530</v>
      </c>
      <c r="C355">
        <v>47793</v>
      </c>
      <c r="D355">
        <f t="shared" si="11"/>
        <v>477.93</v>
      </c>
    </row>
    <row r="356" spans="1:4">
      <c r="A356">
        <f t="shared" si="10"/>
        <v>354</v>
      </c>
      <c r="B356">
        <v>3540</v>
      </c>
      <c r="C356">
        <v>47918</v>
      </c>
      <c r="D356">
        <f t="shared" si="11"/>
        <v>479.18</v>
      </c>
    </row>
    <row r="357" spans="1:4">
      <c r="A357">
        <f t="shared" si="10"/>
        <v>355</v>
      </c>
      <c r="B357">
        <v>3550</v>
      </c>
      <c r="C357">
        <v>48044</v>
      </c>
      <c r="D357">
        <f t="shared" si="11"/>
        <v>480.44</v>
      </c>
    </row>
    <row r="358" spans="1:4">
      <c r="A358">
        <f t="shared" si="10"/>
        <v>356</v>
      </c>
      <c r="B358">
        <v>3560</v>
      </c>
      <c r="C358">
        <v>48169</v>
      </c>
      <c r="D358">
        <f t="shared" si="11"/>
        <v>481.69</v>
      </c>
    </row>
    <row r="359" spans="1:4">
      <c r="A359">
        <f t="shared" si="10"/>
        <v>357</v>
      </c>
      <c r="B359">
        <v>3570</v>
      </c>
      <c r="C359">
        <v>48295</v>
      </c>
      <c r="D359">
        <f t="shared" si="11"/>
        <v>482.95</v>
      </c>
    </row>
    <row r="360" spans="1:4">
      <c r="A360">
        <f t="shared" si="10"/>
        <v>358</v>
      </c>
      <c r="B360">
        <v>3580</v>
      </c>
      <c r="C360">
        <v>48420</v>
      </c>
      <c r="D360">
        <f t="shared" si="11"/>
        <v>484.2</v>
      </c>
    </row>
    <row r="361" spans="1:4">
      <c r="A361">
        <f t="shared" si="10"/>
        <v>359</v>
      </c>
      <c r="B361">
        <v>3590</v>
      </c>
      <c r="C361">
        <v>48546</v>
      </c>
      <c r="D361">
        <f t="shared" si="11"/>
        <v>485.46</v>
      </c>
    </row>
    <row r="362" spans="1:4">
      <c r="A362">
        <f t="shared" si="10"/>
        <v>360</v>
      </c>
      <c r="B362">
        <v>3600</v>
      </c>
      <c r="C362">
        <v>48671</v>
      </c>
      <c r="D362">
        <f t="shared" si="11"/>
        <v>486.71</v>
      </c>
    </row>
    <row r="363" spans="1:4">
      <c r="A363">
        <f t="shared" si="10"/>
        <v>361</v>
      </c>
      <c r="B363">
        <v>3610</v>
      </c>
      <c r="C363">
        <v>48797</v>
      </c>
      <c r="D363">
        <f t="shared" si="11"/>
        <v>487.97</v>
      </c>
    </row>
    <row r="364" spans="1:4">
      <c r="A364">
        <f t="shared" si="10"/>
        <v>362</v>
      </c>
      <c r="B364">
        <v>3620</v>
      </c>
      <c r="C364">
        <v>48922</v>
      </c>
      <c r="D364">
        <f t="shared" si="11"/>
        <v>489.22</v>
      </c>
    </row>
    <row r="365" spans="1:4">
      <c r="A365">
        <f t="shared" si="10"/>
        <v>363</v>
      </c>
      <c r="B365">
        <v>3630</v>
      </c>
      <c r="C365">
        <v>49048</v>
      </c>
      <c r="D365">
        <f t="shared" si="11"/>
        <v>490.48</v>
      </c>
    </row>
    <row r="366" spans="1:4">
      <c r="A366">
        <f t="shared" si="10"/>
        <v>364</v>
      </c>
      <c r="B366">
        <v>3640</v>
      </c>
      <c r="C366">
        <v>49173</v>
      </c>
      <c r="D366">
        <f t="shared" si="11"/>
        <v>491.73</v>
      </c>
    </row>
    <row r="367" spans="1:4">
      <c r="A367">
        <f t="shared" si="10"/>
        <v>365</v>
      </c>
      <c r="B367">
        <v>3650</v>
      </c>
      <c r="C367">
        <v>49299</v>
      </c>
      <c r="D367">
        <f t="shared" si="11"/>
        <v>492.99</v>
      </c>
    </row>
    <row r="368" spans="1:4">
      <c r="A368">
        <f t="shared" si="10"/>
        <v>366</v>
      </c>
      <c r="B368">
        <v>3660</v>
      </c>
      <c r="C368">
        <v>49424</v>
      </c>
      <c r="D368">
        <f t="shared" si="11"/>
        <v>494.24</v>
      </c>
    </row>
    <row r="369" spans="1:4">
      <c r="A369">
        <f t="shared" si="10"/>
        <v>367</v>
      </c>
      <c r="B369">
        <v>3670</v>
      </c>
      <c r="C369">
        <v>49550</v>
      </c>
      <c r="D369">
        <f t="shared" si="11"/>
        <v>495.5</v>
      </c>
    </row>
    <row r="370" spans="1:4">
      <c r="A370">
        <f t="shared" si="10"/>
        <v>368</v>
      </c>
      <c r="B370">
        <v>3680</v>
      </c>
      <c r="C370">
        <v>49676</v>
      </c>
      <c r="D370">
        <f t="shared" si="11"/>
        <v>496.76</v>
      </c>
    </row>
    <row r="371" spans="1:4">
      <c r="A371">
        <f t="shared" si="10"/>
        <v>369</v>
      </c>
      <c r="B371">
        <v>3690</v>
      </c>
      <c r="C371">
        <v>49801</v>
      </c>
      <c r="D371">
        <f t="shared" si="11"/>
        <v>498.01</v>
      </c>
    </row>
    <row r="372" spans="1:4">
      <c r="A372">
        <f t="shared" si="10"/>
        <v>370</v>
      </c>
      <c r="B372">
        <v>3700</v>
      </c>
      <c r="C372">
        <v>49927</v>
      </c>
      <c r="D372">
        <f t="shared" si="11"/>
        <v>499.27</v>
      </c>
    </row>
    <row r="373" spans="1:4">
      <c r="A373">
        <f t="shared" si="10"/>
        <v>371</v>
      </c>
      <c r="B373">
        <v>3710</v>
      </c>
      <c r="C373">
        <v>50052</v>
      </c>
      <c r="D373">
        <f t="shared" si="11"/>
        <v>500.52</v>
      </c>
    </row>
    <row r="374" spans="1:4">
      <c r="A374">
        <f t="shared" si="10"/>
        <v>372</v>
      </c>
      <c r="B374">
        <v>3720</v>
      </c>
      <c r="C374">
        <v>50178</v>
      </c>
      <c r="D374">
        <f t="shared" si="11"/>
        <v>501.78</v>
      </c>
    </row>
    <row r="375" spans="1:4">
      <c r="A375">
        <f t="shared" si="10"/>
        <v>373</v>
      </c>
      <c r="B375">
        <v>3730</v>
      </c>
      <c r="C375">
        <v>50303</v>
      </c>
      <c r="D375">
        <f t="shared" si="11"/>
        <v>503.03</v>
      </c>
    </row>
    <row r="376" spans="1:4">
      <c r="A376">
        <f t="shared" si="10"/>
        <v>374</v>
      </c>
      <c r="B376">
        <v>3740</v>
      </c>
      <c r="C376">
        <v>50429</v>
      </c>
      <c r="D376">
        <f t="shared" si="11"/>
        <v>504.29</v>
      </c>
    </row>
    <row r="377" spans="1:4">
      <c r="A377">
        <f t="shared" si="10"/>
        <v>375</v>
      </c>
      <c r="B377">
        <v>3750</v>
      </c>
      <c r="C377">
        <v>50554</v>
      </c>
      <c r="D377">
        <f t="shared" si="11"/>
        <v>505.54</v>
      </c>
    </row>
    <row r="378" spans="1:4">
      <c r="A378">
        <f t="shared" si="10"/>
        <v>376</v>
      </c>
      <c r="B378">
        <v>3760</v>
      </c>
      <c r="C378">
        <v>50680</v>
      </c>
      <c r="D378">
        <f t="shared" si="11"/>
        <v>506.8</v>
      </c>
    </row>
    <row r="379" spans="1:4">
      <c r="A379">
        <f t="shared" si="10"/>
        <v>377</v>
      </c>
      <c r="B379">
        <v>3770</v>
      </c>
      <c r="C379">
        <v>50805</v>
      </c>
      <c r="D379">
        <f t="shared" si="11"/>
        <v>508.05</v>
      </c>
    </row>
    <row r="380" spans="1:4">
      <c r="A380">
        <f t="shared" si="10"/>
        <v>378</v>
      </c>
      <c r="B380">
        <v>3780</v>
      </c>
      <c r="C380">
        <v>50931</v>
      </c>
      <c r="D380">
        <f t="shared" si="11"/>
        <v>509.31</v>
      </c>
    </row>
    <row r="381" spans="1:4">
      <c r="A381">
        <f t="shared" si="10"/>
        <v>379</v>
      </c>
      <c r="B381">
        <v>3790</v>
      </c>
      <c r="C381">
        <v>51056</v>
      </c>
      <c r="D381">
        <f t="shared" si="11"/>
        <v>510.56</v>
      </c>
    </row>
    <row r="382" spans="1:4">
      <c r="A382">
        <f t="shared" si="10"/>
        <v>380</v>
      </c>
      <c r="B382">
        <v>3800</v>
      </c>
      <c r="C382">
        <v>51182</v>
      </c>
      <c r="D382">
        <f t="shared" si="11"/>
        <v>511.82</v>
      </c>
    </row>
    <row r="383" spans="1:4">
      <c r="A383">
        <f t="shared" si="10"/>
        <v>381</v>
      </c>
      <c r="B383">
        <v>3810</v>
      </c>
      <c r="C383">
        <v>51307</v>
      </c>
      <c r="D383">
        <f t="shared" si="11"/>
        <v>513.07000000000005</v>
      </c>
    </row>
    <row r="384" spans="1:4">
      <c r="A384">
        <f t="shared" si="10"/>
        <v>382</v>
      </c>
      <c r="B384">
        <v>3820</v>
      </c>
      <c r="C384">
        <v>51433</v>
      </c>
      <c r="D384">
        <f t="shared" si="11"/>
        <v>514.33000000000004</v>
      </c>
    </row>
    <row r="385" spans="1:4">
      <c r="A385">
        <f t="shared" si="10"/>
        <v>383</v>
      </c>
      <c r="B385">
        <v>3830</v>
      </c>
      <c r="C385">
        <v>51558</v>
      </c>
      <c r="D385">
        <f t="shared" si="11"/>
        <v>515.58000000000004</v>
      </c>
    </row>
    <row r="386" spans="1:4">
      <c r="A386">
        <f t="shared" si="10"/>
        <v>384</v>
      </c>
      <c r="B386">
        <v>3840</v>
      </c>
      <c r="C386">
        <v>51684</v>
      </c>
      <c r="D386">
        <f t="shared" si="11"/>
        <v>516.84</v>
      </c>
    </row>
    <row r="387" spans="1:4">
      <c r="A387">
        <f t="shared" ref="A387:A450" si="12">$B387/10</f>
        <v>385</v>
      </c>
      <c r="B387">
        <v>3850</v>
      </c>
      <c r="C387">
        <v>51809</v>
      </c>
      <c r="D387">
        <f t="shared" ref="D387:D450" si="13">$C387/100</f>
        <v>518.09</v>
      </c>
    </row>
    <row r="388" spans="1:4">
      <c r="A388">
        <f t="shared" si="12"/>
        <v>386</v>
      </c>
      <c r="B388">
        <v>3860</v>
      </c>
      <c r="C388">
        <v>51935</v>
      </c>
      <c r="D388">
        <f t="shared" si="13"/>
        <v>519.35</v>
      </c>
    </row>
    <row r="389" spans="1:4">
      <c r="A389">
        <f t="shared" si="12"/>
        <v>387</v>
      </c>
      <c r="B389">
        <v>3870</v>
      </c>
      <c r="C389">
        <v>52060</v>
      </c>
      <c r="D389">
        <f t="shared" si="13"/>
        <v>520.6</v>
      </c>
    </row>
    <row r="390" spans="1:4">
      <c r="A390">
        <f t="shared" si="12"/>
        <v>388</v>
      </c>
      <c r="B390">
        <v>3880</v>
      </c>
      <c r="C390">
        <v>52186</v>
      </c>
      <c r="D390">
        <f t="shared" si="13"/>
        <v>521.86</v>
      </c>
    </row>
    <row r="391" spans="1:4">
      <c r="A391">
        <f t="shared" si="12"/>
        <v>389</v>
      </c>
      <c r="B391">
        <v>3890</v>
      </c>
      <c r="C391">
        <v>52311</v>
      </c>
      <c r="D391">
        <f t="shared" si="13"/>
        <v>523.11</v>
      </c>
    </row>
    <row r="392" spans="1:4">
      <c r="A392">
        <f t="shared" si="12"/>
        <v>390</v>
      </c>
      <c r="B392">
        <v>3900</v>
      </c>
      <c r="C392">
        <v>52437</v>
      </c>
      <c r="D392">
        <f t="shared" si="13"/>
        <v>524.37</v>
      </c>
    </row>
    <row r="393" spans="1:4">
      <c r="A393">
        <f t="shared" si="12"/>
        <v>391</v>
      </c>
      <c r="B393">
        <v>3910</v>
      </c>
      <c r="C393">
        <v>52562</v>
      </c>
      <c r="D393">
        <f t="shared" si="13"/>
        <v>525.62</v>
      </c>
    </row>
    <row r="394" spans="1:4">
      <c r="A394">
        <f t="shared" si="12"/>
        <v>392</v>
      </c>
      <c r="B394">
        <v>3920</v>
      </c>
      <c r="C394">
        <v>52688</v>
      </c>
      <c r="D394">
        <f t="shared" si="13"/>
        <v>526.88</v>
      </c>
    </row>
    <row r="395" spans="1:4">
      <c r="A395">
        <f t="shared" si="12"/>
        <v>393</v>
      </c>
      <c r="B395">
        <v>3930</v>
      </c>
      <c r="C395">
        <v>52813</v>
      </c>
      <c r="D395">
        <f t="shared" si="13"/>
        <v>528.13</v>
      </c>
    </row>
    <row r="396" spans="1:4">
      <c r="A396">
        <f t="shared" si="12"/>
        <v>394</v>
      </c>
      <c r="B396">
        <v>3940</v>
      </c>
      <c r="C396">
        <v>52939</v>
      </c>
      <c r="D396">
        <f t="shared" si="13"/>
        <v>529.39</v>
      </c>
    </row>
    <row r="397" spans="1:4">
      <c r="A397">
        <f t="shared" si="12"/>
        <v>395</v>
      </c>
      <c r="B397">
        <v>3950</v>
      </c>
      <c r="C397">
        <v>53064</v>
      </c>
      <c r="D397">
        <f t="shared" si="13"/>
        <v>530.64</v>
      </c>
    </row>
    <row r="398" spans="1:4">
      <c r="A398">
        <f t="shared" si="12"/>
        <v>396</v>
      </c>
      <c r="B398">
        <v>3960</v>
      </c>
      <c r="C398">
        <v>53190</v>
      </c>
      <c r="D398">
        <f t="shared" si="13"/>
        <v>531.9</v>
      </c>
    </row>
    <row r="399" spans="1:4">
      <c r="A399">
        <f t="shared" si="12"/>
        <v>397</v>
      </c>
      <c r="B399">
        <v>3970</v>
      </c>
      <c r="C399">
        <v>53315</v>
      </c>
      <c r="D399">
        <f t="shared" si="13"/>
        <v>533.15</v>
      </c>
    </row>
    <row r="400" spans="1:4">
      <c r="A400">
        <f t="shared" si="12"/>
        <v>398</v>
      </c>
      <c r="B400">
        <v>3980</v>
      </c>
      <c r="C400">
        <v>53441</v>
      </c>
      <c r="D400">
        <f t="shared" si="13"/>
        <v>534.41</v>
      </c>
    </row>
    <row r="401" spans="1:4">
      <c r="A401">
        <f t="shared" si="12"/>
        <v>399</v>
      </c>
      <c r="B401">
        <v>3990</v>
      </c>
      <c r="C401">
        <v>53566</v>
      </c>
      <c r="D401">
        <f t="shared" si="13"/>
        <v>535.66</v>
      </c>
    </row>
    <row r="402" spans="1:4">
      <c r="A402">
        <f t="shared" si="12"/>
        <v>400</v>
      </c>
      <c r="B402">
        <v>4000</v>
      </c>
      <c r="C402">
        <v>53692</v>
      </c>
      <c r="D402">
        <f t="shared" si="13"/>
        <v>536.91999999999996</v>
      </c>
    </row>
    <row r="403" spans="1:4">
      <c r="A403">
        <f t="shared" si="12"/>
        <v>401</v>
      </c>
      <c r="B403">
        <v>4010</v>
      </c>
      <c r="C403">
        <v>53817</v>
      </c>
      <c r="D403">
        <f t="shared" si="13"/>
        <v>538.16999999999996</v>
      </c>
    </row>
    <row r="404" spans="1:4">
      <c r="A404">
        <f t="shared" si="12"/>
        <v>402</v>
      </c>
      <c r="B404">
        <v>4020</v>
      </c>
      <c r="C404">
        <v>53943</v>
      </c>
      <c r="D404">
        <f t="shared" si="13"/>
        <v>539.42999999999995</v>
      </c>
    </row>
    <row r="405" spans="1:4">
      <c r="A405">
        <f t="shared" si="12"/>
        <v>403</v>
      </c>
      <c r="B405">
        <v>4030</v>
      </c>
      <c r="C405">
        <v>54068</v>
      </c>
      <c r="D405">
        <f t="shared" si="13"/>
        <v>540.67999999999995</v>
      </c>
    </row>
    <row r="406" spans="1:4">
      <c r="A406">
        <f t="shared" si="12"/>
        <v>404</v>
      </c>
      <c r="B406">
        <v>4040</v>
      </c>
      <c r="C406">
        <v>54194</v>
      </c>
      <c r="D406">
        <f t="shared" si="13"/>
        <v>541.94000000000005</v>
      </c>
    </row>
    <row r="407" spans="1:4">
      <c r="A407">
        <f t="shared" si="12"/>
        <v>405</v>
      </c>
      <c r="B407">
        <v>4050</v>
      </c>
      <c r="C407">
        <v>54319</v>
      </c>
      <c r="D407">
        <f t="shared" si="13"/>
        <v>543.19000000000005</v>
      </c>
    </row>
    <row r="408" spans="1:4">
      <c r="A408">
        <f t="shared" si="12"/>
        <v>406</v>
      </c>
      <c r="B408">
        <v>4060</v>
      </c>
      <c r="C408">
        <v>54445</v>
      </c>
      <c r="D408">
        <f t="shared" si="13"/>
        <v>544.45000000000005</v>
      </c>
    </row>
    <row r="409" spans="1:4">
      <c r="A409">
        <f t="shared" si="12"/>
        <v>407</v>
      </c>
      <c r="B409">
        <v>4070</v>
      </c>
      <c r="C409">
        <v>54570</v>
      </c>
      <c r="D409">
        <f t="shared" si="13"/>
        <v>545.70000000000005</v>
      </c>
    </row>
    <row r="410" spans="1:4">
      <c r="A410">
        <f t="shared" si="12"/>
        <v>408</v>
      </c>
      <c r="B410">
        <v>4080</v>
      </c>
      <c r="C410">
        <v>54696</v>
      </c>
      <c r="D410">
        <f t="shared" si="13"/>
        <v>546.96</v>
      </c>
    </row>
    <row r="411" spans="1:4">
      <c r="A411">
        <f t="shared" si="12"/>
        <v>409</v>
      </c>
      <c r="B411">
        <v>4090</v>
      </c>
      <c r="C411">
        <v>54821</v>
      </c>
      <c r="D411">
        <f t="shared" si="13"/>
        <v>548.21</v>
      </c>
    </row>
    <row r="412" spans="1:4">
      <c r="A412">
        <f t="shared" si="12"/>
        <v>410</v>
      </c>
      <c r="B412">
        <v>4100</v>
      </c>
      <c r="C412">
        <v>54947</v>
      </c>
      <c r="D412">
        <f t="shared" si="13"/>
        <v>549.47</v>
      </c>
    </row>
    <row r="413" spans="1:4">
      <c r="A413">
        <f t="shared" si="12"/>
        <v>411</v>
      </c>
      <c r="B413">
        <v>4110</v>
      </c>
      <c r="C413">
        <v>55072</v>
      </c>
      <c r="D413">
        <f t="shared" si="13"/>
        <v>550.72</v>
      </c>
    </row>
    <row r="414" spans="1:4">
      <c r="A414">
        <f t="shared" si="12"/>
        <v>412</v>
      </c>
      <c r="B414">
        <v>4120</v>
      </c>
      <c r="C414">
        <v>55198</v>
      </c>
      <c r="D414">
        <f t="shared" si="13"/>
        <v>551.98</v>
      </c>
    </row>
    <row r="415" spans="1:4">
      <c r="A415">
        <f t="shared" si="12"/>
        <v>413</v>
      </c>
      <c r="B415">
        <v>4130</v>
      </c>
      <c r="C415">
        <v>55323</v>
      </c>
      <c r="D415">
        <f t="shared" si="13"/>
        <v>553.23</v>
      </c>
    </row>
    <row r="416" spans="1:4">
      <c r="A416">
        <f t="shared" si="12"/>
        <v>414</v>
      </c>
      <c r="B416">
        <v>4140</v>
      </c>
      <c r="C416">
        <v>55449</v>
      </c>
      <c r="D416">
        <f t="shared" si="13"/>
        <v>554.49</v>
      </c>
    </row>
    <row r="417" spans="1:7">
      <c r="A417">
        <f t="shared" si="12"/>
        <v>415</v>
      </c>
      <c r="B417">
        <v>4150</v>
      </c>
      <c r="C417">
        <v>55574</v>
      </c>
      <c r="D417">
        <f t="shared" si="13"/>
        <v>555.74</v>
      </c>
    </row>
    <row r="418" spans="1:7">
      <c r="A418">
        <f t="shared" si="12"/>
        <v>416</v>
      </c>
      <c r="B418">
        <v>4160</v>
      </c>
      <c r="C418">
        <v>55700</v>
      </c>
      <c r="D418">
        <f t="shared" si="13"/>
        <v>557</v>
      </c>
    </row>
    <row r="419" spans="1:7">
      <c r="A419">
        <f t="shared" si="12"/>
        <v>417</v>
      </c>
      <c r="B419">
        <v>4170</v>
      </c>
      <c r="C419">
        <v>55826</v>
      </c>
      <c r="D419">
        <f t="shared" si="13"/>
        <v>558.26</v>
      </c>
    </row>
    <row r="420" spans="1:7">
      <c r="A420">
        <f t="shared" si="12"/>
        <v>418</v>
      </c>
      <c r="B420">
        <v>4180</v>
      </c>
      <c r="C420">
        <v>55951</v>
      </c>
      <c r="D420">
        <f t="shared" si="13"/>
        <v>559.51</v>
      </c>
    </row>
    <row r="421" spans="1:7">
      <c r="A421">
        <f t="shared" si="12"/>
        <v>419</v>
      </c>
      <c r="B421">
        <v>4190</v>
      </c>
      <c r="C421">
        <v>56077</v>
      </c>
      <c r="D421">
        <f t="shared" si="13"/>
        <v>560.77</v>
      </c>
    </row>
    <row r="422" spans="1:7">
      <c r="A422">
        <f t="shared" si="12"/>
        <v>420</v>
      </c>
      <c r="B422">
        <v>4200</v>
      </c>
      <c r="C422">
        <v>56202</v>
      </c>
      <c r="D422">
        <f t="shared" si="13"/>
        <v>562.02</v>
      </c>
    </row>
    <row r="423" spans="1:7">
      <c r="A423">
        <f t="shared" si="12"/>
        <v>421</v>
      </c>
      <c r="B423">
        <v>4210</v>
      </c>
      <c r="C423">
        <v>56328</v>
      </c>
      <c r="D423">
        <f t="shared" si="13"/>
        <v>563.28</v>
      </c>
    </row>
    <row r="424" spans="1:7">
      <c r="A424">
        <f t="shared" si="12"/>
        <v>422</v>
      </c>
      <c r="B424">
        <v>4220</v>
      </c>
      <c r="C424">
        <v>56453</v>
      </c>
      <c r="D424">
        <f t="shared" si="13"/>
        <v>564.53</v>
      </c>
    </row>
    <row r="425" spans="1:7">
      <c r="A425">
        <f t="shared" si="12"/>
        <v>423</v>
      </c>
      <c r="B425">
        <v>4230</v>
      </c>
      <c r="C425">
        <v>56579</v>
      </c>
      <c r="D425">
        <f t="shared" si="13"/>
        <v>565.79</v>
      </c>
      <c r="F425">
        <v>5190</v>
      </c>
      <c r="G425">
        <v>63260</v>
      </c>
    </row>
    <row r="426" spans="1:7">
      <c r="A426">
        <f t="shared" si="12"/>
        <v>424</v>
      </c>
      <c r="B426">
        <v>4240</v>
      </c>
      <c r="C426">
        <v>56704</v>
      </c>
      <c r="D426">
        <f t="shared" si="13"/>
        <v>567.04</v>
      </c>
      <c r="F426">
        <v>5200</v>
      </c>
      <c r="G426">
        <v>63262</v>
      </c>
    </row>
    <row r="427" spans="1:7">
      <c r="A427">
        <f t="shared" si="12"/>
        <v>425</v>
      </c>
      <c r="B427">
        <v>4250</v>
      </c>
      <c r="C427">
        <v>56830</v>
      </c>
      <c r="D427">
        <f t="shared" si="13"/>
        <v>568.29999999999995</v>
      </c>
      <c r="F427">
        <v>5210</v>
      </c>
      <c r="G427">
        <v>63264</v>
      </c>
    </row>
    <row r="428" spans="1:7">
      <c r="A428">
        <f t="shared" si="12"/>
        <v>426</v>
      </c>
      <c r="B428">
        <v>4260</v>
      </c>
      <c r="C428">
        <v>56955</v>
      </c>
      <c r="D428">
        <f t="shared" si="13"/>
        <v>569.54999999999995</v>
      </c>
      <c r="F428">
        <v>5220</v>
      </c>
      <c r="G428">
        <v>63266</v>
      </c>
    </row>
    <row r="429" spans="1:7">
      <c r="A429">
        <f t="shared" si="12"/>
        <v>427</v>
      </c>
      <c r="B429">
        <v>4270</v>
      </c>
      <c r="C429">
        <v>57081</v>
      </c>
      <c r="D429">
        <f t="shared" si="13"/>
        <v>570.80999999999995</v>
      </c>
      <c r="F429">
        <v>5230</v>
      </c>
      <c r="G429">
        <v>63268</v>
      </c>
    </row>
    <row r="430" spans="1:7">
      <c r="A430">
        <f t="shared" si="12"/>
        <v>428</v>
      </c>
      <c r="B430">
        <v>4280</v>
      </c>
      <c r="C430">
        <v>57206</v>
      </c>
      <c r="D430">
        <f t="shared" si="13"/>
        <v>572.05999999999995</v>
      </c>
      <c r="F430">
        <v>5240</v>
      </c>
      <c r="G430">
        <v>63270</v>
      </c>
    </row>
    <row r="431" spans="1:7">
      <c r="A431">
        <f t="shared" si="12"/>
        <v>429</v>
      </c>
      <c r="B431">
        <v>4290</v>
      </c>
      <c r="C431">
        <v>57332</v>
      </c>
      <c r="D431">
        <f t="shared" si="13"/>
        <v>573.32000000000005</v>
      </c>
      <c r="F431">
        <v>5250</v>
      </c>
      <c r="G431">
        <v>63272</v>
      </c>
    </row>
    <row r="432" spans="1:7">
      <c r="A432">
        <f t="shared" si="12"/>
        <v>430</v>
      </c>
      <c r="B432">
        <v>4300</v>
      </c>
      <c r="C432">
        <v>57457</v>
      </c>
      <c r="D432">
        <f t="shared" si="13"/>
        <v>574.57000000000005</v>
      </c>
      <c r="F432">
        <v>5260</v>
      </c>
      <c r="G432">
        <v>63273</v>
      </c>
    </row>
    <row r="433" spans="1:7">
      <c r="A433">
        <f t="shared" si="12"/>
        <v>431</v>
      </c>
      <c r="B433">
        <v>4310</v>
      </c>
      <c r="C433">
        <v>57583</v>
      </c>
      <c r="D433">
        <f t="shared" si="13"/>
        <v>575.83000000000004</v>
      </c>
      <c r="F433">
        <v>5270</v>
      </c>
      <c r="G433">
        <v>63275</v>
      </c>
    </row>
    <row r="434" spans="1:7">
      <c r="A434">
        <f t="shared" si="12"/>
        <v>432</v>
      </c>
      <c r="B434">
        <v>4320</v>
      </c>
      <c r="C434">
        <v>57708</v>
      </c>
      <c r="D434">
        <f t="shared" si="13"/>
        <v>577.08000000000004</v>
      </c>
      <c r="F434">
        <v>5280</v>
      </c>
      <c r="G434">
        <v>63277</v>
      </c>
    </row>
    <row r="435" spans="1:7">
      <c r="A435">
        <f t="shared" si="12"/>
        <v>433</v>
      </c>
      <c r="B435">
        <v>4330</v>
      </c>
      <c r="C435">
        <v>57834</v>
      </c>
      <c r="D435">
        <f t="shared" si="13"/>
        <v>578.34</v>
      </c>
      <c r="F435">
        <v>5290</v>
      </c>
      <c r="G435">
        <v>63279</v>
      </c>
    </row>
    <row r="436" spans="1:7">
      <c r="A436">
        <f t="shared" si="12"/>
        <v>434</v>
      </c>
      <c r="B436">
        <v>4340</v>
      </c>
      <c r="C436">
        <v>57959</v>
      </c>
      <c r="D436">
        <f t="shared" si="13"/>
        <v>579.59</v>
      </c>
      <c r="F436">
        <v>5300</v>
      </c>
      <c r="G436">
        <v>63281</v>
      </c>
    </row>
    <row r="437" spans="1:7">
      <c r="A437">
        <f t="shared" si="12"/>
        <v>435</v>
      </c>
      <c r="B437">
        <v>4350</v>
      </c>
      <c r="C437">
        <v>58085</v>
      </c>
      <c r="D437">
        <f t="shared" si="13"/>
        <v>580.85</v>
      </c>
      <c r="F437">
        <v>5310</v>
      </c>
      <c r="G437">
        <v>63283</v>
      </c>
    </row>
    <row r="438" spans="1:7">
      <c r="A438">
        <f t="shared" si="12"/>
        <v>436</v>
      </c>
      <c r="B438">
        <v>4360</v>
      </c>
      <c r="C438">
        <v>58210</v>
      </c>
      <c r="D438">
        <f t="shared" si="13"/>
        <v>582.1</v>
      </c>
      <c r="F438">
        <v>5320</v>
      </c>
      <c r="G438">
        <v>63285</v>
      </c>
    </row>
    <row r="439" spans="1:7">
      <c r="A439">
        <f t="shared" si="12"/>
        <v>437</v>
      </c>
      <c r="B439">
        <v>4370</v>
      </c>
      <c r="C439">
        <v>58336</v>
      </c>
      <c r="D439">
        <f t="shared" si="13"/>
        <v>583.36</v>
      </c>
      <c r="F439">
        <v>5330</v>
      </c>
      <c r="G439">
        <v>63287</v>
      </c>
    </row>
    <row r="440" spans="1:7">
      <c r="A440">
        <f t="shared" si="12"/>
        <v>438</v>
      </c>
      <c r="B440">
        <v>4380</v>
      </c>
      <c r="C440">
        <v>58461</v>
      </c>
      <c r="D440">
        <f t="shared" si="13"/>
        <v>584.61</v>
      </c>
      <c r="F440">
        <v>5340</v>
      </c>
      <c r="G440">
        <v>63289</v>
      </c>
    </row>
    <row r="441" spans="1:7">
      <c r="A441">
        <f t="shared" si="12"/>
        <v>439</v>
      </c>
      <c r="B441">
        <v>4390</v>
      </c>
      <c r="C441">
        <v>58587</v>
      </c>
      <c r="D441">
        <f t="shared" si="13"/>
        <v>585.87</v>
      </c>
      <c r="F441">
        <v>5350</v>
      </c>
      <c r="G441">
        <v>63291</v>
      </c>
    </row>
    <row r="442" spans="1:7">
      <c r="A442">
        <f t="shared" si="12"/>
        <v>440</v>
      </c>
      <c r="B442">
        <v>4400</v>
      </c>
      <c r="C442">
        <v>58712</v>
      </c>
      <c r="D442">
        <f t="shared" si="13"/>
        <v>587.12</v>
      </c>
      <c r="F442">
        <v>5360</v>
      </c>
      <c r="G442">
        <v>63293</v>
      </c>
    </row>
    <row r="443" spans="1:7">
      <c r="A443">
        <f t="shared" si="12"/>
        <v>441</v>
      </c>
      <c r="B443">
        <v>4410</v>
      </c>
      <c r="C443">
        <v>58838</v>
      </c>
      <c r="D443">
        <f t="shared" si="13"/>
        <v>588.38</v>
      </c>
      <c r="F443">
        <v>5370</v>
      </c>
      <c r="G443">
        <v>63295</v>
      </c>
    </row>
    <row r="444" spans="1:7">
      <c r="A444">
        <f t="shared" si="12"/>
        <v>442</v>
      </c>
      <c r="B444">
        <v>4420</v>
      </c>
      <c r="C444">
        <v>58963</v>
      </c>
      <c r="D444">
        <f t="shared" si="13"/>
        <v>589.63</v>
      </c>
      <c r="F444">
        <v>5380</v>
      </c>
      <c r="G444">
        <v>63297</v>
      </c>
    </row>
    <row r="445" spans="1:7">
      <c r="A445">
        <f t="shared" si="12"/>
        <v>443</v>
      </c>
      <c r="B445">
        <v>4430</v>
      </c>
      <c r="C445">
        <v>59089</v>
      </c>
      <c r="D445">
        <f t="shared" si="13"/>
        <v>590.89</v>
      </c>
      <c r="F445">
        <v>5390</v>
      </c>
      <c r="G445">
        <v>63299</v>
      </c>
    </row>
    <row r="446" spans="1:7">
      <c r="A446">
        <f t="shared" si="12"/>
        <v>444</v>
      </c>
      <c r="B446">
        <v>4440</v>
      </c>
      <c r="C446">
        <v>59214</v>
      </c>
      <c r="D446">
        <f t="shared" si="13"/>
        <v>592.14</v>
      </c>
      <c r="F446">
        <v>5400</v>
      </c>
      <c r="G446">
        <v>63301</v>
      </c>
    </row>
    <row r="447" spans="1:7">
      <c r="A447">
        <f t="shared" si="12"/>
        <v>445</v>
      </c>
      <c r="B447">
        <v>4450</v>
      </c>
      <c r="C447">
        <v>59340</v>
      </c>
      <c r="D447">
        <f t="shared" si="13"/>
        <v>593.4</v>
      </c>
      <c r="F447">
        <v>5410</v>
      </c>
      <c r="G447">
        <v>63303</v>
      </c>
    </row>
    <row r="448" spans="1:7">
      <c r="A448">
        <f t="shared" si="12"/>
        <v>446</v>
      </c>
      <c r="B448">
        <v>4460</v>
      </c>
      <c r="C448">
        <v>59465</v>
      </c>
      <c r="D448">
        <f t="shared" si="13"/>
        <v>594.65</v>
      </c>
      <c r="F448" t="s">
        <v>6</v>
      </c>
      <c r="G448">
        <v>63305</v>
      </c>
    </row>
    <row r="449" spans="1:4">
      <c r="A449">
        <f t="shared" si="12"/>
        <v>447</v>
      </c>
      <c r="B449">
        <v>4470</v>
      </c>
      <c r="C449">
        <v>59591</v>
      </c>
      <c r="D449">
        <f t="shared" si="13"/>
        <v>595.91</v>
      </c>
    </row>
    <row r="450" spans="1:4">
      <c r="A450">
        <f t="shared" si="12"/>
        <v>448</v>
      </c>
      <c r="B450">
        <v>4480</v>
      </c>
      <c r="C450">
        <v>59716</v>
      </c>
      <c r="D450">
        <f t="shared" si="13"/>
        <v>597.16</v>
      </c>
    </row>
    <row r="451" spans="1:4">
      <c r="A451">
        <f t="shared" ref="A451:A514" si="14">$B451/10</f>
        <v>449</v>
      </c>
      <c r="B451">
        <v>4490</v>
      </c>
      <c r="C451">
        <v>59842</v>
      </c>
      <c r="D451">
        <f t="shared" ref="D451:D514" si="15">$C451/100</f>
        <v>598.41999999999996</v>
      </c>
    </row>
    <row r="452" spans="1:4">
      <c r="A452">
        <f t="shared" si="14"/>
        <v>450</v>
      </c>
      <c r="B452">
        <v>4500</v>
      </c>
      <c r="C452">
        <v>59967</v>
      </c>
      <c r="D452">
        <f t="shared" si="15"/>
        <v>599.66999999999996</v>
      </c>
    </row>
    <row r="453" spans="1:4">
      <c r="A453">
        <f t="shared" si="14"/>
        <v>451</v>
      </c>
      <c r="B453">
        <v>4510</v>
      </c>
      <c r="C453">
        <v>60093</v>
      </c>
      <c r="D453">
        <f t="shared" si="15"/>
        <v>600.92999999999995</v>
      </c>
    </row>
    <row r="454" spans="1:4">
      <c r="A454">
        <f t="shared" si="14"/>
        <v>452</v>
      </c>
      <c r="B454">
        <v>4520</v>
      </c>
      <c r="C454">
        <v>60218</v>
      </c>
      <c r="D454">
        <f t="shared" si="15"/>
        <v>602.17999999999995</v>
      </c>
    </row>
    <row r="455" spans="1:4">
      <c r="A455">
        <f t="shared" si="14"/>
        <v>453</v>
      </c>
      <c r="B455">
        <v>4530</v>
      </c>
      <c r="C455">
        <v>60344</v>
      </c>
      <c r="D455">
        <f t="shared" si="15"/>
        <v>603.44000000000005</v>
      </c>
    </row>
    <row r="456" spans="1:4">
      <c r="A456">
        <f t="shared" si="14"/>
        <v>454</v>
      </c>
      <c r="B456">
        <v>4540</v>
      </c>
      <c r="C456">
        <v>60469</v>
      </c>
      <c r="D456">
        <f t="shared" si="15"/>
        <v>604.69000000000005</v>
      </c>
    </row>
    <row r="457" spans="1:4">
      <c r="A457">
        <f t="shared" si="14"/>
        <v>455</v>
      </c>
      <c r="B457">
        <v>4550</v>
      </c>
      <c r="C457">
        <v>60595</v>
      </c>
      <c r="D457">
        <f t="shared" si="15"/>
        <v>605.95000000000005</v>
      </c>
    </row>
    <row r="458" spans="1:4">
      <c r="A458">
        <f t="shared" si="14"/>
        <v>456</v>
      </c>
      <c r="B458">
        <v>4560</v>
      </c>
      <c r="C458">
        <v>60717</v>
      </c>
      <c r="D458">
        <f t="shared" si="15"/>
        <v>607.16999999999996</v>
      </c>
    </row>
    <row r="459" spans="1:4">
      <c r="A459">
        <f t="shared" si="14"/>
        <v>457</v>
      </c>
      <c r="B459">
        <v>4570</v>
      </c>
      <c r="C459">
        <v>60842</v>
      </c>
      <c r="D459">
        <f t="shared" si="15"/>
        <v>608.41999999999996</v>
      </c>
    </row>
    <row r="460" spans="1:4">
      <c r="A460">
        <f t="shared" si="14"/>
        <v>458</v>
      </c>
      <c r="B460">
        <v>4580</v>
      </c>
      <c r="C460">
        <v>60965</v>
      </c>
      <c r="D460">
        <f t="shared" si="15"/>
        <v>609.65</v>
      </c>
    </row>
    <row r="461" spans="1:4">
      <c r="A461">
        <f t="shared" si="14"/>
        <v>459</v>
      </c>
      <c r="B461">
        <v>4590</v>
      </c>
      <c r="C461">
        <v>61085</v>
      </c>
      <c r="D461">
        <f t="shared" si="15"/>
        <v>610.85</v>
      </c>
    </row>
    <row r="462" spans="1:4">
      <c r="A462">
        <f t="shared" si="14"/>
        <v>460</v>
      </c>
      <c r="B462">
        <v>4600</v>
      </c>
      <c r="C462">
        <v>61200</v>
      </c>
      <c r="D462">
        <f t="shared" si="15"/>
        <v>612</v>
      </c>
    </row>
    <row r="463" spans="1:4">
      <c r="A463">
        <f t="shared" si="14"/>
        <v>461</v>
      </c>
      <c r="B463">
        <v>4610</v>
      </c>
      <c r="C463">
        <v>61311</v>
      </c>
      <c r="D463">
        <f t="shared" si="15"/>
        <v>613.11</v>
      </c>
    </row>
    <row r="464" spans="1:4">
      <c r="A464">
        <f t="shared" si="14"/>
        <v>462</v>
      </c>
      <c r="B464">
        <v>4620</v>
      </c>
      <c r="C464">
        <v>61418</v>
      </c>
      <c r="D464">
        <f t="shared" si="15"/>
        <v>614.17999999999995</v>
      </c>
    </row>
    <row r="465" spans="1:4">
      <c r="A465">
        <f t="shared" si="14"/>
        <v>463</v>
      </c>
      <c r="B465">
        <v>4630</v>
      </c>
      <c r="C465">
        <v>61522</v>
      </c>
      <c r="D465">
        <f t="shared" si="15"/>
        <v>615.22</v>
      </c>
    </row>
    <row r="466" spans="1:4">
      <c r="A466">
        <f t="shared" si="14"/>
        <v>464</v>
      </c>
      <c r="B466">
        <v>4640</v>
      </c>
      <c r="C466">
        <v>61621</v>
      </c>
      <c r="D466">
        <f t="shared" si="15"/>
        <v>616.21</v>
      </c>
    </row>
    <row r="467" spans="1:4">
      <c r="A467">
        <f t="shared" si="14"/>
        <v>465</v>
      </c>
      <c r="B467">
        <v>4650</v>
      </c>
      <c r="C467">
        <v>61716</v>
      </c>
      <c r="D467">
        <f t="shared" si="15"/>
        <v>617.16</v>
      </c>
    </row>
    <row r="468" spans="1:4">
      <c r="A468">
        <f t="shared" si="14"/>
        <v>466</v>
      </c>
      <c r="B468">
        <v>4660</v>
      </c>
      <c r="C468">
        <v>61807</v>
      </c>
      <c r="D468">
        <f t="shared" si="15"/>
        <v>618.07000000000005</v>
      </c>
    </row>
    <row r="469" spans="1:4">
      <c r="A469">
        <f t="shared" si="14"/>
        <v>467</v>
      </c>
      <c r="B469">
        <v>4670</v>
      </c>
      <c r="C469">
        <v>61894</v>
      </c>
      <c r="D469">
        <f t="shared" si="15"/>
        <v>618.94000000000005</v>
      </c>
    </row>
    <row r="470" spans="1:4">
      <c r="A470">
        <f t="shared" si="14"/>
        <v>468</v>
      </c>
      <c r="B470">
        <v>4680</v>
      </c>
      <c r="C470">
        <v>61978</v>
      </c>
      <c r="D470">
        <f t="shared" si="15"/>
        <v>619.78</v>
      </c>
    </row>
    <row r="471" spans="1:4">
      <c r="A471">
        <f t="shared" si="14"/>
        <v>469</v>
      </c>
      <c r="B471">
        <v>4690</v>
      </c>
      <c r="C471">
        <v>62058</v>
      </c>
      <c r="D471">
        <f t="shared" si="15"/>
        <v>620.58000000000004</v>
      </c>
    </row>
    <row r="472" spans="1:4">
      <c r="A472">
        <f t="shared" si="14"/>
        <v>470</v>
      </c>
      <c r="B472">
        <v>4700</v>
      </c>
      <c r="C472">
        <v>62134</v>
      </c>
      <c r="D472">
        <f t="shared" si="15"/>
        <v>621.34</v>
      </c>
    </row>
    <row r="473" spans="1:4">
      <c r="A473">
        <f t="shared" si="14"/>
        <v>471</v>
      </c>
      <c r="B473">
        <v>4710</v>
      </c>
      <c r="C473">
        <v>62208</v>
      </c>
      <c r="D473">
        <f t="shared" si="15"/>
        <v>622.08000000000004</v>
      </c>
    </row>
    <row r="474" spans="1:4">
      <c r="A474">
        <f t="shared" si="14"/>
        <v>472</v>
      </c>
      <c r="B474">
        <v>4720</v>
      </c>
      <c r="C474">
        <v>62277</v>
      </c>
      <c r="D474">
        <f t="shared" si="15"/>
        <v>622.77</v>
      </c>
    </row>
    <row r="475" spans="1:4">
      <c r="A475">
        <f t="shared" si="14"/>
        <v>473</v>
      </c>
      <c r="B475">
        <v>4730</v>
      </c>
      <c r="C475">
        <v>62344</v>
      </c>
      <c r="D475">
        <f t="shared" si="15"/>
        <v>623.44000000000005</v>
      </c>
    </row>
    <row r="476" spans="1:4">
      <c r="A476">
        <f t="shared" si="14"/>
        <v>474</v>
      </c>
      <c r="B476">
        <v>4740</v>
      </c>
      <c r="C476">
        <v>62407</v>
      </c>
      <c r="D476">
        <f t="shared" si="15"/>
        <v>624.07000000000005</v>
      </c>
    </row>
    <row r="477" spans="1:4">
      <c r="A477">
        <f t="shared" si="14"/>
        <v>475</v>
      </c>
      <c r="B477">
        <v>4750</v>
      </c>
      <c r="C477">
        <v>62468</v>
      </c>
      <c r="D477">
        <f t="shared" si="15"/>
        <v>624.67999999999995</v>
      </c>
    </row>
    <row r="478" spans="1:4">
      <c r="A478">
        <f t="shared" si="14"/>
        <v>476</v>
      </c>
      <c r="B478">
        <v>4760</v>
      </c>
      <c r="C478">
        <v>62524</v>
      </c>
      <c r="D478">
        <f t="shared" si="15"/>
        <v>625.24</v>
      </c>
    </row>
    <row r="479" spans="1:4">
      <c r="A479">
        <f t="shared" si="14"/>
        <v>477</v>
      </c>
      <c r="B479">
        <v>4770</v>
      </c>
      <c r="C479">
        <v>62579</v>
      </c>
      <c r="D479">
        <f t="shared" si="15"/>
        <v>625.79</v>
      </c>
    </row>
    <row r="480" spans="1:4">
      <c r="A480">
        <f t="shared" si="14"/>
        <v>478</v>
      </c>
      <c r="B480">
        <v>4780</v>
      </c>
      <c r="C480">
        <v>62629</v>
      </c>
      <c r="D480">
        <f t="shared" si="15"/>
        <v>626.29</v>
      </c>
    </row>
    <row r="481" spans="1:4">
      <c r="A481">
        <f t="shared" si="14"/>
        <v>479</v>
      </c>
      <c r="B481">
        <v>4790</v>
      </c>
      <c r="C481">
        <v>62678</v>
      </c>
      <c r="D481">
        <f t="shared" si="15"/>
        <v>626.78</v>
      </c>
    </row>
    <row r="482" spans="1:4">
      <c r="A482">
        <f t="shared" si="14"/>
        <v>480</v>
      </c>
      <c r="B482">
        <v>4800</v>
      </c>
      <c r="C482">
        <v>62724</v>
      </c>
      <c r="D482">
        <f t="shared" si="15"/>
        <v>627.24</v>
      </c>
    </row>
    <row r="483" spans="1:4">
      <c r="A483">
        <f t="shared" si="14"/>
        <v>481</v>
      </c>
      <c r="B483">
        <v>4810</v>
      </c>
      <c r="C483">
        <v>62767</v>
      </c>
      <c r="D483">
        <f t="shared" si="15"/>
        <v>627.66999999999996</v>
      </c>
    </row>
    <row r="484" spans="1:4">
      <c r="A484">
        <f t="shared" si="14"/>
        <v>482</v>
      </c>
      <c r="B484">
        <v>4820</v>
      </c>
      <c r="C484">
        <v>62807</v>
      </c>
      <c r="D484">
        <f t="shared" si="15"/>
        <v>628.07000000000005</v>
      </c>
    </row>
    <row r="485" spans="1:4">
      <c r="A485">
        <f t="shared" si="14"/>
        <v>483</v>
      </c>
      <c r="B485">
        <v>4830</v>
      </c>
      <c r="C485">
        <v>62846</v>
      </c>
      <c r="D485">
        <f t="shared" si="15"/>
        <v>628.46</v>
      </c>
    </row>
    <row r="486" spans="1:4">
      <c r="A486">
        <f t="shared" si="14"/>
        <v>484</v>
      </c>
      <c r="B486">
        <v>4840</v>
      </c>
      <c r="C486">
        <v>62882</v>
      </c>
      <c r="D486">
        <f t="shared" si="15"/>
        <v>628.82000000000005</v>
      </c>
    </row>
    <row r="487" spans="1:4">
      <c r="A487">
        <f t="shared" si="14"/>
        <v>485</v>
      </c>
      <c r="B487">
        <v>4850</v>
      </c>
      <c r="C487">
        <v>62915</v>
      </c>
      <c r="D487">
        <f t="shared" si="15"/>
        <v>629.15</v>
      </c>
    </row>
    <row r="488" spans="1:4">
      <c r="A488">
        <f t="shared" si="14"/>
        <v>486</v>
      </c>
      <c r="B488">
        <v>4860</v>
      </c>
      <c r="C488">
        <v>62947</v>
      </c>
      <c r="D488">
        <f t="shared" si="15"/>
        <v>629.47</v>
      </c>
    </row>
    <row r="489" spans="1:4">
      <c r="A489">
        <f t="shared" si="14"/>
        <v>487</v>
      </c>
      <c r="B489">
        <v>4870</v>
      </c>
      <c r="C489">
        <v>62976</v>
      </c>
      <c r="D489">
        <f t="shared" si="15"/>
        <v>629.76</v>
      </c>
    </row>
    <row r="490" spans="1:4">
      <c r="A490">
        <f t="shared" si="14"/>
        <v>488</v>
      </c>
      <c r="B490">
        <v>4880</v>
      </c>
      <c r="C490">
        <v>63003</v>
      </c>
      <c r="D490">
        <f t="shared" si="15"/>
        <v>630.03</v>
      </c>
    </row>
    <row r="491" spans="1:4">
      <c r="A491">
        <f t="shared" si="14"/>
        <v>489</v>
      </c>
      <c r="B491">
        <v>4890</v>
      </c>
      <c r="C491">
        <v>63028</v>
      </c>
      <c r="D491">
        <f t="shared" si="15"/>
        <v>630.28</v>
      </c>
    </row>
    <row r="492" spans="1:4">
      <c r="A492">
        <f t="shared" si="14"/>
        <v>490</v>
      </c>
      <c r="B492">
        <v>4900</v>
      </c>
      <c r="C492">
        <v>63051</v>
      </c>
      <c r="D492">
        <f t="shared" si="15"/>
        <v>630.51</v>
      </c>
    </row>
    <row r="493" spans="1:4">
      <c r="A493">
        <f t="shared" si="14"/>
        <v>491</v>
      </c>
      <c r="B493">
        <v>4910</v>
      </c>
      <c r="C493">
        <v>63073</v>
      </c>
      <c r="D493">
        <f t="shared" si="15"/>
        <v>630.73</v>
      </c>
    </row>
    <row r="494" spans="1:4">
      <c r="A494">
        <f t="shared" si="14"/>
        <v>492</v>
      </c>
      <c r="B494">
        <v>4920</v>
      </c>
      <c r="C494">
        <v>63093</v>
      </c>
      <c r="D494">
        <f t="shared" si="15"/>
        <v>630.92999999999995</v>
      </c>
    </row>
    <row r="495" spans="1:4">
      <c r="A495">
        <f t="shared" si="14"/>
        <v>493</v>
      </c>
      <c r="B495">
        <v>4930</v>
      </c>
      <c r="C495">
        <v>63111</v>
      </c>
      <c r="D495">
        <f t="shared" si="15"/>
        <v>631.11</v>
      </c>
    </row>
    <row r="496" spans="1:4">
      <c r="A496">
        <f t="shared" si="14"/>
        <v>494</v>
      </c>
      <c r="B496">
        <v>4940</v>
      </c>
      <c r="C496">
        <v>63127</v>
      </c>
      <c r="D496">
        <f t="shared" si="15"/>
        <v>631.27</v>
      </c>
    </row>
    <row r="497" spans="1:4">
      <c r="A497">
        <f t="shared" si="14"/>
        <v>495</v>
      </c>
      <c r="B497">
        <v>4950</v>
      </c>
      <c r="C497">
        <v>63142</v>
      </c>
      <c r="D497">
        <f t="shared" si="15"/>
        <v>631.41999999999996</v>
      </c>
    </row>
    <row r="498" spans="1:4">
      <c r="A498">
        <f t="shared" si="14"/>
        <v>496</v>
      </c>
      <c r="B498">
        <v>4960</v>
      </c>
      <c r="C498">
        <v>63156</v>
      </c>
      <c r="D498">
        <f t="shared" si="15"/>
        <v>631.55999999999995</v>
      </c>
    </row>
    <row r="499" spans="1:4">
      <c r="A499">
        <f t="shared" si="14"/>
        <v>497</v>
      </c>
      <c r="B499">
        <v>4970</v>
      </c>
      <c r="C499">
        <v>63168</v>
      </c>
      <c r="D499">
        <f t="shared" si="15"/>
        <v>631.67999999999995</v>
      </c>
    </row>
    <row r="500" spans="1:4">
      <c r="A500">
        <f t="shared" si="14"/>
        <v>498</v>
      </c>
      <c r="B500">
        <v>4980</v>
      </c>
      <c r="C500">
        <v>63179</v>
      </c>
      <c r="D500">
        <f t="shared" si="15"/>
        <v>631.79</v>
      </c>
    </row>
    <row r="501" spans="1:4">
      <c r="A501">
        <f t="shared" si="14"/>
        <v>499</v>
      </c>
      <c r="B501">
        <v>4990</v>
      </c>
      <c r="C501">
        <v>63189</v>
      </c>
      <c r="D501">
        <f t="shared" si="15"/>
        <v>631.89</v>
      </c>
    </row>
    <row r="502" spans="1:4">
      <c r="A502">
        <f t="shared" si="14"/>
        <v>500</v>
      </c>
      <c r="B502">
        <v>5000</v>
      </c>
      <c r="C502">
        <v>63197</v>
      </c>
      <c r="D502">
        <f t="shared" si="15"/>
        <v>631.97</v>
      </c>
    </row>
    <row r="503" spans="1:4">
      <c r="A503">
        <f t="shared" si="14"/>
        <v>501</v>
      </c>
      <c r="B503">
        <v>5010</v>
      </c>
      <c r="C503">
        <v>63205</v>
      </c>
      <c r="D503">
        <f t="shared" si="15"/>
        <v>632.04999999999995</v>
      </c>
    </row>
    <row r="504" spans="1:4">
      <c r="A504">
        <f t="shared" si="14"/>
        <v>502</v>
      </c>
      <c r="B504">
        <v>5020</v>
      </c>
      <c r="C504">
        <v>63212</v>
      </c>
      <c r="D504">
        <f t="shared" si="15"/>
        <v>632.12</v>
      </c>
    </row>
    <row r="505" spans="1:4">
      <c r="A505">
        <f t="shared" si="14"/>
        <v>503</v>
      </c>
      <c r="B505">
        <v>5030</v>
      </c>
      <c r="C505">
        <v>63218</v>
      </c>
      <c r="D505">
        <f t="shared" si="15"/>
        <v>632.17999999999995</v>
      </c>
    </row>
    <row r="506" spans="1:4">
      <c r="A506">
        <f t="shared" si="14"/>
        <v>504</v>
      </c>
      <c r="B506">
        <v>5040</v>
      </c>
      <c r="C506">
        <v>63223</v>
      </c>
      <c r="D506">
        <f t="shared" si="15"/>
        <v>632.23</v>
      </c>
    </row>
    <row r="507" spans="1:4">
      <c r="A507">
        <f t="shared" si="14"/>
        <v>505</v>
      </c>
      <c r="B507">
        <v>5050</v>
      </c>
      <c r="C507">
        <v>63227</v>
      </c>
      <c r="D507">
        <f t="shared" si="15"/>
        <v>632.27</v>
      </c>
    </row>
    <row r="508" spans="1:4">
      <c r="A508">
        <f t="shared" si="14"/>
        <v>506</v>
      </c>
      <c r="B508">
        <v>5060</v>
      </c>
      <c r="C508">
        <v>63231</v>
      </c>
      <c r="D508">
        <f t="shared" si="15"/>
        <v>632.30999999999995</v>
      </c>
    </row>
    <row r="509" spans="1:4">
      <c r="A509">
        <f t="shared" si="14"/>
        <v>507</v>
      </c>
      <c r="B509">
        <v>5070</v>
      </c>
      <c r="C509">
        <v>63234</v>
      </c>
      <c r="D509">
        <f t="shared" si="15"/>
        <v>632.34</v>
      </c>
    </row>
    <row r="510" spans="1:4">
      <c r="A510">
        <f t="shared" si="14"/>
        <v>508</v>
      </c>
      <c r="B510">
        <v>5080</v>
      </c>
      <c r="C510">
        <v>63237</v>
      </c>
      <c r="D510">
        <f t="shared" si="15"/>
        <v>632.37</v>
      </c>
    </row>
    <row r="511" spans="1:4">
      <c r="A511">
        <f t="shared" si="14"/>
        <v>509</v>
      </c>
      <c r="B511">
        <v>5090</v>
      </c>
      <c r="C511">
        <v>63240</v>
      </c>
      <c r="D511">
        <f t="shared" si="15"/>
        <v>632.4</v>
      </c>
    </row>
    <row r="512" spans="1:4">
      <c r="A512">
        <f t="shared" si="14"/>
        <v>510</v>
      </c>
      <c r="B512">
        <v>5100</v>
      </c>
      <c r="C512">
        <v>63242</v>
      </c>
      <c r="D512">
        <f t="shared" si="15"/>
        <v>632.41999999999996</v>
      </c>
    </row>
    <row r="513" spans="1:4">
      <c r="A513">
        <f t="shared" si="14"/>
        <v>511</v>
      </c>
      <c r="B513">
        <v>5110</v>
      </c>
      <c r="C513">
        <v>63244</v>
      </c>
      <c r="D513">
        <f t="shared" si="15"/>
        <v>632.44000000000005</v>
      </c>
    </row>
    <row r="514" spans="1:4">
      <c r="A514">
        <f t="shared" si="14"/>
        <v>512</v>
      </c>
      <c r="B514">
        <v>5120</v>
      </c>
      <c r="C514">
        <v>63246</v>
      </c>
      <c r="D514">
        <f t="shared" si="15"/>
        <v>632.46</v>
      </c>
    </row>
    <row r="515" spans="1:4">
      <c r="A515">
        <f t="shared" ref="A515:A544" si="16">$B515/10</f>
        <v>513</v>
      </c>
      <c r="B515">
        <v>5130</v>
      </c>
      <c r="C515">
        <v>63248</v>
      </c>
      <c r="D515">
        <f t="shared" ref="D515:D544" si="17">$C515/100</f>
        <v>632.48</v>
      </c>
    </row>
    <row r="516" spans="1:4">
      <c r="A516">
        <f t="shared" si="16"/>
        <v>514</v>
      </c>
      <c r="B516">
        <v>5140</v>
      </c>
      <c r="C516">
        <v>63250</v>
      </c>
      <c r="D516">
        <f t="shared" si="17"/>
        <v>632.5</v>
      </c>
    </row>
    <row r="517" spans="1:4">
      <c r="A517">
        <f t="shared" si="16"/>
        <v>515</v>
      </c>
      <c r="B517">
        <v>5150</v>
      </c>
      <c r="C517">
        <v>63252</v>
      </c>
      <c r="D517">
        <f t="shared" si="17"/>
        <v>632.52</v>
      </c>
    </row>
    <row r="518" spans="1:4">
      <c r="A518">
        <f t="shared" si="16"/>
        <v>516</v>
      </c>
      <c r="B518">
        <v>5160</v>
      </c>
      <c r="C518">
        <v>63254</v>
      </c>
      <c r="D518">
        <f t="shared" si="17"/>
        <v>632.54</v>
      </c>
    </row>
    <row r="519" spans="1:4">
      <c r="A519">
        <f t="shared" si="16"/>
        <v>517</v>
      </c>
      <c r="B519">
        <v>5170</v>
      </c>
      <c r="C519">
        <v>63256</v>
      </c>
      <c r="D519">
        <f t="shared" si="17"/>
        <v>632.55999999999995</v>
      </c>
    </row>
    <row r="520" spans="1:4">
      <c r="A520">
        <f t="shared" si="16"/>
        <v>518</v>
      </c>
      <c r="B520">
        <v>5180</v>
      </c>
      <c r="C520">
        <v>63258</v>
      </c>
      <c r="D520">
        <f t="shared" si="17"/>
        <v>632.58000000000004</v>
      </c>
    </row>
    <row r="521" spans="1:4">
      <c r="A521">
        <f t="shared" si="16"/>
        <v>519</v>
      </c>
      <c r="B521">
        <v>5190</v>
      </c>
      <c r="C521">
        <v>63260</v>
      </c>
      <c r="D521">
        <f t="shared" si="17"/>
        <v>632.6</v>
      </c>
    </row>
    <row r="522" spans="1:4">
      <c r="A522">
        <f t="shared" si="16"/>
        <v>520</v>
      </c>
      <c r="B522">
        <v>5200</v>
      </c>
      <c r="C522">
        <v>63262</v>
      </c>
      <c r="D522">
        <f t="shared" si="17"/>
        <v>632.62</v>
      </c>
    </row>
    <row r="523" spans="1:4">
      <c r="A523">
        <f t="shared" si="16"/>
        <v>521</v>
      </c>
      <c r="B523">
        <v>5210</v>
      </c>
      <c r="C523">
        <v>63264</v>
      </c>
      <c r="D523">
        <f t="shared" si="17"/>
        <v>632.64</v>
      </c>
    </row>
    <row r="524" spans="1:4">
      <c r="A524">
        <f t="shared" si="16"/>
        <v>522</v>
      </c>
      <c r="B524">
        <v>5220</v>
      </c>
      <c r="C524">
        <v>63266</v>
      </c>
      <c r="D524">
        <f t="shared" si="17"/>
        <v>632.66</v>
      </c>
    </row>
    <row r="525" spans="1:4">
      <c r="A525">
        <f t="shared" si="16"/>
        <v>523</v>
      </c>
      <c r="B525">
        <v>5230</v>
      </c>
      <c r="C525">
        <v>63268</v>
      </c>
      <c r="D525">
        <f t="shared" si="17"/>
        <v>632.67999999999995</v>
      </c>
    </row>
    <row r="526" spans="1:4">
      <c r="A526">
        <f t="shared" si="16"/>
        <v>524</v>
      </c>
      <c r="B526">
        <v>5240</v>
      </c>
      <c r="C526">
        <v>63270</v>
      </c>
      <c r="D526">
        <f t="shared" si="17"/>
        <v>632.70000000000005</v>
      </c>
    </row>
    <row r="527" spans="1:4">
      <c r="A527">
        <f t="shared" si="16"/>
        <v>525</v>
      </c>
      <c r="B527">
        <v>5250</v>
      </c>
      <c r="C527">
        <v>63272</v>
      </c>
      <c r="D527">
        <f t="shared" si="17"/>
        <v>632.72</v>
      </c>
    </row>
    <row r="528" spans="1:4">
      <c r="A528">
        <f t="shared" si="16"/>
        <v>526</v>
      </c>
      <c r="B528">
        <v>5260</v>
      </c>
      <c r="C528">
        <v>63273</v>
      </c>
      <c r="D528">
        <f t="shared" si="17"/>
        <v>632.73</v>
      </c>
    </row>
    <row r="529" spans="1:4">
      <c r="A529">
        <f t="shared" si="16"/>
        <v>527</v>
      </c>
      <c r="B529">
        <v>5270</v>
      </c>
      <c r="C529">
        <v>63275</v>
      </c>
      <c r="D529">
        <f t="shared" si="17"/>
        <v>632.75</v>
      </c>
    </row>
    <row r="530" spans="1:4">
      <c r="A530">
        <f t="shared" si="16"/>
        <v>528</v>
      </c>
      <c r="B530">
        <v>5280</v>
      </c>
      <c r="C530">
        <v>63277</v>
      </c>
      <c r="D530">
        <f t="shared" si="17"/>
        <v>632.77</v>
      </c>
    </row>
    <row r="531" spans="1:4">
      <c r="A531">
        <f t="shared" si="16"/>
        <v>529</v>
      </c>
      <c r="B531">
        <v>5290</v>
      </c>
      <c r="C531">
        <v>63279</v>
      </c>
      <c r="D531">
        <f t="shared" si="17"/>
        <v>632.79</v>
      </c>
    </row>
    <row r="532" spans="1:4">
      <c r="A532">
        <f t="shared" si="16"/>
        <v>530</v>
      </c>
      <c r="B532">
        <v>5300</v>
      </c>
      <c r="C532">
        <v>63281</v>
      </c>
      <c r="D532">
        <f t="shared" si="17"/>
        <v>632.80999999999995</v>
      </c>
    </row>
    <row r="533" spans="1:4">
      <c r="A533">
        <f t="shared" si="16"/>
        <v>531</v>
      </c>
      <c r="B533">
        <v>5310</v>
      </c>
      <c r="C533">
        <v>63283</v>
      </c>
      <c r="D533">
        <f t="shared" si="17"/>
        <v>632.83000000000004</v>
      </c>
    </row>
    <row r="534" spans="1:4">
      <c r="A534">
        <f t="shared" si="16"/>
        <v>532</v>
      </c>
      <c r="B534">
        <v>5320</v>
      </c>
      <c r="C534">
        <v>63285</v>
      </c>
      <c r="D534">
        <f t="shared" si="17"/>
        <v>632.85</v>
      </c>
    </row>
    <row r="535" spans="1:4">
      <c r="A535">
        <f t="shared" si="16"/>
        <v>533</v>
      </c>
      <c r="B535">
        <v>5330</v>
      </c>
      <c r="C535">
        <v>63287</v>
      </c>
      <c r="D535">
        <f t="shared" si="17"/>
        <v>632.87</v>
      </c>
    </row>
    <row r="536" spans="1:4">
      <c r="A536">
        <f t="shared" si="16"/>
        <v>534</v>
      </c>
      <c r="B536">
        <v>5340</v>
      </c>
      <c r="C536">
        <v>63289</v>
      </c>
      <c r="D536">
        <f t="shared" si="17"/>
        <v>632.89</v>
      </c>
    </row>
    <row r="537" spans="1:4">
      <c r="A537">
        <f t="shared" si="16"/>
        <v>535</v>
      </c>
      <c r="B537">
        <v>5350</v>
      </c>
      <c r="C537">
        <v>63291</v>
      </c>
      <c r="D537">
        <f t="shared" si="17"/>
        <v>632.91</v>
      </c>
    </row>
    <row r="538" spans="1:4">
      <c r="A538">
        <f t="shared" si="16"/>
        <v>536</v>
      </c>
      <c r="B538">
        <v>5360</v>
      </c>
      <c r="C538">
        <v>63293</v>
      </c>
      <c r="D538">
        <f t="shared" si="17"/>
        <v>632.92999999999995</v>
      </c>
    </row>
    <row r="539" spans="1:4">
      <c r="A539">
        <f t="shared" si="16"/>
        <v>537</v>
      </c>
      <c r="B539">
        <v>5370</v>
      </c>
      <c r="C539">
        <v>63295</v>
      </c>
      <c r="D539">
        <f t="shared" si="17"/>
        <v>632.95000000000005</v>
      </c>
    </row>
    <row r="540" spans="1:4">
      <c r="A540">
        <f t="shared" si="16"/>
        <v>538</v>
      </c>
      <c r="B540">
        <v>5380</v>
      </c>
      <c r="C540">
        <v>63297</v>
      </c>
      <c r="D540">
        <f t="shared" si="17"/>
        <v>632.97</v>
      </c>
    </row>
    <row r="541" spans="1:4">
      <c r="A541">
        <f t="shared" si="16"/>
        <v>539</v>
      </c>
      <c r="B541">
        <v>5390</v>
      </c>
      <c r="C541">
        <v>63299</v>
      </c>
      <c r="D541">
        <f t="shared" si="17"/>
        <v>632.99</v>
      </c>
    </row>
    <row r="542" spans="1:4">
      <c r="A542">
        <f t="shared" si="16"/>
        <v>540</v>
      </c>
      <c r="B542">
        <v>5400</v>
      </c>
      <c r="C542">
        <v>63301</v>
      </c>
      <c r="D542">
        <f t="shared" si="17"/>
        <v>633.01</v>
      </c>
    </row>
    <row r="543" spans="1:4">
      <c r="A543">
        <f t="shared" si="16"/>
        <v>541</v>
      </c>
      <c r="B543">
        <v>5410</v>
      </c>
      <c r="C543">
        <v>63303</v>
      </c>
      <c r="D543">
        <f t="shared" si="17"/>
        <v>633.03</v>
      </c>
    </row>
    <row r="544" spans="1:4">
      <c r="A544">
        <f t="shared" si="16"/>
        <v>542</v>
      </c>
      <c r="B544">
        <v>5420</v>
      </c>
      <c r="C544">
        <v>63305</v>
      </c>
      <c r="D544">
        <f t="shared" si="17"/>
        <v>633.04999999999995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9"/>
  <dimension ref="A1:D1153"/>
  <sheetViews>
    <sheetView zoomScaleNormal="100" workbookViewId="0">
      <selection activeCell="D2" sqref="D2"/>
    </sheetView>
  </sheetViews>
  <sheetFormatPr baseColWidth="10" defaultColWidth="10.3984375" defaultRowHeight="14.25"/>
  <cols>
    <col min="2" max="2" width="14.3984375" bestFit="1" customWidth="1"/>
  </cols>
  <sheetData>
    <row r="1" spans="1:4">
      <c r="A1" t="s">
        <v>4</v>
      </c>
      <c r="B1" t="s">
        <v>5</v>
      </c>
      <c r="C1" t="s">
        <v>2</v>
      </c>
      <c r="D1" t="s">
        <v>3</v>
      </c>
    </row>
    <row r="2" spans="1:4">
      <c r="A2">
        <f>$B2/10</f>
        <v>0</v>
      </c>
      <c r="B2">
        <v>0</v>
      </c>
      <c r="C2">
        <v>642</v>
      </c>
      <c r="D2">
        <f>$C2/100</f>
        <v>6.42</v>
      </c>
    </row>
    <row r="3" spans="1:4">
      <c r="A3">
        <f t="shared" ref="A3:A66" si="0">$B3/10</f>
        <v>1</v>
      </c>
      <c r="B3">
        <v>10</v>
      </c>
      <c r="C3">
        <v>797</v>
      </c>
      <c r="D3">
        <f t="shared" ref="D3:D66" si="1">$C3/100</f>
        <v>7.97</v>
      </c>
    </row>
    <row r="4" spans="1:4">
      <c r="A4">
        <f t="shared" si="0"/>
        <v>2</v>
      </c>
      <c r="B4">
        <v>20</v>
      </c>
      <c r="C4">
        <v>968</v>
      </c>
      <c r="D4">
        <f t="shared" si="1"/>
        <v>9.68</v>
      </c>
    </row>
    <row r="5" spans="1:4">
      <c r="A5">
        <f t="shared" si="0"/>
        <v>3</v>
      </c>
      <c r="B5">
        <v>30</v>
      </c>
      <c r="C5">
        <v>1154</v>
      </c>
      <c r="D5">
        <f t="shared" si="1"/>
        <v>11.54</v>
      </c>
    </row>
    <row r="6" spans="1:4">
      <c r="A6">
        <f t="shared" si="0"/>
        <v>4</v>
      </c>
      <c r="B6">
        <v>40</v>
      </c>
      <c r="C6">
        <v>1354</v>
      </c>
      <c r="D6">
        <f t="shared" si="1"/>
        <v>13.54</v>
      </c>
    </row>
    <row r="7" spans="1:4">
      <c r="A7">
        <f t="shared" si="0"/>
        <v>5</v>
      </c>
      <c r="B7">
        <v>50</v>
      </c>
      <c r="C7">
        <v>1566</v>
      </c>
      <c r="D7">
        <f t="shared" si="1"/>
        <v>15.66</v>
      </c>
    </row>
    <row r="8" spans="1:4">
      <c r="A8">
        <f t="shared" si="0"/>
        <v>6</v>
      </c>
      <c r="B8">
        <v>60</v>
      </c>
      <c r="C8">
        <v>1785</v>
      </c>
      <c r="D8">
        <f t="shared" si="1"/>
        <v>17.850000000000001</v>
      </c>
    </row>
    <row r="9" spans="1:4">
      <c r="A9">
        <f t="shared" si="0"/>
        <v>7</v>
      </c>
      <c r="B9">
        <v>70</v>
      </c>
      <c r="C9">
        <v>2007</v>
      </c>
      <c r="D9">
        <f t="shared" si="1"/>
        <v>20.07</v>
      </c>
    </row>
    <row r="10" spans="1:4">
      <c r="A10">
        <f t="shared" si="0"/>
        <v>8</v>
      </c>
      <c r="B10">
        <v>80</v>
      </c>
      <c r="C10">
        <v>2229</v>
      </c>
      <c r="D10">
        <f t="shared" si="1"/>
        <v>22.29</v>
      </c>
    </row>
    <row r="11" spans="1:4">
      <c r="A11">
        <f t="shared" si="0"/>
        <v>9</v>
      </c>
      <c r="B11">
        <v>90</v>
      </c>
      <c r="C11">
        <v>2451</v>
      </c>
      <c r="D11">
        <f t="shared" si="1"/>
        <v>24.51</v>
      </c>
    </row>
    <row r="12" spans="1:4">
      <c r="A12">
        <f t="shared" si="0"/>
        <v>10</v>
      </c>
      <c r="B12">
        <v>100</v>
      </c>
      <c r="C12">
        <v>2673</v>
      </c>
      <c r="D12">
        <f t="shared" si="1"/>
        <v>26.73</v>
      </c>
    </row>
    <row r="13" spans="1:4">
      <c r="A13">
        <f t="shared" si="0"/>
        <v>11</v>
      </c>
      <c r="B13">
        <v>110</v>
      </c>
      <c r="C13">
        <v>2894</v>
      </c>
      <c r="D13">
        <f t="shared" si="1"/>
        <v>28.94</v>
      </c>
    </row>
    <row r="14" spans="1:4">
      <c r="A14">
        <f t="shared" si="0"/>
        <v>12</v>
      </c>
      <c r="B14">
        <v>120</v>
      </c>
      <c r="C14">
        <v>3116</v>
      </c>
      <c r="D14">
        <f t="shared" si="1"/>
        <v>31.16</v>
      </c>
    </row>
    <row r="15" spans="1:4">
      <c r="A15">
        <f t="shared" si="0"/>
        <v>13</v>
      </c>
      <c r="B15">
        <v>130</v>
      </c>
      <c r="C15">
        <v>3338</v>
      </c>
      <c r="D15">
        <f t="shared" si="1"/>
        <v>33.380000000000003</v>
      </c>
    </row>
    <row r="16" spans="1:4">
      <c r="A16">
        <f t="shared" si="0"/>
        <v>14</v>
      </c>
      <c r="B16">
        <v>140</v>
      </c>
      <c r="C16">
        <v>3560</v>
      </c>
      <c r="D16">
        <f t="shared" si="1"/>
        <v>35.6</v>
      </c>
    </row>
    <row r="17" spans="1:4">
      <c r="A17">
        <f t="shared" si="0"/>
        <v>15</v>
      </c>
      <c r="B17">
        <v>150</v>
      </c>
      <c r="C17">
        <v>3782</v>
      </c>
      <c r="D17">
        <f t="shared" si="1"/>
        <v>37.82</v>
      </c>
    </row>
    <row r="18" spans="1:4">
      <c r="A18">
        <f t="shared" si="0"/>
        <v>16</v>
      </c>
      <c r="B18">
        <v>160</v>
      </c>
      <c r="C18">
        <v>4004</v>
      </c>
      <c r="D18">
        <f t="shared" si="1"/>
        <v>40.04</v>
      </c>
    </row>
    <row r="19" spans="1:4">
      <c r="A19">
        <f t="shared" si="0"/>
        <v>17</v>
      </c>
      <c r="B19">
        <v>170</v>
      </c>
      <c r="C19">
        <v>4226</v>
      </c>
      <c r="D19">
        <f t="shared" si="1"/>
        <v>42.26</v>
      </c>
    </row>
    <row r="20" spans="1:4">
      <c r="A20">
        <f t="shared" si="0"/>
        <v>18</v>
      </c>
      <c r="B20">
        <v>180</v>
      </c>
      <c r="C20">
        <v>4448</v>
      </c>
      <c r="D20">
        <f t="shared" si="1"/>
        <v>44.48</v>
      </c>
    </row>
    <row r="21" spans="1:4">
      <c r="A21">
        <f t="shared" si="0"/>
        <v>19</v>
      </c>
      <c r="B21">
        <v>190</v>
      </c>
      <c r="C21">
        <v>4669</v>
      </c>
      <c r="D21">
        <f t="shared" si="1"/>
        <v>46.69</v>
      </c>
    </row>
    <row r="22" spans="1:4">
      <c r="A22">
        <f t="shared" si="0"/>
        <v>20</v>
      </c>
      <c r="B22">
        <v>200</v>
      </c>
      <c r="C22">
        <v>4891</v>
      </c>
      <c r="D22">
        <f t="shared" si="1"/>
        <v>48.91</v>
      </c>
    </row>
    <row r="23" spans="1:4">
      <c r="A23">
        <f t="shared" si="0"/>
        <v>21</v>
      </c>
      <c r="B23">
        <v>210</v>
      </c>
      <c r="C23">
        <v>5113</v>
      </c>
      <c r="D23">
        <f t="shared" si="1"/>
        <v>51.13</v>
      </c>
    </row>
    <row r="24" spans="1:4">
      <c r="A24">
        <f t="shared" si="0"/>
        <v>22</v>
      </c>
      <c r="B24">
        <v>220</v>
      </c>
      <c r="C24">
        <v>5335</v>
      </c>
      <c r="D24">
        <f t="shared" si="1"/>
        <v>53.35</v>
      </c>
    </row>
    <row r="25" spans="1:4">
      <c r="A25">
        <f t="shared" si="0"/>
        <v>23</v>
      </c>
      <c r="B25">
        <v>230</v>
      </c>
      <c r="C25">
        <v>5557</v>
      </c>
      <c r="D25">
        <f t="shared" si="1"/>
        <v>55.57</v>
      </c>
    </row>
    <row r="26" spans="1:4">
      <c r="A26">
        <f t="shared" si="0"/>
        <v>24</v>
      </c>
      <c r="B26">
        <v>240</v>
      </c>
      <c r="C26">
        <v>5779</v>
      </c>
      <c r="D26">
        <f t="shared" si="1"/>
        <v>57.79</v>
      </c>
    </row>
    <row r="27" spans="1:4">
      <c r="A27">
        <f t="shared" si="0"/>
        <v>25</v>
      </c>
      <c r="B27">
        <v>250</v>
      </c>
      <c r="C27">
        <v>6001</v>
      </c>
      <c r="D27">
        <f t="shared" si="1"/>
        <v>60.01</v>
      </c>
    </row>
    <row r="28" spans="1:4">
      <c r="A28">
        <f t="shared" si="0"/>
        <v>26</v>
      </c>
      <c r="B28">
        <v>260</v>
      </c>
      <c r="C28">
        <v>6223</v>
      </c>
      <c r="D28">
        <f t="shared" si="1"/>
        <v>62.23</v>
      </c>
    </row>
    <row r="29" spans="1:4">
      <c r="A29">
        <f t="shared" si="0"/>
        <v>27</v>
      </c>
      <c r="B29">
        <v>270</v>
      </c>
      <c r="C29">
        <v>6444</v>
      </c>
      <c r="D29">
        <f t="shared" si="1"/>
        <v>64.44</v>
      </c>
    </row>
    <row r="30" spans="1:4">
      <c r="A30">
        <f t="shared" si="0"/>
        <v>28</v>
      </c>
      <c r="B30">
        <v>280</v>
      </c>
      <c r="C30">
        <v>6666</v>
      </c>
      <c r="D30">
        <f t="shared" si="1"/>
        <v>66.66</v>
      </c>
    </row>
    <row r="31" spans="1:4">
      <c r="A31">
        <f t="shared" si="0"/>
        <v>29</v>
      </c>
      <c r="B31">
        <v>290</v>
      </c>
      <c r="C31">
        <v>6888</v>
      </c>
      <c r="D31">
        <f t="shared" si="1"/>
        <v>68.88</v>
      </c>
    </row>
    <row r="32" spans="1:4">
      <c r="A32">
        <f t="shared" si="0"/>
        <v>30</v>
      </c>
      <c r="B32">
        <v>300</v>
      </c>
      <c r="C32">
        <v>7110</v>
      </c>
      <c r="D32">
        <f t="shared" si="1"/>
        <v>71.099999999999994</v>
      </c>
    </row>
    <row r="33" spans="1:4">
      <c r="A33">
        <f t="shared" si="0"/>
        <v>31</v>
      </c>
      <c r="B33">
        <v>310</v>
      </c>
      <c r="C33">
        <v>7332</v>
      </c>
      <c r="D33">
        <f t="shared" si="1"/>
        <v>73.319999999999993</v>
      </c>
    </row>
    <row r="34" spans="1:4">
      <c r="A34">
        <f t="shared" si="0"/>
        <v>32</v>
      </c>
      <c r="B34">
        <v>320</v>
      </c>
      <c r="C34">
        <v>7554</v>
      </c>
      <c r="D34">
        <f t="shared" si="1"/>
        <v>75.540000000000006</v>
      </c>
    </row>
    <row r="35" spans="1:4">
      <c r="A35">
        <f t="shared" si="0"/>
        <v>33</v>
      </c>
      <c r="B35">
        <v>330</v>
      </c>
      <c r="C35">
        <v>7776</v>
      </c>
      <c r="D35">
        <f t="shared" si="1"/>
        <v>77.760000000000005</v>
      </c>
    </row>
    <row r="36" spans="1:4">
      <c r="A36">
        <f t="shared" si="0"/>
        <v>34</v>
      </c>
      <c r="B36">
        <v>340</v>
      </c>
      <c r="C36">
        <v>7997</v>
      </c>
      <c r="D36">
        <f t="shared" si="1"/>
        <v>79.97</v>
      </c>
    </row>
    <row r="37" spans="1:4">
      <c r="A37">
        <f t="shared" si="0"/>
        <v>35</v>
      </c>
      <c r="B37">
        <v>350</v>
      </c>
      <c r="C37">
        <v>8219</v>
      </c>
      <c r="D37">
        <f t="shared" si="1"/>
        <v>82.19</v>
      </c>
    </row>
    <row r="38" spans="1:4">
      <c r="A38">
        <f t="shared" si="0"/>
        <v>36</v>
      </c>
      <c r="B38">
        <v>360</v>
      </c>
      <c r="C38">
        <v>8441</v>
      </c>
      <c r="D38">
        <f t="shared" si="1"/>
        <v>84.41</v>
      </c>
    </row>
    <row r="39" spans="1:4">
      <c r="A39">
        <f t="shared" si="0"/>
        <v>37</v>
      </c>
      <c r="B39">
        <v>370</v>
      </c>
      <c r="C39">
        <v>8663</v>
      </c>
      <c r="D39">
        <f t="shared" si="1"/>
        <v>86.63</v>
      </c>
    </row>
    <row r="40" spans="1:4">
      <c r="A40">
        <f t="shared" si="0"/>
        <v>38</v>
      </c>
      <c r="B40">
        <v>380</v>
      </c>
      <c r="C40">
        <v>8885</v>
      </c>
      <c r="D40">
        <f t="shared" si="1"/>
        <v>88.85</v>
      </c>
    </row>
    <row r="41" spans="1:4">
      <c r="A41">
        <f t="shared" si="0"/>
        <v>39</v>
      </c>
      <c r="B41">
        <v>390</v>
      </c>
      <c r="C41">
        <v>9107</v>
      </c>
      <c r="D41">
        <f t="shared" si="1"/>
        <v>91.07</v>
      </c>
    </row>
    <row r="42" spans="1:4">
      <c r="A42">
        <f t="shared" si="0"/>
        <v>40</v>
      </c>
      <c r="B42">
        <v>400</v>
      </c>
      <c r="C42">
        <v>9329</v>
      </c>
      <c r="D42">
        <f t="shared" si="1"/>
        <v>93.29</v>
      </c>
    </row>
    <row r="43" spans="1:4">
      <c r="A43">
        <f t="shared" si="0"/>
        <v>41</v>
      </c>
      <c r="B43">
        <v>410</v>
      </c>
      <c r="C43">
        <v>9551</v>
      </c>
      <c r="D43">
        <f t="shared" si="1"/>
        <v>95.51</v>
      </c>
    </row>
    <row r="44" spans="1:4">
      <c r="A44">
        <f t="shared" si="0"/>
        <v>42</v>
      </c>
      <c r="B44">
        <v>420</v>
      </c>
      <c r="C44">
        <v>9772</v>
      </c>
      <c r="D44">
        <f t="shared" si="1"/>
        <v>97.72</v>
      </c>
    </row>
    <row r="45" spans="1:4">
      <c r="A45">
        <f t="shared" si="0"/>
        <v>43</v>
      </c>
      <c r="B45">
        <v>430</v>
      </c>
      <c r="C45">
        <v>9994</v>
      </c>
      <c r="D45">
        <f t="shared" si="1"/>
        <v>99.94</v>
      </c>
    </row>
    <row r="46" spans="1:4">
      <c r="A46">
        <f t="shared" si="0"/>
        <v>44</v>
      </c>
      <c r="B46">
        <v>440</v>
      </c>
      <c r="C46">
        <v>10216</v>
      </c>
      <c r="D46">
        <f t="shared" si="1"/>
        <v>102.16</v>
      </c>
    </row>
    <row r="47" spans="1:4">
      <c r="A47">
        <f t="shared" si="0"/>
        <v>45</v>
      </c>
      <c r="B47">
        <v>450</v>
      </c>
      <c r="C47">
        <v>10438</v>
      </c>
      <c r="D47">
        <f t="shared" si="1"/>
        <v>104.38</v>
      </c>
    </row>
    <row r="48" spans="1:4">
      <c r="A48">
        <f t="shared" si="0"/>
        <v>46</v>
      </c>
      <c r="B48">
        <v>460</v>
      </c>
      <c r="C48">
        <v>10660</v>
      </c>
      <c r="D48">
        <f t="shared" si="1"/>
        <v>106.6</v>
      </c>
    </row>
    <row r="49" spans="1:4">
      <c r="A49">
        <f t="shared" si="0"/>
        <v>47</v>
      </c>
      <c r="B49">
        <v>470</v>
      </c>
      <c r="C49">
        <v>10882</v>
      </c>
      <c r="D49">
        <f t="shared" si="1"/>
        <v>108.82</v>
      </c>
    </row>
    <row r="50" spans="1:4">
      <c r="A50">
        <f t="shared" si="0"/>
        <v>48</v>
      </c>
      <c r="B50">
        <v>480</v>
      </c>
      <c r="C50">
        <v>11104</v>
      </c>
      <c r="D50">
        <f t="shared" si="1"/>
        <v>111.04</v>
      </c>
    </row>
    <row r="51" spans="1:4">
      <c r="A51">
        <f t="shared" si="0"/>
        <v>49</v>
      </c>
      <c r="B51">
        <v>490</v>
      </c>
      <c r="C51">
        <v>11326</v>
      </c>
      <c r="D51">
        <f t="shared" si="1"/>
        <v>113.26</v>
      </c>
    </row>
    <row r="52" spans="1:4">
      <c r="A52">
        <f t="shared" si="0"/>
        <v>50</v>
      </c>
      <c r="B52">
        <v>500</v>
      </c>
      <c r="C52">
        <v>11547</v>
      </c>
      <c r="D52">
        <f t="shared" si="1"/>
        <v>115.47</v>
      </c>
    </row>
    <row r="53" spans="1:4">
      <c r="A53">
        <f t="shared" si="0"/>
        <v>51</v>
      </c>
      <c r="B53">
        <v>510</v>
      </c>
      <c r="C53">
        <v>11769</v>
      </c>
      <c r="D53">
        <f t="shared" si="1"/>
        <v>117.69</v>
      </c>
    </row>
    <row r="54" spans="1:4">
      <c r="A54">
        <f t="shared" si="0"/>
        <v>52</v>
      </c>
      <c r="B54">
        <v>520</v>
      </c>
      <c r="C54">
        <v>11991</v>
      </c>
      <c r="D54">
        <f t="shared" si="1"/>
        <v>119.91</v>
      </c>
    </row>
    <row r="55" spans="1:4">
      <c r="A55">
        <f t="shared" si="0"/>
        <v>53</v>
      </c>
      <c r="B55">
        <v>530</v>
      </c>
      <c r="C55">
        <v>12213</v>
      </c>
      <c r="D55">
        <f t="shared" si="1"/>
        <v>122.13</v>
      </c>
    </row>
    <row r="56" spans="1:4">
      <c r="A56">
        <f t="shared" si="0"/>
        <v>54</v>
      </c>
      <c r="B56">
        <v>540</v>
      </c>
      <c r="C56">
        <v>12435</v>
      </c>
      <c r="D56">
        <f t="shared" si="1"/>
        <v>124.35</v>
      </c>
    </row>
    <row r="57" spans="1:4">
      <c r="A57">
        <f t="shared" si="0"/>
        <v>55</v>
      </c>
      <c r="B57">
        <v>550</v>
      </c>
      <c r="C57">
        <v>12657</v>
      </c>
      <c r="D57">
        <f t="shared" si="1"/>
        <v>126.57</v>
      </c>
    </row>
    <row r="58" spans="1:4">
      <c r="A58">
        <f t="shared" si="0"/>
        <v>56</v>
      </c>
      <c r="B58">
        <v>560</v>
      </c>
      <c r="C58">
        <v>12879</v>
      </c>
      <c r="D58">
        <f t="shared" si="1"/>
        <v>128.79</v>
      </c>
    </row>
    <row r="59" spans="1:4">
      <c r="A59">
        <f t="shared" si="0"/>
        <v>57</v>
      </c>
      <c r="B59">
        <v>570</v>
      </c>
      <c r="C59">
        <v>13100</v>
      </c>
      <c r="D59">
        <f t="shared" si="1"/>
        <v>131</v>
      </c>
    </row>
    <row r="60" spans="1:4">
      <c r="A60">
        <f t="shared" si="0"/>
        <v>58</v>
      </c>
      <c r="B60">
        <v>580</v>
      </c>
      <c r="C60">
        <v>13322</v>
      </c>
      <c r="D60">
        <f t="shared" si="1"/>
        <v>133.22</v>
      </c>
    </row>
    <row r="61" spans="1:4">
      <c r="A61">
        <f t="shared" si="0"/>
        <v>59</v>
      </c>
      <c r="B61">
        <v>590</v>
      </c>
      <c r="C61">
        <v>13544</v>
      </c>
      <c r="D61">
        <f t="shared" si="1"/>
        <v>135.44</v>
      </c>
    </row>
    <row r="62" spans="1:4">
      <c r="A62">
        <f t="shared" si="0"/>
        <v>60</v>
      </c>
      <c r="B62">
        <v>600</v>
      </c>
      <c r="C62">
        <v>13766</v>
      </c>
      <c r="D62">
        <f t="shared" si="1"/>
        <v>137.66</v>
      </c>
    </row>
    <row r="63" spans="1:4">
      <c r="A63">
        <f t="shared" si="0"/>
        <v>61</v>
      </c>
      <c r="B63">
        <v>610</v>
      </c>
      <c r="C63">
        <v>13988</v>
      </c>
      <c r="D63">
        <f t="shared" si="1"/>
        <v>139.88</v>
      </c>
    </row>
    <row r="64" spans="1:4">
      <c r="A64">
        <f t="shared" si="0"/>
        <v>62</v>
      </c>
      <c r="B64">
        <v>620</v>
      </c>
      <c r="C64">
        <v>14210</v>
      </c>
      <c r="D64">
        <f t="shared" si="1"/>
        <v>142.1</v>
      </c>
    </row>
    <row r="65" spans="1:4">
      <c r="A65">
        <f t="shared" si="0"/>
        <v>63</v>
      </c>
      <c r="B65">
        <v>630</v>
      </c>
      <c r="C65">
        <v>14432</v>
      </c>
      <c r="D65">
        <f t="shared" si="1"/>
        <v>144.32</v>
      </c>
    </row>
    <row r="66" spans="1:4">
      <c r="A66">
        <f t="shared" si="0"/>
        <v>64</v>
      </c>
      <c r="B66">
        <v>640</v>
      </c>
      <c r="C66">
        <v>14654</v>
      </c>
      <c r="D66">
        <f t="shared" si="1"/>
        <v>146.54</v>
      </c>
    </row>
    <row r="67" spans="1:4">
      <c r="A67">
        <f t="shared" ref="A67:A130" si="2">$B67/10</f>
        <v>65</v>
      </c>
      <c r="B67">
        <v>650</v>
      </c>
      <c r="C67">
        <v>14875</v>
      </c>
      <c r="D67">
        <f t="shared" ref="D67:D130" si="3">$C67/100</f>
        <v>148.75</v>
      </c>
    </row>
    <row r="68" spans="1:4">
      <c r="A68">
        <f t="shared" si="2"/>
        <v>66</v>
      </c>
      <c r="B68">
        <v>660</v>
      </c>
      <c r="C68">
        <v>15097</v>
      </c>
      <c r="D68">
        <f t="shared" si="3"/>
        <v>150.97</v>
      </c>
    </row>
    <row r="69" spans="1:4">
      <c r="A69">
        <f t="shared" si="2"/>
        <v>67</v>
      </c>
      <c r="B69">
        <v>670</v>
      </c>
      <c r="C69">
        <v>15319</v>
      </c>
      <c r="D69">
        <f t="shared" si="3"/>
        <v>153.19</v>
      </c>
    </row>
    <row r="70" spans="1:4">
      <c r="A70">
        <f t="shared" si="2"/>
        <v>68</v>
      </c>
      <c r="B70">
        <v>680</v>
      </c>
      <c r="C70">
        <v>15541</v>
      </c>
      <c r="D70">
        <f t="shared" si="3"/>
        <v>155.41</v>
      </c>
    </row>
    <row r="71" spans="1:4">
      <c r="A71">
        <f t="shared" si="2"/>
        <v>69</v>
      </c>
      <c r="B71">
        <v>690</v>
      </c>
      <c r="C71">
        <v>15763</v>
      </c>
      <c r="D71">
        <f t="shared" si="3"/>
        <v>157.63</v>
      </c>
    </row>
    <row r="72" spans="1:4">
      <c r="A72">
        <f t="shared" si="2"/>
        <v>70</v>
      </c>
      <c r="B72">
        <v>700</v>
      </c>
      <c r="C72">
        <v>15985</v>
      </c>
      <c r="D72">
        <f t="shared" si="3"/>
        <v>159.85</v>
      </c>
    </row>
    <row r="73" spans="1:4">
      <c r="A73">
        <f t="shared" si="2"/>
        <v>71</v>
      </c>
      <c r="B73">
        <v>710</v>
      </c>
      <c r="C73">
        <v>16207</v>
      </c>
      <c r="D73">
        <f t="shared" si="3"/>
        <v>162.07</v>
      </c>
    </row>
    <row r="74" spans="1:4">
      <c r="A74">
        <f t="shared" si="2"/>
        <v>72</v>
      </c>
      <c r="B74">
        <v>720</v>
      </c>
      <c r="C74">
        <v>16429</v>
      </c>
      <c r="D74">
        <f t="shared" si="3"/>
        <v>164.29</v>
      </c>
    </row>
    <row r="75" spans="1:4">
      <c r="A75">
        <f t="shared" si="2"/>
        <v>73</v>
      </c>
      <c r="B75">
        <v>730</v>
      </c>
      <c r="C75">
        <v>16650</v>
      </c>
      <c r="D75">
        <f t="shared" si="3"/>
        <v>166.5</v>
      </c>
    </row>
    <row r="76" spans="1:4">
      <c r="A76">
        <f t="shared" si="2"/>
        <v>74</v>
      </c>
      <c r="B76">
        <v>740</v>
      </c>
      <c r="C76">
        <v>16872</v>
      </c>
      <c r="D76">
        <f t="shared" si="3"/>
        <v>168.72</v>
      </c>
    </row>
    <row r="77" spans="1:4">
      <c r="A77">
        <f t="shared" si="2"/>
        <v>75</v>
      </c>
      <c r="B77">
        <v>750</v>
      </c>
      <c r="C77">
        <v>17094</v>
      </c>
      <c r="D77">
        <f t="shared" si="3"/>
        <v>170.94</v>
      </c>
    </row>
    <row r="78" spans="1:4">
      <c r="A78">
        <f t="shared" si="2"/>
        <v>76</v>
      </c>
      <c r="B78">
        <v>760</v>
      </c>
      <c r="C78">
        <v>17316</v>
      </c>
      <c r="D78">
        <f t="shared" si="3"/>
        <v>173.16</v>
      </c>
    </row>
    <row r="79" spans="1:4">
      <c r="A79">
        <f t="shared" si="2"/>
        <v>77</v>
      </c>
      <c r="B79">
        <v>770</v>
      </c>
      <c r="C79">
        <v>17538</v>
      </c>
      <c r="D79">
        <f t="shared" si="3"/>
        <v>175.38</v>
      </c>
    </row>
    <row r="80" spans="1:4">
      <c r="A80">
        <f t="shared" si="2"/>
        <v>78</v>
      </c>
      <c r="B80">
        <v>780</v>
      </c>
      <c r="C80">
        <v>17760</v>
      </c>
      <c r="D80">
        <f t="shared" si="3"/>
        <v>177.6</v>
      </c>
    </row>
    <row r="81" spans="1:4">
      <c r="A81">
        <f t="shared" si="2"/>
        <v>79</v>
      </c>
      <c r="B81">
        <v>790</v>
      </c>
      <c r="C81">
        <v>17982</v>
      </c>
      <c r="D81">
        <f t="shared" si="3"/>
        <v>179.82</v>
      </c>
    </row>
    <row r="82" spans="1:4">
      <c r="A82">
        <f t="shared" si="2"/>
        <v>80</v>
      </c>
      <c r="B82">
        <v>800</v>
      </c>
      <c r="C82">
        <v>18203</v>
      </c>
      <c r="D82">
        <f t="shared" si="3"/>
        <v>182.03</v>
      </c>
    </row>
    <row r="83" spans="1:4">
      <c r="A83">
        <f t="shared" si="2"/>
        <v>81</v>
      </c>
      <c r="B83">
        <v>810</v>
      </c>
      <c r="C83">
        <v>18425</v>
      </c>
      <c r="D83">
        <f t="shared" si="3"/>
        <v>184.25</v>
      </c>
    </row>
    <row r="84" spans="1:4">
      <c r="A84">
        <f t="shared" si="2"/>
        <v>82</v>
      </c>
      <c r="B84">
        <v>820</v>
      </c>
      <c r="C84">
        <v>18647</v>
      </c>
      <c r="D84">
        <f t="shared" si="3"/>
        <v>186.47</v>
      </c>
    </row>
    <row r="85" spans="1:4">
      <c r="A85">
        <f t="shared" si="2"/>
        <v>83</v>
      </c>
      <c r="B85">
        <v>830</v>
      </c>
      <c r="C85">
        <v>18869</v>
      </c>
      <c r="D85">
        <f t="shared" si="3"/>
        <v>188.69</v>
      </c>
    </row>
    <row r="86" spans="1:4">
      <c r="A86">
        <f t="shared" si="2"/>
        <v>84</v>
      </c>
      <c r="B86">
        <v>840</v>
      </c>
      <c r="C86">
        <v>19091</v>
      </c>
      <c r="D86">
        <f t="shared" si="3"/>
        <v>190.91</v>
      </c>
    </row>
    <row r="87" spans="1:4">
      <c r="A87">
        <f t="shared" si="2"/>
        <v>85</v>
      </c>
      <c r="B87">
        <v>850</v>
      </c>
      <c r="C87">
        <v>19313</v>
      </c>
      <c r="D87">
        <f t="shared" si="3"/>
        <v>193.13</v>
      </c>
    </row>
    <row r="88" spans="1:4">
      <c r="A88">
        <f t="shared" si="2"/>
        <v>86</v>
      </c>
      <c r="B88">
        <v>860</v>
      </c>
      <c r="C88">
        <v>19535</v>
      </c>
      <c r="D88">
        <f t="shared" si="3"/>
        <v>195.35</v>
      </c>
    </row>
    <row r="89" spans="1:4">
      <c r="A89">
        <f t="shared" si="2"/>
        <v>87</v>
      </c>
      <c r="B89">
        <v>870</v>
      </c>
      <c r="C89">
        <v>19757</v>
      </c>
      <c r="D89">
        <f t="shared" si="3"/>
        <v>197.57</v>
      </c>
    </row>
    <row r="90" spans="1:4">
      <c r="A90">
        <f t="shared" si="2"/>
        <v>88</v>
      </c>
      <c r="B90">
        <v>880</v>
      </c>
      <c r="C90">
        <v>19978</v>
      </c>
      <c r="D90">
        <f t="shared" si="3"/>
        <v>199.78</v>
      </c>
    </row>
    <row r="91" spans="1:4">
      <c r="A91">
        <f t="shared" si="2"/>
        <v>89</v>
      </c>
      <c r="B91">
        <v>890</v>
      </c>
      <c r="C91">
        <v>20200</v>
      </c>
      <c r="D91">
        <f t="shared" si="3"/>
        <v>202</v>
      </c>
    </row>
    <row r="92" spans="1:4">
      <c r="A92">
        <f t="shared" si="2"/>
        <v>90</v>
      </c>
      <c r="B92">
        <v>900</v>
      </c>
      <c r="C92">
        <v>20422</v>
      </c>
      <c r="D92">
        <f t="shared" si="3"/>
        <v>204.22</v>
      </c>
    </row>
    <row r="93" spans="1:4">
      <c r="A93">
        <f t="shared" si="2"/>
        <v>91</v>
      </c>
      <c r="B93">
        <v>910</v>
      </c>
      <c r="C93">
        <v>20644</v>
      </c>
      <c r="D93">
        <f t="shared" si="3"/>
        <v>206.44</v>
      </c>
    </row>
    <row r="94" spans="1:4">
      <c r="A94">
        <f t="shared" si="2"/>
        <v>92</v>
      </c>
      <c r="B94">
        <v>920</v>
      </c>
      <c r="C94">
        <v>20866</v>
      </c>
      <c r="D94">
        <f t="shared" si="3"/>
        <v>208.66</v>
      </c>
    </row>
    <row r="95" spans="1:4">
      <c r="A95">
        <f t="shared" si="2"/>
        <v>93</v>
      </c>
      <c r="B95">
        <v>930</v>
      </c>
      <c r="C95">
        <v>21088</v>
      </c>
      <c r="D95">
        <f t="shared" si="3"/>
        <v>210.88</v>
      </c>
    </row>
    <row r="96" spans="1:4">
      <c r="A96">
        <f t="shared" si="2"/>
        <v>94</v>
      </c>
      <c r="B96">
        <v>940</v>
      </c>
      <c r="C96">
        <v>21310</v>
      </c>
      <c r="D96">
        <f t="shared" si="3"/>
        <v>213.1</v>
      </c>
    </row>
    <row r="97" spans="1:4">
      <c r="A97">
        <f t="shared" si="2"/>
        <v>95</v>
      </c>
      <c r="B97">
        <v>950</v>
      </c>
      <c r="C97">
        <v>21532</v>
      </c>
      <c r="D97">
        <f t="shared" si="3"/>
        <v>215.32</v>
      </c>
    </row>
    <row r="98" spans="1:4">
      <c r="A98">
        <f t="shared" si="2"/>
        <v>96</v>
      </c>
      <c r="B98">
        <v>960</v>
      </c>
      <c r="C98">
        <v>21753</v>
      </c>
      <c r="D98">
        <f t="shared" si="3"/>
        <v>217.53</v>
      </c>
    </row>
    <row r="99" spans="1:4">
      <c r="A99">
        <f t="shared" si="2"/>
        <v>97</v>
      </c>
      <c r="B99">
        <v>970</v>
      </c>
      <c r="C99">
        <v>21975</v>
      </c>
      <c r="D99">
        <f t="shared" si="3"/>
        <v>219.75</v>
      </c>
    </row>
    <row r="100" spans="1:4">
      <c r="A100">
        <f t="shared" si="2"/>
        <v>98</v>
      </c>
      <c r="B100">
        <v>980</v>
      </c>
      <c r="C100">
        <v>22197</v>
      </c>
      <c r="D100">
        <f t="shared" si="3"/>
        <v>221.97</v>
      </c>
    </row>
    <row r="101" spans="1:4">
      <c r="A101">
        <f t="shared" si="2"/>
        <v>99</v>
      </c>
      <c r="B101">
        <v>990</v>
      </c>
      <c r="C101">
        <v>22419</v>
      </c>
      <c r="D101">
        <f t="shared" si="3"/>
        <v>224.19</v>
      </c>
    </row>
    <row r="102" spans="1:4">
      <c r="A102">
        <f t="shared" si="2"/>
        <v>100</v>
      </c>
      <c r="B102">
        <v>1000</v>
      </c>
      <c r="C102">
        <v>22641</v>
      </c>
      <c r="D102">
        <f t="shared" si="3"/>
        <v>226.41</v>
      </c>
    </row>
    <row r="103" spans="1:4">
      <c r="A103">
        <f t="shared" si="2"/>
        <v>101</v>
      </c>
      <c r="B103">
        <v>1010</v>
      </c>
      <c r="C103">
        <v>22863</v>
      </c>
      <c r="D103">
        <f t="shared" si="3"/>
        <v>228.63</v>
      </c>
    </row>
    <row r="104" spans="1:4">
      <c r="A104">
        <f t="shared" si="2"/>
        <v>102</v>
      </c>
      <c r="B104">
        <v>1020</v>
      </c>
      <c r="C104">
        <v>23085</v>
      </c>
      <c r="D104">
        <f t="shared" si="3"/>
        <v>230.85</v>
      </c>
    </row>
    <row r="105" spans="1:4">
      <c r="A105">
        <f t="shared" si="2"/>
        <v>103</v>
      </c>
      <c r="B105">
        <v>1030</v>
      </c>
      <c r="C105">
        <v>23306</v>
      </c>
      <c r="D105">
        <f t="shared" si="3"/>
        <v>233.06</v>
      </c>
    </row>
    <row r="106" spans="1:4">
      <c r="A106">
        <f t="shared" si="2"/>
        <v>104</v>
      </c>
      <c r="B106">
        <v>1040</v>
      </c>
      <c r="C106">
        <v>23528</v>
      </c>
      <c r="D106">
        <f t="shared" si="3"/>
        <v>235.28</v>
      </c>
    </row>
    <row r="107" spans="1:4">
      <c r="A107">
        <f t="shared" si="2"/>
        <v>105</v>
      </c>
      <c r="B107">
        <v>1050</v>
      </c>
      <c r="C107">
        <v>23750</v>
      </c>
      <c r="D107">
        <f t="shared" si="3"/>
        <v>237.5</v>
      </c>
    </row>
    <row r="108" spans="1:4">
      <c r="A108">
        <f t="shared" si="2"/>
        <v>106</v>
      </c>
      <c r="B108">
        <v>1060</v>
      </c>
      <c r="C108">
        <v>23972</v>
      </c>
      <c r="D108">
        <f t="shared" si="3"/>
        <v>239.72</v>
      </c>
    </row>
    <row r="109" spans="1:4">
      <c r="A109">
        <f t="shared" si="2"/>
        <v>107</v>
      </c>
      <c r="B109">
        <v>1070</v>
      </c>
      <c r="C109">
        <v>24194</v>
      </c>
      <c r="D109">
        <f t="shared" si="3"/>
        <v>241.94</v>
      </c>
    </row>
    <row r="110" spans="1:4">
      <c r="A110">
        <f t="shared" si="2"/>
        <v>108</v>
      </c>
      <c r="B110">
        <v>1080</v>
      </c>
      <c r="C110">
        <v>24416</v>
      </c>
      <c r="D110">
        <f t="shared" si="3"/>
        <v>244.16</v>
      </c>
    </row>
    <row r="111" spans="1:4">
      <c r="A111">
        <f t="shared" si="2"/>
        <v>109</v>
      </c>
      <c r="B111">
        <v>1090</v>
      </c>
      <c r="C111">
        <v>24638</v>
      </c>
      <c r="D111">
        <f t="shared" si="3"/>
        <v>246.38</v>
      </c>
    </row>
    <row r="112" spans="1:4">
      <c r="A112">
        <f t="shared" si="2"/>
        <v>110</v>
      </c>
      <c r="B112">
        <v>1100</v>
      </c>
      <c r="C112">
        <v>24860</v>
      </c>
      <c r="D112">
        <f t="shared" si="3"/>
        <v>248.6</v>
      </c>
    </row>
    <row r="113" spans="1:4">
      <c r="A113">
        <f t="shared" si="2"/>
        <v>111</v>
      </c>
      <c r="B113">
        <v>1110</v>
      </c>
      <c r="C113">
        <v>25081</v>
      </c>
      <c r="D113">
        <f t="shared" si="3"/>
        <v>250.81</v>
      </c>
    </row>
    <row r="114" spans="1:4">
      <c r="A114">
        <f t="shared" si="2"/>
        <v>112</v>
      </c>
      <c r="B114">
        <v>1120</v>
      </c>
      <c r="C114">
        <v>25303</v>
      </c>
      <c r="D114">
        <f t="shared" si="3"/>
        <v>253.03</v>
      </c>
    </row>
    <row r="115" spans="1:4">
      <c r="A115">
        <f t="shared" si="2"/>
        <v>113</v>
      </c>
      <c r="B115">
        <v>1130</v>
      </c>
      <c r="C115">
        <v>25525</v>
      </c>
      <c r="D115">
        <f t="shared" si="3"/>
        <v>255.25</v>
      </c>
    </row>
    <row r="116" spans="1:4">
      <c r="A116">
        <f t="shared" si="2"/>
        <v>114</v>
      </c>
      <c r="B116">
        <v>1140</v>
      </c>
      <c r="C116">
        <v>25747</v>
      </c>
      <c r="D116">
        <f t="shared" si="3"/>
        <v>257.47000000000003</v>
      </c>
    </row>
    <row r="117" spans="1:4">
      <c r="A117">
        <f t="shared" si="2"/>
        <v>115</v>
      </c>
      <c r="B117">
        <v>1150</v>
      </c>
      <c r="C117">
        <v>25969</v>
      </c>
      <c r="D117">
        <f t="shared" si="3"/>
        <v>259.69</v>
      </c>
    </row>
    <row r="118" spans="1:4">
      <c r="A118">
        <f t="shared" si="2"/>
        <v>116</v>
      </c>
      <c r="B118">
        <v>1160</v>
      </c>
      <c r="C118">
        <v>26191</v>
      </c>
      <c r="D118">
        <f t="shared" si="3"/>
        <v>261.91000000000003</v>
      </c>
    </row>
    <row r="119" spans="1:4">
      <c r="A119">
        <f t="shared" si="2"/>
        <v>117</v>
      </c>
      <c r="B119">
        <v>1170</v>
      </c>
      <c r="C119">
        <v>26413</v>
      </c>
      <c r="D119">
        <f t="shared" si="3"/>
        <v>264.13</v>
      </c>
    </row>
    <row r="120" spans="1:4">
      <c r="A120">
        <f t="shared" si="2"/>
        <v>118</v>
      </c>
      <c r="B120">
        <v>1180</v>
      </c>
      <c r="C120">
        <v>26635</v>
      </c>
      <c r="D120">
        <f t="shared" si="3"/>
        <v>266.35000000000002</v>
      </c>
    </row>
    <row r="121" spans="1:4">
      <c r="A121">
        <f t="shared" si="2"/>
        <v>119</v>
      </c>
      <c r="B121">
        <v>1190</v>
      </c>
      <c r="C121">
        <v>26856</v>
      </c>
      <c r="D121">
        <f t="shared" si="3"/>
        <v>268.56</v>
      </c>
    </row>
    <row r="122" spans="1:4">
      <c r="A122">
        <f t="shared" si="2"/>
        <v>120</v>
      </c>
      <c r="B122">
        <v>1200</v>
      </c>
      <c r="C122">
        <v>27078</v>
      </c>
      <c r="D122">
        <f t="shared" si="3"/>
        <v>270.77999999999997</v>
      </c>
    </row>
    <row r="123" spans="1:4">
      <c r="A123">
        <f t="shared" si="2"/>
        <v>121</v>
      </c>
      <c r="B123">
        <v>1210</v>
      </c>
      <c r="C123">
        <v>27300</v>
      </c>
      <c r="D123">
        <f t="shared" si="3"/>
        <v>273</v>
      </c>
    </row>
    <row r="124" spans="1:4">
      <c r="A124">
        <f t="shared" si="2"/>
        <v>122</v>
      </c>
      <c r="B124">
        <v>1220</v>
      </c>
      <c r="C124">
        <v>27522</v>
      </c>
      <c r="D124">
        <f t="shared" si="3"/>
        <v>275.22000000000003</v>
      </c>
    </row>
    <row r="125" spans="1:4">
      <c r="A125">
        <f t="shared" si="2"/>
        <v>123</v>
      </c>
      <c r="B125">
        <v>1230</v>
      </c>
      <c r="C125">
        <v>27744</v>
      </c>
      <c r="D125">
        <f t="shared" si="3"/>
        <v>277.44</v>
      </c>
    </row>
    <row r="126" spans="1:4">
      <c r="A126">
        <f t="shared" si="2"/>
        <v>124</v>
      </c>
      <c r="B126">
        <v>1240</v>
      </c>
      <c r="C126">
        <v>27966</v>
      </c>
      <c r="D126">
        <f t="shared" si="3"/>
        <v>279.66000000000003</v>
      </c>
    </row>
    <row r="127" spans="1:4">
      <c r="A127">
        <f t="shared" si="2"/>
        <v>125</v>
      </c>
      <c r="B127">
        <v>1250</v>
      </c>
      <c r="C127">
        <v>28188</v>
      </c>
      <c r="D127">
        <f t="shared" si="3"/>
        <v>281.88</v>
      </c>
    </row>
    <row r="128" spans="1:4">
      <c r="A128">
        <f t="shared" si="2"/>
        <v>126</v>
      </c>
      <c r="B128">
        <v>1260</v>
      </c>
      <c r="C128">
        <v>28410</v>
      </c>
      <c r="D128">
        <f t="shared" si="3"/>
        <v>284.10000000000002</v>
      </c>
    </row>
    <row r="129" spans="1:4">
      <c r="A129">
        <f t="shared" si="2"/>
        <v>127</v>
      </c>
      <c r="B129">
        <v>1270</v>
      </c>
      <c r="C129">
        <v>28631</v>
      </c>
      <c r="D129">
        <f t="shared" si="3"/>
        <v>286.31</v>
      </c>
    </row>
    <row r="130" spans="1:4">
      <c r="A130">
        <f t="shared" si="2"/>
        <v>128</v>
      </c>
      <c r="B130">
        <v>1280</v>
      </c>
      <c r="C130">
        <v>28853</v>
      </c>
      <c r="D130">
        <f t="shared" si="3"/>
        <v>288.52999999999997</v>
      </c>
    </row>
    <row r="131" spans="1:4">
      <c r="A131">
        <f t="shared" ref="A131:A194" si="4">$B131/10</f>
        <v>129</v>
      </c>
      <c r="B131">
        <v>1290</v>
      </c>
      <c r="C131">
        <v>29075</v>
      </c>
      <c r="D131">
        <f t="shared" ref="D131:D194" si="5">$C131/100</f>
        <v>290.75</v>
      </c>
    </row>
    <row r="132" spans="1:4">
      <c r="A132">
        <f t="shared" si="4"/>
        <v>130</v>
      </c>
      <c r="B132">
        <v>1300</v>
      </c>
      <c r="C132">
        <v>29297</v>
      </c>
      <c r="D132">
        <f t="shared" si="5"/>
        <v>292.97000000000003</v>
      </c>
    </row>
    <row r="133" spans="1:4">
      <c r="A133">
        <f t="shared" si="4"/>
        <v>131</v>
      </c>
      <c r="B133">
        <v>1310</v>
      </c>
      <c r="C133">
        <v>29519</v>
      </c>
      <c r="D133">
        <f t="shared" si="5"/>
        <v>295.19</v>
      </c>
    </row>
    <row r="134" spans="1:4">
      <c r="A134">
        <f t="shared" si="4"/>
        <v>132</v>
      </c>
      <c r="B134">
        <v>1320</v>
      </c>
      <c r="C134">
        <v>29741</v>
      </c>
      <c r="D134">
        <f t="shared" si="5"/>
        <v>297.41000000000003</v>
      </c>
    </row>
    <row r="135" spans="1:4">
      <c r="A135">
        <f t="shared" si="4"/>
        <v>133</v>
      </c>
      <c r="B135">
        <v>1330</v>
      </c>
      <c r="C135">
        <v>29963</v>
      </c>
      <c r="D135">
        <f t="shared" si="5"/>
        <v>299.63</v>
      </c>
    </row>
    <row r="136" spans="1:4">
      <c r="A136">
        <f t="shared" si="4"/>
        <v>134</v>
      </c>
      <c r="B136">
        <v>1340</v>
      </c>
      <c r="C136">
        <v>30184</v>
      </c>
      <c r="D136">
        <f t="shared" si="5"/>
        <v>301.83999999999997</v>
      </c>
    </row>
    <row r="137" spans="1:4">
      <c r="A137">
        <f t="shared" si="4"/>
        <v>135</v>
      </c>
      <c r="B137">
        <v>1350</v>
      </c>
      <c r="C137">
        <v>30406</v>
      </c>
      <c r="D137">
        <f t="shared" si="5"/>
        <v>304.06</v>
      </c>
    </row>
    <row r="138" spans="1:4">
      <c r="A138">
        <f t="shared" si="4"/>
        <v>136</v>
      </c>
      <c r="B138">
        <v>1360</v>
      </c>
      <c r="C138">
        <v>30628</v>
      </c>
      <c r="D138">
        <f t="shared" si="5"/>
        <v>306.27999999999997</v>
      </c>
    </row>
    <row r="139" spans="1:4">
      <c r="A139">
        <f t="shared" si="4"/>
        <v>137</v>
      </c>
      <c r="B139">
        <v>1370</v>
      </c>
      <c r="C139">
        <v>30850</v>
      </c>
      <c r="D139">
        <f t="shared" si="5"/>
        <v>308.5</v>
      </c>
    </row>
    <row r="140" spans="1:4">
      <c r="A140">
        <f t="shared" si="4"/>
        <v>138</v>
      </c>
      <c r="B140">
        <v>1380</v>
      </c>
      <c r="C140">
        <v>31072</v>
      </c>
      <c r="D140">
        <f t="shared" si="5"/>
        <v>310.72000000000003</v>
      </c>
    </row>
    <row r="141" spans="1:4">
      <c r="A141">
        <f t="shared" si="4"/>
        <v>139</v>
      </c>
      <c r="B141">
        <v>1390</v>
      </c>
      <c r="C141">
        <v>31294</v>
      </c>
      <c r="D141">
        <f t="shared" si="5"/>
        <v>312.94</v>
      </c>
    </row>
    <row r="142" spans="1:4">
      <c r="A142">
        <f t="shared" si="4"/>
        <v>140</v>
      </c>
      <c r="B142">
        <v>1400</v>
      </c>
      <c r="C142">
        <v>31516</v>
      </c>
      <c r="D142">
        <f t="shared" si="5"/>
        <v>315.16000000000003</v>
      </c>
    </row>
    <row r="143" spans="1:4">
      <c r="A143">
        <f t="shared" si="4"/>
        <v>141</v>
      </c>
      <c r="B143">
        <v>1410</v>
      </c>
      <c r="C143">
        <v>31738</v>
      </c>
      <c r="D143">
        <f t="shared" si="5"/>
        <v>317.38</v>
      </c>
    </row>
    <row r="144" spans="1:4">
      <c r="A144">
        <f t="shared" si="4"/>
        <v>142</v>
      </c>
      <c r="B144">
        <v>1420</v>
      </c>
      <c r="C144">
        <v>31959</v>
      </c>
      <c r="D144">
        <f t="shared" si="5"/>
        <v>319.58999999999997</v>
      </c>
    </row>
    <row r="145" spans="1:4">
      <c r="A145">
        <f t="shared" si="4"/>
        <v>143</v>
      </c>
      <c r="B145">
        <v>1430</v>
      </c>
      <c r="C145">
        <v>32181</v>
      </c>
      <c r="D145">
        <f t="shared" si="5"/>
        <v>321.81</v>
      </c>
    </row>
    <row r="146" spans="1:4">
      <c r="A146">
        <f t="shared" si="4"/>
        <v>144</v>
      </c>
      <c r="B146">
        <v>1440</v>
      </c>
      <c r="C146">
        <v>32403</v>
      </c>
      <c r="D146">
        <f t="shared" si="5"/>
        <v>324.02999999999997</v>
      </c>
    </row>
    <row r="147" spans="1:4">
      <c r="A147">
        <f t="shared" si="4"/>
        <v>145</v>
      </c>
      <c r="B147">
        <v>1450</v>
      </c>
      <c r="C147">
        <v>32625</v>
      </c>
      <c r="D147">
        <f t="shared" si="5"/>
        <v>326.25</v>
      </c>
    </row>
    <row r="148" spans="1:4">
      <c r="A148">
        <f t="shared" si="4"/>
        <v>146</v>
      </c>
      <c r="B148">
        <v>1460</v>
      </c>
      <c r="C148">
        <v>32847</v>
      </c>
      <c r="D148">
        <f t="shared" si="5"/>
        <v>328.47</v>
      </c>
    </row>
    <row r="149" spans="1:4">
      <c r="A149">
        <f t="shared" si="4"/>
        <v>147</v>
      </c>
      <c r="B149">
        <v>1470</v>
      </c>
      <c r="C149">
        <v>33069</v>
      </c>
      <c r="D149">
        <f t="shared" si="5"/>
        <v>330.69</v>
      </c>
    </row>
    <row r="150" spans="1:4">
      <c r="A150">
        <f t="shared" si="4"/>
        <v>148</v>
      </c>
      <c r="B150">
        <v>1480</v>
      </c>
      <c r="C150">
        <v>33291</v>
      </c>
      <c r="D150">
        <f t="shared" si="5"/>
        <v>332.91</v>
      </c>
    </row>
    <row r="151" spans="1:4">
      <c r="A151">
        <f t="shared" si="4"/>
        <v>149</v>
      </c>
      <c r="B151">
        <v>1490</v>
      </c>
      <c r="C151">
        <v>33513</v>
      </c>
      <c r="D151">
        <f t="shared" si="5"/>
        <v>335.13</v>
      </c>
    </row>
    <row r="152" spans="1:4">
      <c r="A152">
        <f t="shared" si="4"/>
        <v>150</v>
      </c>
      <c r="B152">
        <v>1500</v>
      </c>
      <c r="C152">
        <v>33734</v>
      </c>
      <c r="D152">
        <f t="shared" si="5"/>
        <v>337.34</v>
      </c>
    </row>
    <row r="153" spans="1:4">
      <c r="A153">
        <f t="shared" si="4"/>
        <v>151</v>
      </c>
      <c r="B153">
        <v>1510</v>
      </c>
      <c r="C153">
        <v>33956</v>
      </c>
      <c r="D153">
        <f t="shared" si="5"/>
        <v>339.56</v>
      </c>
    </row>
    <row r="154" spans="1:4">
      <c r="A154">
        <f t="shared" si="4"/>
        <v>152</v>
      </c>
      <c r="B154">
        <v>1520</v>
      </c>
      <c r="C154">
        <v>34178</v>
      </c>
      <c r="D154">
        <f t="shared" si="5"/>
        <v>341.78</v>
      </c>
    </row>
    <row r="155" spans="1:4">
      <c r="A155">
        <f t="shared" si="4"/>
        <v>153</v>
      </c>
      <c r="B155">
        <v>1530</v>
      </c>
      <c r="C155">
        <v>34400</v>
      </c>
      <c r="D155">
        <f t="shared" si="5"/>
        <v>344</v>
      </c>
    </row>
    <row r="156" spans="1:4">
      <c r="A156">
        <f t="shared" si="4"/>
        <v>154</v>
      </c>
      <c r="B156">
        <v>1540</v>
      </c>
      <c r="C156">
        <v>34622</v>
      </c>
      <c r="D156">
        <f t="shared" si="5"/>
        <v>346.22</v>
      </c>
    </row>
    <row r="157" spans="1:4">
      <c r="A157">
        <f t="shared" si="4"/>
        <v>155</v>
      </c>
      <c r="B157">
        <v>1550</v>
      </c>
      <c r="C157">
        <v>34844</v>
      </c>
      <c r="D157">
        <f t="shared" si="5"/>
        <v>348.44</v>
      </c>
    </row>
    <row r="158" spans="1:4">
      <c r="A158">
        <f t="shared" si="4"/>
        <v>156</v>
      </c>
      <c r="B158">
        <v>1560</v>
      </c>
      <c r="C158">
        <v>35066</v>
      </c>
      <c r="D158">
        <f t="shared" si="5"/>
        <v>350.66</v>
      </c>
    </row>
    <row r="159" spans="1:4">
      <c r="A159">
        <f t="shared" si="4"/>
        <v>157</v>
      </c>
      <c r="B159">
        <v>1570</v>
      </c>
      <c r="C159">
        <v>35287</v>
      </c>
      <c r="D159">
        <f t="shared" si="5"/>
        <v>352.87</v>
      </c>
    </row>
    <row r="160" spans="1:4">
      <c r="A160">
        <f t="shared" si="4"/>
        <v>158</v>
      </c>
      <c r="B160">
        <v>1580</v>
      </c>
      <c r="C160">
        <v>35509</v>
      </c>
      <c r="D160">
        <f t="shared" si="5"/>
        <v>355.09</v>
      </c>
    </row>
    <row r="161" spans="1:4">
      <c r="A161">
        <f t="shared" si="4"/>
        <v>159</v>
      </c>
      <c r="B161">
        <v>1590</v>
      </c>
      <c r="C161">
        <v>35731</v>
      </c>
      <c r="D161">
        <f t="shared" si="5"/>
        <v>357.31</v>
      </c>
    </row>
    <row r="162" spans="1:4">
      <c r="A162">
        <f t="shared" si="4"/>
        <v>160</v>
      </c>
      <c r="B162">
        <v>1600</v>
      </c>
      <c r="C162">
        <v>35953</v>
      </c>
      <c r="D162">
        <f t="shared" si="5"/>
        <v>359.53</v>
      </c>
    </row>
    <row r="163" spans="1:4">
      <c r="A163">
        <f t="shared" si="4"/>
        <v>161</v>
      </c>
      <c r="B163">
        <v>1610</v>
      </c>
      <c r="C163">
        <v>36175</v>
      </c>
      <c r="D163">
        <f t="shared" si="5"/>
        <v>361.75</v>
      </c>
    </row>
    <row r="164" spans="1:4">
      <c r="A164">
        <f t="shared" si="4"/>
        <v>162</v>
      </c>
      <c r="B164">
        <v>1620</v>
      </c>
      <c r="C164">
        <v>36397</v>
      </c>
      <c r="D164">
        <f t="shared" si="5"/>
        <v>363.97</v>
      </c>
    </row>
    <row r="165" spans="1:4">
      <c r="A165">
        <f t="shared" si="4"/>
        <v>163</v>
      </c>
      <c r="B165">
        <v>1630</v>
      </c>
      <c r="C165">
        <v>36619</v>
      </c>
      <c r="D165">
        <f t="shared" si="5"/>
        <v>366.19</v>
      </c>
    </row>
    <row r="166" spans="1:4">
      <c r="A166">
        <f t="shared" si="4"/>
        <v>164</v>
      </c>
      <c r="B166">
        <v>1640</v>
      </c>
      <c r="C166">
        <v>36841</v>
      </c>
      <c r="D166">
        <f t="shared" si="5"/>
        <v>368.41</v>
      </c>
    </row>
    <row r="167" spans="1:4">
      <c r="A167">
        <f t="shared" si="4"/>
        <v>165</v>
      </c>
      <c r="B167">
        <v>1650</v>
      </c>
      <c r="C167">
        <v>37062</v>
      </c>
      <c r="D167">
        <f t="shared" si="5"/>
        <v>370.62</v>
      </c>
    </row>
    <row r="168" spans="1:4">
      <c r="A168">
        <f t="shared" si="4"/>
        <v>166</v>
      </c>
      <c r="B168">
        <v>1660</v>
      </c>
      <c r="C168">
        <v>37284</v>
      </c>
      <c r="D168">
        <f t="shared" si="5"/>
        <v>372.84</v>
      </c>
    </row>
    <row r="169" spans="1:4">
      <c r="A169">
        <f t="shared" si="4"/>
        <v>167</v>
      </c>
      <c r="B169">
        <v>1670</v>
      </c>
      <c r="C169">
        <v>37506</v>
      </c>
      <c r="D169">
        <f t="shared" si="5"/>
        <v>375.06</v>
      </c>
    </row>
    <row r="170" spans="1:4">
      <c r="A170">
        <f t="shared" si="4"/>
        <v>168</v>
      </c>
      <c r="B170">
        <v>1680</v>
      </c>
      <c r="C170">
        <v>37728</v>
      </c>
      <c r="D170">
        <f t="shared" si="5"/>
        <v>377.28</v>
      </c>
    </row>
    <row r="171" spans="1:4">
      <c r="A171">
        <f t="shared" si="4"/>
        <v>169</v>
      </c>
      <c r="B171">
        <v>1690</v>
      </c>
      <c r="C171">
        <v>37950</v>
      </c>
      <c r="D171">
        <f t="shared" si="5"/>
        <v>379.5</v>
      </c>
    </row>
    <row r="172" spans="1:4">
      <c r="A172">
        <f t="shared" si="4"/>
        <v>170</v>
      </c>
      <c r="B172">
        <v>1700</v>
      </c>
      <c r="C172">
        <v>38172</v>
      </c>
      <c r="D172">
        <f t="shared" si="5"/>
        <v>381.72</v>
      </c>
    </row>
    <row r="173" spans="1:4">
      <c r="A173">
        <f t="shared" si="4"/>
        <v>171</v>
      </c>
      <c r="B173">
        <v>1710</v>
      </c>
      <c r="C173">
        <v>38394</v>
      </c>
      <c r="D173">
        <f t="shared" si="5"/>
        <v>383.94</v>
      </c>
    </row>
    <row r="174" spans="1:4">
      <c r="A174">
        <f t="shared" si="4"/>
        <v>172</v>
      </c>
      <c r="B174">
        <v>1720</v>
      </c>
      <c r="C174">
        <v>38616</v>
      </c>
      <c r="D174">
        <f t="shared" si="5"/>
        <v>386.16</v>
      </c>
    </row>
    <row r="175" spans="1:4">
      <c r="A175">
        <f t="shared" si="4"/>
        <v>173</v>
      </c>
      <c r="B175">
        <v>1730</v>
      </c>
      <c r="C175">
        <v>38837</v>
      </c>
      <c r="D175">
        <f t="shared" si="5"/>
        <v>388.37</v>
      </c>
    </row>
    <row r="176" spans="1:4">
      <c r="A176">
        <f t="shared" si="4"/>
        <v>174</v>
      </c>
      <c r="B176">
        <v>1740</v>
      </c>
      <c r="C176">
        <v>39059</v>
      </c>
      <c r="D176">
        <f t="shared" si="5"/>
        <v>390.59</v>
      </c>
    </row>
    <row r="177" spans="1:4">
      <c r="A177">
        <f t="shared" si="4"/>
        <v>175</v>
      </c>
      <c r="B177">
        <v>1750</v>
      </c>
      <c r="C177">
        <v>39281</v>
      </c>
      <c r="D177">
        <f t="shared" si="5"/>
        <v>392.81</v>
      </c>
    </row>
    <row r="178" spans="1:4">
      <c r="A178">
        <f t="shared" si="4"/>
        <v>176</v>
      </c>
      <c r="B178">
        <v>1760</v>
      </c>
      <c r="C178">
        <v>39503</v>
      </c>
      <c r="D178">
        <f t="shared" si="5"/>
        <v>395.03</v>
      </c>
    </row>
    <row r="179" spans="1:4">
      <c r="A179">
        <f t="shared" si="4"/>
        <v>177</v>
      </c>
      <c r="B179">
        <v>1770</v>
      </c>
      <c r="C179">
        <v>39725</v>
      </c>
      <c r="D179">
        <f t="shared" si="5"/>
        <v>397.25</v>
      </c>
    </row>
    <row r="180" spans="1:4">
      <c r="A180">
        <f t="shared" si="4"/>
        <v>178</v>
      </c>
      <c r="B180">
        <v>1780</v>
      </c>
      <c r="C180">
        <v>39947</v>
      </c>
      <c r="D180">
        <f t="shared" si="5"/>
        <v>399.47</v>
      </c>
    </row>
    <row r="181" spans="1:4">
      <c r="A181">
        <f t="shared" si="4"/>
        <v>179</v>
      </c>
      <c r="B181">
        <v>1790</v>
      </c>
      <c r="C181">
        <v>40169</v>
      </c>
      <c r="D181">
        <f t="shared" si="5"/>
        <v>401.69</v>
      </c>
    </row>
    <row r="182" spans="1:4">
      <c r="A182">
        <f t="shared" si="4"/>
        <v>180</v>
      </c>
      <c r="B182">
        <v>1800</v>
      </c>
      <c r="C182">
        <v>40390</v>
      </c>
      <c r="D182">
        <f t="shared" si="5"/>
        <v>403.9</v>
      </c>
    </row>
    <row r="183" spans="1:4">
      <c r="A183">
        <f t="shared" si="4"/>
        <v>181</v>
      </c>
      <c r="B183">
        <v>1810</v>
      </c>
      <c r="C183">
        <v>40612</v>
      </c>
      <c r="D183">
        <f t="shared" si="5"/>
        <v>406.12</v>
      </c>
    </row>
    <row r="184" spans="1:4">
      <c r="A184">
        <f t="shared" si="4"/>
        <v>182</v>
      </c>
      <c r="B184">
        <v>1820</v>
      </c>
      <c r="C184">
        <v>40834</v>
      </c>
      <c r="D184">
        <f t="shared" si="5"/>
        <v>408.34</v>
      </c>
    </row>
    <row r="185" spans="1:4">
      <c r="A185">
        <f t="shared" si="4"/>
        <v>183</v>
      </c>
      <c r="B185">
        <v>1830</v>
      </c>
      <c r="C185">
        <v>41056</v>
      </c>
      <c r="D185">
        <f t="shared" si="5"/>
        <v>410.56</v>
      </c>
    </row>
    <row r="186" spans="1:4">
      <c r="A186">
        <f t="shared" si="4"/>
        <v>184</v>
      </c>
      <c r="B186">
        <v>1840</v>
      </c>
      <c r="C186">
        <v>41278</v>
      </c>
      <c r="D186">
        <f t="shared" si="5"/>
        <v>412.78</v>
      </c>
    </row>
    <row r="187" spans="1:4">
      <c r="A187">
        <f t="shared" si="4"/>
        <v>185</v>
      </c>
      <c r="B187">
        <v>1850</v>
      </c>
      <c r="C187">
        <v>41500</v>
      </c>
      <c r="D187">
        <f t="shared" si="5"/>
        <v>415</v>
      </c>
    </row>
    <row r="188" spans="1:4">
      <c r="A188">
        <f t="shared" si="4"/>
        <v>186</v>
      </c>
      <c r="B188">
        <v>1860</v>
      </c>
      <c r="C188">
        <v>41722</v>
      </c>
      <c r="D188">
        <f t="shared" si="5"/>
        <v>417.22</v>
      </c>
    </row>
    <row r="189" spans="1:4">
      <c r="A189">
        <f t="shared" si="4"/>
        <v>187</v>
      </c>
      <c r="B189">
        <v>1870</v>
      </c>
      <c r="C189">
        <v>41944</v>
      </c>
      <c r="D189">
        <f t="shared" si="5"/>
        <v>419.44</v>
      </c>
    </row>
    <row r="190" spans="1:4">
      <c r="A190">
        <f t="shared" si="4"/>
        <v>188</v>
      </c>
      <c r="B190">
        <v>1880</v>
      </c>
      <c r="C190">
        <v>42165</v>
      </c>
      <c r="D190">
        <f t="shared" si="5"/>
        <v>421.65</v>
      </c>
    </row>
    <row r="191" spans="1:4">
      <c r="A191">
        <f t="shared" si="4"/>
        <v>189</v>
      </c>
      <c r="B191">
        <v>1890</v>
      </c>
      <c r="C191">
        <v>42387</v>
      </c>
      <c r="D191">
        <f t="shared" si="5"/>
        <v>423.87</v>
      </c>
    </row>
    <row r="192" spans="1:4">
      <c r="A192">
        <f t="shared" si="4"/>
        <v>190</v>
      </c>
      <c r="B192">
        <v>1900</v>
      </c>
      <c r="C192">
        <v>42609</v>
      </c>
      <c r="D192">
        <f t="shared" si="5"/>
        <v>426.09</v>
      </c>
    </row>
    <row r="193" spans="1:4">
      <c r="A193">
        <f t="shared" si="4"/>
        <v>191</v>
      </c>
      <c r="B193">
        <v>1910</v>
      </c>
      <c r="C193">
        <v>42831</v>
      </c>
      <c r="D193">
        <f t="shared" si="5"/>
        <v>428.31</v>
      </c>
    </row>
    <row r="194" spans="1:4">
      <c r="A194">
        <f t="shared" si="4"/>
        <v>192</v>
      </c>
      <c r="B194">
        <v>1920</v>
      </c>
      <c r="C194">
        <v>43053</v>
      </c>
      <c r="D194">
        <f t="shared" si="5"/>
        <v>430.53</v>
      </c>
    </row>
    <row r="195" spans="1:4">
      <c r="A195">
        <f t="shared" ref="A195:A258" si="6">$B195/10</f>
        <v>193</v>
      </c>
      <c r="B195">
        <v>1930</v>
      </c>
      <c r="C195">
        <v>43275</v>
      </c>
      <c r="D195">
        <f t="shared" ref="D195:D258" si="7">$C195/100</f>
        <v>432.75</v>
      </c>
    </row>
    <row r="196" spans="1:4">
      <c r="A196">
        <f t="shared" si="6"/>
        <v>194</v>
      </c>
      <c r="B196">
        <v>1940</v>
      </c>
      <c r="C196">
        <v>43497</v>
      </c>
      <c r="D196">
        <f t="shared" si="7"/>
        <v>434.97</v>
      </c>
    </row>
    <row r="197" spans="1:4">
      <c r="A197">
        <f t="shared" si="6"/>
        <v>195</v>
      </c>
      <c r="B197">
        <v>1950</v>
      </c>
      <c r="C197">
        <v>43719</v>
      </c>
      <c r="D197">
        <f t="shared" si="7"/>
        <v>437.19</v>
      </c>
    </row>
    <row r="198" spans="1:4">
      <c r="A198">
        <f t="shared" si="6"/>
        <v>196</v>
      </c>
      <c r="B198">
        <v>1960</v>
      </c>
      <c r="C198">
        <v>43940</v>
      </c>
      <c r="D198">
        <f t="shared" si="7"/>
        <v>439.4</v>
      </c>
    </row>
    <row r="199" spans="1:4">
      <c r="A199">
        <f t="shared" si="6"/>
        <v>197</v>
      </c>
      <c r="B199">
        <v>1970</v>
      </c>
      <c r="C199">
        <v>44162</v>
      </c>
      <c r="D199">
        <f t="shared" si="7"/>
        <v>441.62</v>
      </c>
    </row>
    <row r="200" spans="1:4">
      <c r="A200">
        <f t="shared" si="6"/>
        <v>198</v>
      </c>
      <c r="B200">
        <v>1980</v>
      </c>
      <c r="C200">
        <v>44384</v>
      </c>
      <c r="D200">
        <f t="shared" si="7"/>
        <v>443.84</v>
      </c>
    </row>
    <row r="201" spans="1:4">
      <c r="A201">
        <f t="shared" si="6"/>
        <v>199</v>
      </c>
      <c r="B201">
        <v>1990</v>
      </c>
      <c r="C201">
        <v>44606</v>
      </c>
      <c r="D201">
        <f t="shared" si="7"/>
        <v>446.06</v>
      </c>
    </row>
    <row r="202" spans="1:4">
      <c r="A202">
        <f t="shared" si="6"/>
        <v>200</v>
      </c>
      <c r="B202">
        <v>2000</v>
      </c>
      <c r="C202">
        <v>44828</v>
      </c>
      <c r="D202">
        <f t="shared" si="7"/>
        <v>448.28</v>
      </c>
    </row>
    <row r="203" spans="1:4">
      <c r="A203">
        <f t="shared" si="6"/>
        <v>201</v>
      </c>
      <c r="B203">
        <v>2010</v>
      </c>
      <c r="C203">
        <v>45050</v>
      </c>
      <c r="D203">
        <f t="shared" si="7"/>
        <v>450.5</v>
      </c>
    </row>
    <row r="204" spans="1:4">
      <c r="A204">
        <f t="shared" si="6"/>
        <v>202</v>
      </c>
      <c r="B204">
        <v>2020</v>
      </c>
      <c r="C204">
        <v>45272</v>
      </c>
      <c r="D204">
        <f t="shared" si="7"/>
        <v>452.72</v>
      </c>
    </row>
    <row r="205" spans="1:4">
      <c r="A205">
        <f t="shared" si="6"/>
        <v>203</v>
      </c>
      <c r="B205">
        <v>2030</v>
      </c>
      <c r="C205">
        <v>45494</v>
      </c>
      <c r="D205">
        <f t="shared" si="7"/>
        <v>454.94</v>
      </c>
    </row>
    <row r="206" spans="1:4">
      <c r="A206">
        <f t="shared" si="6"/>
        <v>204</v>
      </c>
      <c r="B206">
        <v>2040</v>
      </c>
      <c r="C206">
        <v>45715</v>
      </c>
      <c r="D206">
        <f t="shared" si="7"/>
        <v>457.15</v>
      </c>
    </row>
    <row r="207" spans="1:4">
      <c r="A207">
        <f t="shared" si="6"/>
        <v>205</v>
      </c>
      <c r="B207">
        <v>2050</v>
      </c>
      <c r="C207">
        <v>45937</v>
      </c>
      <c r="D207">
        <f t="shared" si="7"/>
        <v>459.37</v>
      </c>
    </row>
    <row r="208" spans="1:4">
      <c r="A208">
        <f t="shared" si="6"/>
        <v>206</v>
      </c>
      <c r="B208">
        <v>2060</v>
      </c>
      <c r="C208">
        <v>46159</v>
      </c>
      <c r="D208">
        <f t="shared" si="7"/>
        <v>461.59</v>
      </c>
    </row>
    <row r="209" spans="1:4">
      <c r="A209">
        <f t="shared" si="6"/>
        <v>207</v>
      </c>
      <c r="B209">
        <v>2070</v>
      </c>
      <c r="C209">
        <v>46381</v>
      </c>
      <c r="D209">
        <f t="shared" si="7"/>
        <v>463.81</v>
      </c>
    </row>
    <row r="210" spans="1:4">
      <c r="A210">
        <f t="shared" si="6"/>
        <v>208</v>
      </c>
      <c r="B210">
        <v>2080</v>
      </c>
      <c r="C210">
        <v>46603</v>
      </c>
      <c r="D210">
        <f t="shared" si="7"/>
        <v>466.03</v>
      </c>
    </row>
    <row r="211" spans="1:4">
      <c r="A211">
        <f t="shared" si="6"/>
        <v>209</v>
      </c>
      <c r="B211">
        <v>2090</v>
      </c>
      <c r="C211">
        <v>46825</v>
      </c>
      <c r="D211">
        <f t="shared" si="7"/>
        <v>468.25</v>
      </c>
    </row>
    <row r="212" spans="1:4">
      <c r="A212">
        <f t="shared" si="6"/>
        <v>210</v>
      </c>
      <c r="B212">
        <v>2100</v>
      </c>
      <c r="C212">
        <v>47047</v>
      </c>
      <c r="D212">
        <f t="shared" si="7"/>
        <v>470.47</v>
      </c>
    </row>
    <row r="213" spans="1:4">
      <c r="A213">
        <f t="shared" si="6"/>
        <v>211</v>
      </c>
      <c r="B213">
        <v>2110</v>
      </c>
      <c r="C213">
        <v>47268</v>
      </c>
      <c r="D213">
        <f t="shared" si="7"/>
        <v>472.68</v>
      </c>
    </row>
    <row r="214" spans="1:4">
      <c r="A214">
        <f t="shared" si="6"/>
        <v>212</v>
      </c>
      <c r="B214">
        <v>2120</v>
      </c>
      <c r="C214">
        <v>47490</v>
      </c>
      <c r="D214">
        <f t="shared" si="7"/>
        <v>474.9</v>
      </c>
    </row>
    <row r="215" spans="1:4">
      <c r="A215">
        <f t="shared" si="6"/>
        <v>213</v>
      </c>
      <c r="B215">
        <v>2130</v>
      </c>
      <c r="C215">
        <v>47712</v>
      </c>
      <c r="D215">
        <f t="shared" si="7"/>
        <v>477.12</v>
      </c>
    </row>
    <row r="216" spans="1:4">
      <c r="A216">
        <f t="shared" si="6"/>
        <v>214</v>
      </c>
      <c r="B216">
        <v>2140</v>
      </c>
      <c r="C216">
        <v>47934</v>
      </c>
      <c r="D216">
        <f t="shared" si="7"/>
        <v>479.34</v>
      </c>
    </row>
    <row r="217" spans="1:4">
      <c r="A217">
        <f t="shared" si="6"/>
        <v>215</v>
      </c>
      <c r="B217">
        <v>2150</v>
      </c>
      <c r="C217">
        <v>48156</v>
      </c>
      <c r="D217">
        <f t="shared" si="7"/>
        <v>481.56</v>
      </c>
    </row>
    <row r="218" spans="1:4">
      <c r="A218">
        <f t="shared" si="6"/>
        <v>216</v>
      </c>
      <c r="B218">
        <v>2160</v>
      </c>
      <c r="C218">
        <v>48378</v>
      </c>
      <c r="D218">
        <f t="shared" si="7"/>
        <v>483.78</v>
      </c>
    </row>
    <row r="219" spans="1:4">
      <c r="A219">
        <f t="shared" si="6"/>
        <v>217</v>
      </c>
      <c r="B219">
        <v>2170</v>
      </c>
      <c r="C219">
        <v>48600</v>
      </c>
      <c r="D219">
        <f t="shared" si="7"/>
        <v>486</v>
      </c>
    </row>
    <row r="220" spans="1:4">
      <c r="A220">
        <f t="shared" si="6"/>
        <v>218</v>
      </c>
      <c r="B220">
        <v>2180</v>
      </c>
      <c r="C220">
        <v>48822</v>
      </c>
      <c r="D220">
        <f t="shared" si="7"/>
        <v>488.22</v>
      </c>
    </row>
    <row r="221" spans="1:4">
      <c r="A221">
        <f t="shared" si="6"/>
        <v>219</v>
      </c>
      <c r="B221">
        <v>2190</v>
      </c>
      <c r="C221">
        <v>49043</v>
      </c>
      <c r="D221">
        <f t="shared" si="7"/>
        <v>490.43</v>
      </c>
    </row>
    <row r="222" spans="1:4">
      <c r="A222">
        <f t="shared" si="6"/>
        <v>220</v>
      </c>
      <c r="B222">
        <v>2200</v>
      </c>
      <c r="C222">
        <v>49265</v>
      </c>
      <c r="D222">
        <f t="shared" si="7"/>
        <v>492.65</v>
      </c>
    </row>
    <row r="223" spans="1:4">
      <c r="A223">
        <f t="shared" si="6"/>
        <v>221</v>
      </c>
      <c r="B223">
        <v>2210</v>
      </c>
      <c r="C223">
        <v>49487</v>
      </c>
      <c r="D223">
        <f t="shared" si="7"/>
        <v>494.87</v>
      </c>
    </row>
    <row r="224" spans="1:4">
      <c r="A224">
        <f t="shared" si="6"/>
        <v>222</v>
      </c>
      <c r="B224">
        <v>2220</v>
      </c>
      <c r="C224">
        <v>49709</v>
      </c>
      <c r="D224">
        <f t="shared" si="7"/>
        <v>497.09</v>
      </c>
    </row>
    <row r="225" spans="1:4">
      <c r="A225">
        <f t="shared" si="6"/>
        <v>223</v>
      </c>
      <c r="B225">
        <v>2230</v>
      </c>
      <c r="C225">
        <v>49931</v>
      </c>
      <c r="D225">
        <f t="shared" si="7"/>
        <v>499.31</v>
      </c>
    </row>
    <row r="226" spans="1:4">
      <c r="A226">
        <f t="shared" si="6"/>
        <v>224</v>
      </c>
      <c r="B226">
        <v>2240</v>
      </c>
      <c r="C226">
        <v>50153</v>
      </c>
      <c r="D226">
        <f t="shared" si="7"/>
        <v>501.53</v>
      </c>
    </row>
    <row r="227" spans="1:4">
      <c r="A227">
        <f t="shared" si="6"/>
        <v>225</v>
      </c>
      <c r="B227">
        <v>2250</v>
      </c>
      <c r="C227">
        <v>50375</v>
      </c>
      <c r="D227">
        <f t="shared" si="7"/>
        <v>503.75</v>
      </c>
    </row>
    <row r="228" spans="1:4">
      <c r="A228">
        <f t="shared" si="6"/>
        <v>226</v>
      </c>
      <c r="B228">
        <v>2260</v>
      </c>
      <c r="C228">
        <v>50597</v>
      </c>
      <c r="D228">
        <f t="shared" si="7"/>
        <v>505.97</v>
      </c>
    </row>
    <row r="229" spans="1:4">
      <c r="A229">
        <f t="shared" si="6"/>
        <v>227</v>
      </c>
      <c r="B229">
        <v>2270</v>
      </c>
      <c r="C229">
        <v>50818</v>
      </c>
      <c r="D229">
        <f t="shared" si="7"/>
        <v>508.18</v>
      </c>
    </row>
    <row r="230" spans="1:4">
      <c r="A230">
        <f t="shared" si="6"/>
        <v>228</v>
      </c>
      <c r="B230">
        <v>2280</v>
      </c>
      <c r="C230">
        <v>51040</v>
      </c>
      <c r="D230">
        <f t="shared" si="7"/>
        <v>510.4</v>
      </c>
    </row>
    <row r="231" spans="1:4">
      <c r="A231">
        <f t="shared" si="6"/>
        <v>229</v>
      </c>
      <c r="B231">
        <v>2290</v>
      </c>
      <c r="C231">
        <v>51262</v>
      </c>
      <c r="D231">
        <f t="shared" si="7"/>
        <v>512.62</v>
      </c>
    </row>
    <row r="232" spans="1:4">
      <c r="A232">
        <f t="shared" si="6"/>
        <v>230</v>
      </c>
      <c r="B232">
        <v>2300</v>
      </c>
      <c r="C232">
        <v>51484</v>
      </c>
      <c r="D232">
        <f t="shared" si="7"/>
        <v>514.84</v>
      </c>
    </row>
    <row r="233" spans="1:4">
      <c r="A233">
        <f t="shared" si="6"/>
        <v>231</v>
      </c>
      <c r="B233">
        <v>2310</v>
      </c>
      <c r="C233">
        <v>51706</v>
      </c>
      <c r="D233">
        <f t="shared" si="7"/>
        <v>517.05999999999995</v>
      </c>
    </row>
    <row r="234" spans="1:4">
      <c r="A234">
        <f t="shared" si="6"/>
        <v>232</v>
      </c>
      <c r="B234">
        <v>2320</v>
      </c>
      <c r="C234">
        <v>51928</v>
      </c>
      <c r="D234">
        <f t="shared" si="7"/>
        <v>519.28</v>
      </c>
    </row>
    <row r="235" spans="1:4">
      <c r="A235">
        <f t="shared" si="6"/>
        <v>233</v>
      </c>
      <c r="B235">
        <v>2330</v>
      </c>
      <c r="C235">
        <v>52150</v>
      </c>
      <c r="D235">
        <f t="shared" si="7"/>
        <v>521.5</v>
      </c>
    </row>
    <row r="236" spans="1:4">
      <c r="A236">
        <f t="shared" si="6"/>
        <v>234</v>
      </c>
      <c r="B236">
        <v>2340</v>
      </c>
      <c r="C236">
        <v>52371</v>
      </c>
      <c r="D236">
        <f t="shared" si="7"/>
        <v>523.71</v>
      </c>
    </row>
    <row r="237" spans="1:4">
      <c r="A237">
        <f t="shared" si="6"/>
        <v>235</v>
      </c>
      <c r="B237">
        <v>2350</v>
      </c>
      <c r="C237">
        <v>52593</v>
      </c>
      <c r="D237">
        <f t="shared" si="7"/>
        <v>525.92999999999995</v>
      </c>
    </row>
    <row r="238" spans="1:4">
      <c r="A238">
        <f t="shared" si="6"/>
        <v>236</v>
      </c>
      <c r="B238">
        <v>2360</v>
      </c>
      <c r="C238">
        <v>52815</v>
      </c>
      <c r="D238">
        <f t="shared" si="7"/>
        <v>528.15</v>
      </c>
    </row>
    <row r="239" spans="1:4">
      <c r="A239">
        <f t="shared" si="6"/>
        <v>237</v>
      </c>
      <c r="B239">
        <v>2370</v>
      </c>
      <c r="C239">
        <v>53037</v>
      </c>
      <c r="D239">
        <f t="shared" si="7"/>
        <v>530.37</v>
      </c>
    </row>
    <row r="240" spans="1:4">
      <c r="A240">
        <f t="shared" si="6"/>
        <v>238</v>
      </c>
      <c r="B240">
        <v>2380</v>
      </c>
      <c r="C240">
        <v>53259</v>
      </c>
      <c r="D240">
        <f t="shared" si="7"/>
        <v>532.59</v>
      </c>
    </row>
    <row r="241" spans="1:4">
      <c r="A241">
        <f t="shared" si="6"/>
        <v>239</v>
      </c>
      <c r="B241">
        <v>2390</v>
      </c>
      <c r="C241">
        <v>53481</v>
      </c>
      <c r="D241">
        <f t="shared" si="7"/>
        <v>534.80999999999995</v>
      </c>
    </row>
    <row r="242" spans="1:4">
      <c r="A242">
        <f t="shared" si="6"/>
        <v>240</v>
      </c>
      <c r="B242">
        <v>2400</v>
      </c>
      <c r="C242">
        <v>53703</v>
      </c>
      <c r="D242">
        <f t="shared" si="7"/>
        <v>537.03</v>
      </c>
    </row>
    <row r="243" spans="1:4">
      <c r="A243">
        <f t="shared" si="6"/>
        <v>241</v>
      </c>
      <c r="B243">
        <v>2410</v>
      </c>
      <c r="C243">
        <v>53925</v>
      </c>
      <c r="D243">
        <f t="shared" si="7"/>
        <v>539.25</v>
      </c>
    </row>
    <row r="244" spans="1:4">
      <c r="A244">
        <f t="shared" si="6"/>
        <v>242</v>
      </c>
      <c r="B244">
        <v>2420</v>
      </c>
      <c r="C244">
        <v>54146</v>
      </c>
      <c r="D244">
        <f t="shared" si="7"/>
        <v>541.46</v>
      </c>
    </row>
    <row r="245" spans="1:4">
      <c r="A245">
        <f t="shared" si="6"/>
        <v>243</v>
      </c>
      <c r="B245">
        <v>2430</v>
      </c>
      <c r="C245">
        <v>54368</v>
      </c>
      <c r="D245">
        <f t="shared" si="7"/>
        <v>543.67999999999995</v>
      </c>
    </row>
    <row r="246" spans="1:4">
      <c r="A246">
        <f t="shared" si="6"/>
        <v>244</v>
      </c>
      <c r="B246">
        <v>2440</v>
      </c>
      <c r="C246">
        <v>54590</v>
      </c>
      <c r="D246">
        <f t="shared" si="7"/>
        <v>545.9</v>
      </c>
    </row>
    <row r="247" spans="1:4">
      <c r="A247">
        <f t="shared" si="6"/>
        <v>245</v>
      </c>
      <c r="B247">
        <v>2450</v>
      </c>
      <c r="C247">
        <v>54812</v>
      </c>
      <c r="D247">
        <f t="shared" si="7"/>
        <v>548.12</v>
      </c>
    </row>
    <row r="248" spans="1:4">
      <c r="A248">
        <f t="shared" si="6"/>
        <v>246</v>
      </c>
      <c r="B248">
        <v>2460</v>
      </c>
      <c r="C248">
        <v>55034</v>
      </c>
      <c r="D248">
        <f t="shared" si="7"/>
        <v>550.34</v>
      </c>
    </row>
    <row r="249" spans="1:4">
      <c r="A249">
        <f t="shared" si="6"/>
        <v>247</v>
      </c>
      <c r="B249">
        <v>2470</v>
      </c>
      <c r="C249">
        <v>55256</v>
      </c>
      <c r="D249">
        <f t="shared" si="7"/>
        <v>552.55999999999995</v>
      </c>
    </row>
    <row r="250" spans="1:4">
      <c r="A250">
        <f t="shared" si="6"/>
        <v>248</v>
      </c>
      <c r="B250">
        <v>2480</v>
      </c>
      <c r="C250">
        <v>55478</v>
      </c>
      <c r="D250">
        <f t="shared" si="7"/>
        <v>554.78</v>
      </c>
    </row>
    <row r="251" spans="1:4">
      <c r="A251">
        <f t="shared" si="6"/>
        <v>249</v>
      </c>
      <c r="B251">
        <v>2490</v>
      </c>
      <c r="C251">
        <v>55700</v>
      </c>
      <c r="D251">
        <f t="shared" si="7"/>
        <v>557</v>
      </c>
    </row>
    <row r="252" spans="1:4">
      <c r="A252">
        <f t="shared" si="6"/>
        <v>250</v>
      </c>
      <c r="B252">
        <v>2500</v>
      </c>
      <c r="C252">
        <v>55921</v>
      </c>
      <c r="D252">
        <f t="shared" si="7"/>
        <v>559.21</v>
      </c>
    </row>
    <row r="253" spans="1:4">
      <c r="A253">
        <f t="shared" si="6"/>
        <v>251</v>
      </c>
      <c r="B253">
        <v>2510</v>
      </c>
      <c r="C253">
        <v>56143</v>
      </c>
      <c r="D253">
        <f t="shared" si="7"/>
        <v>561.42999999999995</v>
      </c>
    </row>
    <row r="254" spans="1:4">
      <c r="A254">
        <f t="shared" si="6"/>
        <v>252</v>
      </c>
      <c r="B254">
        <v>2520</v>
      </c>
      <c r="C254">
        <v>56365</v>
      </c>
      <c r="D254">
        <f t="shared" si="7"/>
        <v>563.65</v>
      </c>
    </row>
    <row r="255" spans="1:4">
      <c r="A255">
        <f t="shared" si="6"/>
        <v>253</v>
      </c>
      <c r="B255">
        <v>2530</v>
      </c>
      <c r="C255">
        <v>56587</v>
      </c>
      <c r="D255">
        <f t="shared" si="7"/>
        <v>565.87</v>
      </c>
    </row>
    <row r="256" spans="1:4">
      <c r="A256">
        <f t="shared" si="6"/>
        <v>254</v>
      </c>
      <c r="B256">
        <v>2540</v>
      </c>
      <c r="C256">
        <v>56809</v>
      </c>
      <c r="D256">
        <f t="shared" si="7"/>
        <v>568.09</v>
      </c>
    </row>
    <row r="257" spans="1:4">
      <c r="A257">
        <f t="shared" si="6"/>
        <v>255</v>
      </c>
      <c r="B257">
        <v>2550</v>
      </c>
      <c r="C257">
        <v>57031</v>
      </c>
      <c r="D257">
        <f t="shared" si="7"/>
        <v>570.30999999999995</v>
      </c>
    </row>
    <row r="258" spans="1:4">
      <c r="A258">
        <f t="shared" si="6"/>
        <v>256</v>
      </c>
      <c r="B258">
        <v>2560</v>
      </c>
      <c r="C258">
        <v>57253</v>
      </c>
      <c r="D258">
        <f t="shared" si="7"/>
        <v>572.53</v>
      </c>
    </row>
    <row r="259" spans="1:4">
      <c r="A259">
        <f t="shared" ref="A259:A322" si="8">$B259/10</f>
        <v>257</v>
      </c>
      <c r="B259">
        <v>2570</v>
      </c>
      <c r="C259">
        <v>57474</v>
      </c>
      <c r="D259">
        <f t="shared" ref="D259:D322" si="9">$C259/100</f>
        <v>574.74</v>
      </c>
    </row>
    <row r="260" spans="1:4">
      <c r="A260">
        <f t="shared" si="8"/>
        <v>258</v>
      </c>
      <c r="B260">
        <v>2580</v>
      </c>
      <c r="C260">
        <v>57696</v>
      </c>
      <c r="D260">
        <f t="shared" si="9"/>
        <v>576.96</v>
      </c>
    </row>
    <row r="261" spans="1:4">
      <c r="A261">
        <f t="shared" si="8"/>
        <v>259</v>
      </c>
      <c r="B261">
        <v>2590</v>
      </c>
      <c r="C261">
        <v>57918</v>
      </c>
      <c r="D261">
        <f t="shared" si="9"/>
        <v>579.17999999999995</v>
      </c>
    </row>
    <row r="262" spans="1:4">
      <c r="A262">
        <f t="shared" si="8"/>
        <v>260</v>
      </c>
      <c r="B262">
        <v>2600</v>
      </c>
      <c r="C262">
        <v>58140</v>
      </c>
      <c r="D262">
        <f t="shared" si="9"/>
        <v>581.4</v>
      </c>
    </row>
    <row r="263" spans="1:4">
      <c r="A263">
        <f t="shared" si="8"/>
        <v>261</v>
      </c>
      <c r="B263">
        <v>2610</v>
      </c>
      <c r="C263">
        <v>58362</v>
      </c>
      <c r="D263">
        <f t="shared" si="9"/>
        <v>583.62</v>
      </c>
    </row>
    <row r="264" spans="1:4">
      <c r="A264">
        <f t="shared" si="8"/>
        <v>262</v>
      </c>
      <c r="B264">
        <v>2620</v>
      </c>
      <c r="C264">
        <v>58584</v>
      </c>
      <c r="D264">
        <f t="shared" si="9"/>
        <v>585.84</v>
      </c>
    </row>
    <row r="265" spans="1:4">
      <c r="A265">
        <f t="shared" si="8"/>
        <v>263</v>
      </c>
      <c r="B265">
        <v>2630</v>
      </c>
      <c r="C265">
        <v>58806</v>
      </c>
      <c r="D265">
        <f t="shared" si="9"/>
        <v>588.05999999999995</v>
      </c>
    </row>
    <row r="266" spans="1:4">
      <c r="A266">
        <f t="shared" si="8"/>
        <v>264</v>
      </c>
      <c r="B266">
        <v>2640</v>
      </c>
      <c r="C266">
        <v>59028</v>
      </c>
      <c r="D266">
        <f t="shared" si="9"/>
        <v>590.28</v>
      </c>
    </row>
    <row r="267" spans="1:4">
      <c r="A267">
        <f t="shared" si="8"/>
        <v>265</v>
      </c>
      <c r="B267">
        <v>2650</v>
      </c>
      <c r="C267">
        <v>59249</v>
      </c>
      <c r="D267">
        <f t="shared" si="9"/>
        <v>592.49</v>
      </c>
    </row>
    <row r="268" spans="1:4">
      <c r="A268">
        <f t="shared" si="8"/>
        <v>266</v>
      </c>
      <c r="B268">
        <v>2660</v>
      </c>
      <c r="C268">
        <v>59471</v>
      </c>
      <c r="D268">
        <f t="shared" si="9"/>
        <v>594.71</v>
      </c>
    </row>
    <row r="269" spans="1:4">
      <c r="A269">
        <f t="shared" si="8"/>
        <v>267</v>
      </c>
      <c r="B269">
        <v>2670</v>
      </c>
      <c r="C269">
        <v>59693</v>
      </c>
      <c r="D269">
        <f t="shared" si="9"/>
        <v>596.92999999999995</v>
      </c>
    </row>
    <row r="270" spans="1:4">
      <c r="A270">
        <f t="shared" si="8"/>
        <v>268</v>
      </c>
      <c r="B270">
        <v>2680</v>
      </c>
      <c r="C270">
        <v>59915</v>
      </c>
      <c r="D270">
        <f t="shared" si="9"/>
        <v>599.15</v>
      </c>
    </row>
    <row r="271" spans="1:4">
      <c r="A271">
        <f t="shared" si="8"/>
        <v>269</v>
      </c>
      <c r="B271">
        <v>2690</v>
      </c>
      <c r="C271">
        <v>60137</v>
      </c>
      <c r="D271">
        <f t="shared" si="9"/>
        <v>601.37</v>
      </c>
    </row>
    <row r="272" spans="1:4">
      <c r="A272">
        <f t="shared" si="8"/>
        <v>270</v>
      </c>
      <c r="B272">
        <v>2700</v>
      </c>
      <c r="C272">
        <v>60359</v>
      </c>
      <c r="D272">
        <f t="shared" si="9"/>
        <v>603.59</v>
      </c>
    </row>
    <row r="273" spans="1:4">
      <c r="A273">
        <f t="shared" si="8"/>
        <v>271</v>
      </c>
      <c r="B273">
        <v>2710</v>
      </c>
      <c r="C273">
        <v>60581</v>
      </c>
      <c r="D273">
        <f t="shared" si="9"/>
        <v>605.80999999999995</v>
      </c>
    </row>
    <row r="274" spans="1:4">
      <c r="A274">
        <f t="shared" si="8"/>
        <v>272</v>
      </c>
      <c r="B274">
        <v>2720</v>
      </c>
      <c r="C274">
        <v>60803</v>
      </c>
      <c r="D274">
        <f t="shared" si="9"/>
        <v>608.03</v>
      </c>
    </row>
    <row r="275" spans="1:4">
      <c r="A275">
        <f t="shared" si="8"/>
        <v>273</v>
      </c>
      <c r="B275">
        <v>2730</v>
      </c>
      <c r="C275">
        <v>61024</v>
      </c>
      <c r="D275">
        <f t="shared" si="9"/>
        <v>610.24</v>
      </c>
    </row>
    <row r="276" spans="1:4">
      <c r="A276">
        <f t="shared" si="8"/>
        <v>274</v>
      </c>
      <c r="B276">
        <v>2740</v>
      </c>
      <c r="C276">
        <v>61246</v>
      </c>
      <c r="D276">
        <f t="shared" si="9"/>
        <v>612.46</v>
      </c>
    </row>
    <row r="277" spans="1:4">
      <c r="A277">
        <f t="shared" si="8"/>
        <v>275</v>
      </c>
      <c r="B277">
        <v>2750</v>
      </c>
      <c r="C277">
        <v>61468</v>
      </c>
      <c r="D277">
        <f t="shared" si="9"/>
        <v>614.67999999999995</v>
      </c>
    </row>
    <row r="278" spans="1:4">
      <c r="A278">
        <f t="shared" si="8"/>
        <v>276</v>
      </c>
      <c r="B278">
        <v>2760</v>
      </c>
      <c r="C278">
        <v>61690</v>
      </c>
      <c r="D278">
        <f t="shared" si="9"/>
        <v>616.9</v>
      </c>
    </row>
    <row r="279" spans="1:4">
      <c r="A279">
        <f t="shared" si="8"/>
        <v>277</v>
      </c>
      <c r="B279">
        <v>2770</v>
      </c>
      <c r="C279">
        <v>61912</v>
      </c>
      <c r="D279">
        <f t="shared" si="9"/>
        <v>619.12</v>
      </c>
    </row>
    <row r="280" spans="1:4">
      <c r="A280">
        <f t="shared" si="8"/>
        <v>278</v>
      </c>
      <c r="B280">
        <v>2780</v>
      </c>
      <c r="C280">
        <v>62134</v>
      </c>
      <c r="D280">
        <f t="shared" si="9"/>
        <v>621.34</v>
      </c>
    </row>
    <row r="281" spans="1:4">
      <c r="A281">
        <f t="shared" si="8"/>
        <v>279</v>
      </c>
      <c r="B281">
        <v>2790</v>
      </c>
      <c r="C281">
        <v>62356</v>
      </c>
      <c r="D281">
        <f t="shared" si="9"/>
        <v>623.55999999999995</v>
      </c>
    </row>
    <row r="282" spans="1:4">
      <c r="A282">
        <f t="shared" si="8"/>
        <v>280</v>
      </c>
      <c r="B282">
        <v>2800</v>
      </c>
      <c r="C282">
        <v>62577</v>
      </c>
      <c r="D282">
        <f t="shared" si="9"/>
        <v>625.77</v>
      </c>
    </row>
    <row r="283" spans="1:4">
      <c r="A283">
        <f t="shared" si="8"/>
        <v>281</v>
      </c>
      <c r="B283">
        <v>2810</v>
      </c>
      <c r="C283">
        <v>62799</v>
      </c>
      <c r="D283">
        <f t="shared" si="9"/>
        <v>627.99</v>
      </c>
    </row>
    <row r="284" spans="1:4">
      <c r="A284">
        <f t="shared" si="8"/>
        <v>282</v>
      </c>
      <c r="B284">
        <v>2820</v>
      </c>
      <c r="C284">
        <v>63021</v>
      </c>
      <c r="D284">
        <f t="shared" si="9"/>
        <v>630.21</v>
      </c>
    </row>
    <row r="285" spans="1:4">
      <c r="A285">
        <f t="shared" si="8"/>
        <v>283</v>
      </c>
      <c r="B285">
        <v>2830</v>
      </c>
      <c r="C285">
        <v>63243</v>
      </c>
      <c r="D285">
        <f t="shared" si="9"/>
        <v>632.42999999999995</v>
      </c>
    </row>
    <row r="286" spans="1:4">
      <c r="A286">
        <f t="shared" si="8"/>
        <v>284</v>
      </c>
      <c r="B286">
        <v>2840</v>
      </c>
      <c r="C286">
        <v>63465</v>
      </c>
      <c r="D286">
        <f t="shared" si="9"/>
        <v>634.65</v>
      </c>
    </row>
    <row r="287" spans="1:4">
      <c r="A287">
        <f t="shared" si="8"/>
        <v>285</v>
      </c>
      <c r="B287">
        <v>2850</v>
      </c>
      <c r="C287">
        <v>63687</v>
      </c>
      <c r="D287">
        <f t="shared" si="9"/>
        <v>636.87</v>
      </c>
    </row>
    <row r="288" spans="1:4">
      <c r="A288">
        <f t="shared" si="8"/>
        <v>286</v>
      </c>
      <c r="B288">
        <v>2860</v>
      </c>
      <c r="C288">
        <v>63909</v>
      </c>
      <c r="D288">
        <f t="shared" si="9"/>
        <v>639.09</v>
      </c>
    </row>
    <row r="289" spans="1:4">
      <c r="A289">
        <f t="shared" si="8"/>
        <v>287</v>
      </c>
      <c r="B289">
        <v>2870</v>
      </c>
      <c r="C289">
        <v>64131</v>
      </c>
      <c r="D289">
        <f t="shared" si="9"/>
        <v>641.30999999999995</v>
      </c>
    </row>
    <row r="290" spans="1:4">
      <c r="A290">
        <f t="shared" si="8"/>
        <v>288</v>
      </c>
      <c r="B290">
        <v>2880</v>
      </c>
      <c r="C290">
        <v>64352</v>
      </c>
      <c r="D290">
        <f t="shared" si="9"/>
        <v>643.52</v>
      </c>
    </row>
    <row r="291" spans="1:4">
      <c r="A291">
        <f t="shared" si="8"/>
        <v>289</v>
      </c>
      <c r="B291">
        <v>2890</v>
      </c>
      <c r="C291">
        <v>64574</v>
      </c>
      <c r="D291">
        <f t="shared" si="9"/>
        <v>645.74</v>
      </c>
    </row>
    <row r="292" spans="1:4">
      <c r="A292">
        <f t="shared" si="8"/>
        <v>290</v>
      </c>
      <c r="B292">
        <v>2900</v>
      </c>
      <c r="C292">
        <v>64796</v>
      </c>
      <c r="D292">
        <f t="shared" si="9"/>
        <v>647.96</v>
      </c>
    </row>
    <row r="293" spans="1:4">
      <c r="A293">
        <f t="shared" si="8"/>
        <v>291</v>
      </c>
      <c r="B293">
        <v>2910</v>
      </c>
      <c r="C293">
        <v>65018</v>
      </c>
      <c r="D293">
        <f t="shared" si="9"/>
        <v>650.17999999999995</v>
      </c>
    </row>
    <row r="294" spans="1:4">
      <c r="A294">
        <f t="shared" si="8"/>
        <v>292</v>
      </c>
      <c r="B294">
        <v>2920</v>
      </c>
      <c r="C294">
        <v>65240</v>
      </c>
      <c r="D294">
        <f t="shared" si="9"/>
        <v>652.4</v>
      </c>
    </row>
    <row r="295" spans="1:4">
      <c r="A295">
        <f t="shared" si="8"/>
        <v>293</v>
      </c>
      <c r="B295">
        <v>2930</v>
      </c>
      <c r="C295">
        <v>65462</v>
      </c>
      <c r="D295">
        <f t="shared" si="9"/>
        <v>654.62</v>
      </c>
    </row>
    <row r="296" spans="1:4">
      <c r="A296">
        <f t="shared" si="8"/>
        <v>294</v>
      </c>
      <c r="B296">
        <v>2940</v>
      </c>
      <c r="C296">
        <v>65684</v>
      </c>
      <c r="D296">
        <f t="shared" si="9"/>
        <v>656.84</v>
      </c>
    </row>
    <row r="297" spans="1:4">
      <c r="A297">
        <f t="shared" si="8"/>
        <v>295</v>
      </c>
      <c r="B297">
        <v>2950</v>
      </c>
      <c r="C297">
        <v>65906</v>
      </c>
      <c r="D297">
        <f t="shared" si="9"/>
        <v>659.06</v>
      </c>
    </row>
    <row r="298" spans="1:4">
      <c r="A298">
        <f t="shared" si="8"/>
        <v>296</v>
      </c>
      <c r="B298">
        <v>2960</v>
      </c>
      <c r="C298">
        <v>66127</v>
      </c>
      <c r="D298">
        <f t="shared" si="9"/>
        <v>661.27</v>
      </c>
    </row>
    <row r="299" spans="1:4">
      <c r="A299">
        <f t="shared" si="8"/>
        <v>297</v>
      </c>
      <c r="B299">
        <v>2970</v>
      </c>
      <c r="C299">
        <v>66349</v>
      </c>
      <c r="D299">
        <f t="shared" si="9"/>
        <v>663.49</v>
      </c>
    </row>
    <row r="300" spans="1:4">
      <c r="A300">
        <f t="shared" si="8"/>
        <v>298</v>
      </c>
      <c r="B300">
        <v>2980</v>
      </c>
      <c r="C300">
        <v>66571</v>
      </c>
      <c r="D300">
        <f t="shared" si="9"/>
        <v>665.71</v>
      </c>
    </row>
    <row r="301" spans="1:4">
      <c r="A301">
        <f t="shared" si="8"/>
        <v>299</v>
      </c>
      <c r="B301">
        <v>2990</v>
      </c>
      <c r="C301">
        <v>66793</v>
      </c>
      <c r="D301">
        <f t="shared" si="9"/>
        <v>667.93</v>
      </c>
    </row>
    <row r="302" spans="1:4">
      <c r="A302">
        <f t="shared" si="8"/>
        <v>300</v>
      </c>
      <c r="B302">
        <v>3000</v>
      </c>
      <c r="C302">
        <v>67015</v>
      </c>
      <c r="D302">
        <f t="shared" si="9"/>
        <v>670.15</v>
      </c>
    </row>
    <row r="303" spans="1:4">
      <c r="A303">
        <f t="shared" si="8"/>
        <v>301</v>
      </c>
      <c r="B303">
        <v>3010</v>
      </c>
      <c r="C303">
        <v>67237</v>
      </c>
      <c r="D303">
        <f t="shared" si="9"/>
        <v>672.37</v>
      </c>
    </row>
    <row r="304" spans="1:4">
      <c r="A304">
        <f t="shared" si="8"/>
        <v>302</v>
      </c>
      <c r="B304">
        <v>3020</v>
      </c>
      <c r="C304">
        <v>67459</v>
      </c>
      <c r="D304">
        <f t="shared" si="9"/>
        <v>674.59</v>
      </c>
    </row>
    <row r="305" spans="1:4">
      <c r="A305">
        <f t="shared" si="8"/>
        <v>303</v>
      </c>
      <c r="B305">
        <v>3030</v>
      </c>
      <c r="C305">
        <v>67681</v>
      </c>
      <c r="D305">
        <f t="shared" si="9"/>
        <v>676.81</v>
      </c>
    </row>
    <row r="306" spans="1:4">
      <c r="A306">
        <f t="shared" si="8"/>
        <v>304</v>
      </c>
      <c r="B306">
        <v>3040</v>
      </c>
      <c r="C306">
        <v>67902</v>
      </c>
      <c r="D306">
        <f t="shared" si="9"/>
        <v>679.02</v>
      </c>
    </row>
    <row r="307" spans="1:4">
      <c r="A307">
        <f t="shared" si="8"/>
        <v>305</v>
      </c>
      <c r="B307">
        <v>3050</v>
      </c>
      <c r="C307">
        <v>68124</v>
      </c>
      <c r="D307">
        <f t="shared" si="9"/>
        <v>681.24</v>
      </c>
    </row>
    <row r="308" spans="1:4">
      <c r="A308">
        <f t="shared" si="8"/>
        <v>306</v>
      </c>
      <c r="B308">
        <v>3060</v>
      </c>
      <c r="C308">
        <v>68346</v>
      </c>
      <c r="D308">
        <f t="shared" si="9"/>
        <v>683.46</v>
      </c>
    </row>
    <row r="309" spans="1:4">
      <c r="A309">
        <f t="shared" si="8"/>
        <v>307</v>
      </c>
      <c r="B309">
        <v>3070</v>
      </c>
      <c r="C309">
        <v>68568</v>
      </c>
      <c r="D309">
        <f t="shared" si="9"/>
        <v>685.68</v>
      </c>
    </row>
    <row r="310" spans="1:4">
      <c r="A310">
        <f t="shared" si="8"/>
        <v>308</v>
      </c>
      <c r="B310">
        <v>3080</v>
      </c>
      <c r="C310">
        <v>68790</v>
      </c>
      <c r="D310">
        <f t="shared" si="9"/>
        <v>687.9</v>
      </c>
    </row>
    <row r="311" spans="1:4">
      <c r="A311">
        <f t="shared" si="8"/>
        <v>309</v>
      </c>
      <c r="B311">
        <v>3090</v>
      </c>
      <c r="C311">
        <v>69012</v>
      </c>
      <c r="D311">
        <f t="shared" si="9"/>
        <v>690.12</v>
      </c>
    </row>
    <row r="312" spans="1:4">
      <c r="A312">
        <f t="shared" si="8"/>
        <v>310</v>
      </c>
      <c r="B312">
        <v>3100</v>
      </c>
      <c r="C312">
        <v>69234</v>
      </c>
      <c r="D312">
        <f t="shared" si="9"/>
        <v>692.34</v>
      </c>
    </row>
    <row r="313" spans="1:4">
      <c r="A313">
        <f t="shared" si="8"/>
        <v>311</v>
      </c>
      <c r="B313">
        <v>3110</v>
      </c>
      <c r="C313">
        <v>69455</v>
      </c>
      <c r="D313">
        <f t="shared" si="9"/>
        <v>694.55</v>
      </c>
    </row>
    <row r="314" spans="1:4">
      <c r="A314">
        <f t="shared" si="8"/>
        <v>312</v>
      </c>
      <c r="B314">
        <v>3120</v>
      </c>
      <c r="C314">
        <v>69677</v>
      </c>
      <c r="D314">
        <f t="shared" si="9"/>
        <v>696.77</v>
      </c>
    </row>
    <row r="315" spans="1:4">
      <c r="A315">
        <f t="shared" si="8"/>
        <v>313</v>
      </c>
      <c r="B315">
        <v>3130</v>
      </c>
      <c r="C315">
        <v>69899</v>
      </c>
      <c r="D315">
        <f t="shared" si="9"/>
        <v>698.99</v>
      </c>
    </row>
    <row r="316" spans="1:4">
      <c r="A316">
        <f t="shared" si="8"/>
        <v>314</v>
      </c>
      <c r="B316">
        <v>3140</v>
      </c>
      <c r="C316">
        <v>70121</v>
      </c>
      <c r="D316">
        <f t="shared" si="9"/>
        <v>701.21</v>
      </c>
    </row>
    <row r="317" spans="1:4">
      <c r="A317">
        <f t="shared" si="8"/>
        <v>315</v>
      </c>
      <c r="B317">
        <v>3150</v>
      </c>
      <c r="C317">
        <v>70343</v>
      </c>
      <c r="D317">
        <f t="shared" si="9"/>
        <v>703.43</v>
      </c>
    </row>
    <row r="318" spans="1:4">
      <c r="A318">
        <f t="shared" si="8"/>
        <v>316</v>
      </c>
      <c r="B318">
        <v>3160</v>
      </c>
      <c r="C318">
        <v>70565</v>
      </c>
      <c r="D318">
        <f t="shared" si="9"/>
        <v>705.65</v>
      </c>
    </row>
    <row r="319" spans="1:4">
      <c r="A319">
        <f t="shared" si="8"/>
        <v>317</v>
      </c>
      <c r="B319">
        <v>3170</v>
      </c>
      <c r="C319">
        <v>70787</v>
      </c>
      <c r="D319">
        <f t="shared" si="9"/>
        <v>707.87</v>
      </c>
    </row>
    <row r="320" spans="1:4">
      <c r="A320">
        <f t="shared" si="8"/>
        <v>318</v>
      </c>
      <c r="B320">
        <v>3180</v>
      </c>
      <c r="C320">
        <v>71009</v>
      </c>
      <c r="D320">
        <f t="shared" si="9"/>
        <v>710.09</v>
      </c>
    </row>
    <row r="321" spans="1:4">
      <c r="A321">
        <f t="shared" si="8"/>
        <v>319</v>
      </c>
      <c r="B321">
        <v>3190</v>
      </c>
      <c r="C321">
        <v>71230</v>
      </c>
      <c r="D321">
        <f t="shared" si="9"/>
        <v>712.3</v>
      </c>
    </row>
    <row r="322" spans="1:4">
      <c r="A322">
        <f t="shared" si="8"/>
        <v>320</v>
      </c>
      <c r="B322">
        <v>3200</v>
      </c>
      <c r="C322">
        <v>71452</v>
      </c>
      <c r="D322">
        <f t="shared" si="9"/>
        <v>714.52</v>
      </c>
    </row>
    <row r="323" spans="1:4">
      <c r="A323">
        <f t="shared" ref="A323:A386" si="10">$B323/10</f>
        <v>321</v>
      </c>
      <c r="B323">
        <v>3210</v>
      </c>
      <c r="C323">
        <v>71674</v>
      </c>
      <c r="D323">
        <f t="shared" ref="D323:D386" si="11">$C323/100</f>
        <v>716.74</v>
      </c>
    </row>
    <row r="324" spans="1:4">
      <c r="A324">
        <f t="shared" si="10"/>
        <v>322</v>
      </c>
      <c r="B324">
        <v>3220</v>
      </c>
      <c r="C324">
        <v>71896</v>
      </c>
      <c r="D324">
        <f t="shared" si="11"/>
        <v>718.96</v>
      </c>
    </row>
    <row r="325" spans="1:4">
      <c r="A325">
        <f t="shared" si="10"/>
        <v>323</v>
      </c>
      <c r="B325">
        <v>3230</v>
      </c>
      <c r="C325">
        <v>72118</v>
      </c>
      <c r="D325">
        <f t="shared" si="11"/>
        <v>721.18</v>
      </c>
    </row>
    <row r="326" spans="1:4">
      <c r="A326">
        <f t="shared" si="10"/>
        <v>324</v>
      </c>
      <c r="B326">
        <v>3240</v>
      </c>
      <c r="C326">
        <v>72340</v>
      </c>
      <c r="D326">
        <f t="shared" si="11"/>
        <v>723.4</v>
      </c>
    </row>
    <row r="327" spans="1:4">
      <c r="A327">
        <f t="shared" si="10"/>
        <v>325</v>
      </c>
      <c r="B327">
        <v>3250</v>
      </c>
      <c r="C327">
        <v>72562</v>
      </c>
      <c r="D327">
        <f t="shared" si="11"/>
        <v>725.62</v>
      </c>
    </row>
    <row r="328" spans="1:4">
      <c r="A328">
        <f t="shared" si="10"/>
        <v>326</v>
      </c>
      <c r="B328">
        <v>3260</v>
      </c>
      <c r="C328">
        <v>72784</v>
      </c>
      <c r="D328">
        <f t="shared" si="11"/>
        <v>727.84</v>
      </c>
    </row>
    <row r="329" spans="1:4">
      <c r="A329">
        <f t="shared" si="10"/>
        <v>327</v>
      </c>
      <c r="B329">
        <v>3270</v>
      </c>
      <c r="C329">
        <v>73005</v>
      </c>
      <c r="D329">
        <f t="shared" si="11"/>
        <v>730.05</v>
      </c>
    </row>
    <row r="330" spans="1:4">
      <c r="A330">
        <f t="shared" si="10"/>
        <v>328</v>
      </c>
      <c r="B330">
        <v>3280</v>
      </c>
      <c r="C330">
        <v>73227</v>
      </c>
      <c r="D330">
        <f t="shared" si="11"/>
        <v>732.27</v>
      </c>
    </row>
    <row r="331" spans="1:4">
      <c r="A331">
        <f t="shared" si="10"/>
        <v>329</v>
      </c>
      <c r="B331">
        <v>3290</v>
      </c>
      <c r="C331">
        <v>73449</v>
      </c>
      <c r="D331">
        <f t="shared" si="11"/>
        <v>734.49</v>
      </c>
    </row>
    <row r="332" spans="1:4">
      <c r="A332">
        <f t="shared" si="10"/>
        <v>330</v>
      </c>
      <c r="B332">
        <v>3300</v>
      </c>
      <c r="C332">
        <v>73671</v>
      </c>
      <c r="D332">
        <f t="shared" si="11"/>
        <v>736.71</v>
      </c>
    </row>
    <row r="333" spans="1:4">
      <c r="A333">
        <f t="shared" si="10"/>
        <v>331</v>
      </c>
      <c r="B333">
        <v>3310</v>
      </c>
      <c r="C333">
        <v>73893</v>
      </c>
      <c r="D333">
        <f t="shared" si="11"/>
        <v>738.93</v>
      </c>
    </row>
    <row r="334" spans="1:4">
      <c r="A334">
        <f t="shared" si="10"/>
        <v>332</v>
      </c>
      <c r="B334">
        <v>3320</v>
      </c>
      <c r="C334">
        <v>74115</v>
      </c>
      <c r="D334">
        <f t="shared" si="11"/>
        <v>741.15</v>
      </c>
    </row>
    <row r="335" spans="1:4">
      <c r="A335">
        <f t="shared" si="10"/>
        <v>333</v>
      </c>
      <c r="B335">
        <v>3330</v>
      </c>
      <c r="C335">
        <v>74337</v>
      </c>
      <c r="D335">
        <f t="shared" si="11"/>
        <v>743.37</v>
      </c>
    </row>
    <row r="336" spans="1:4">
      <c r="A336">
        <f t="shared" si="10"/>
        <v>334</v>
      </c>
      <c r="B336">
        <v>3340</v>
      </c>
      <c r="C336">
        <v>74558</v>
      </c>
      <c r="D336">
        <f t="shared" si="11"/>
        <v>745.58</v>
      </c>
    </row>
    <row r="337" spans="1:4">
      <c r="A337">
        <f t="shared" si="10"/>
        <v>335</v>
      </c>
      <c r="B337">
        <v>3350</v>
      </c>
      <c r="C337">
        <v>74780</v>
      </c>
      <c r="D337">
        <f t="shared" si="11"/>
        <v>747.8</v>
      </c>
    </row>
    <row r="338" spans="1:4">
      <c r="A338">
        <f t="shared" si="10"/>
        <v>336</v>
      </c>
      <c r="B338">
        <v>3360</v>
      </c>
      <c r="C338">
        <v>75002</v>
      </c>
      <c r="D338">
        <f t="shared" si="11"/>
        <v>750.02</v>
      </c>
    </row>
    <row r="339" spans="1:4">
      <c r="A339">
        <f t="shared" si="10"/>
        <v>337</v>
      </c>
      <c r="B339">
        <v>3370</v>
      </c>
      <c r="C339">
        <v>75224</v>
      </c>
      <c r="D339">
        <f t="shared" si="11"/>
        <v>752.24</v>
      </c>
    </row>
    <row r="340" spans="1:4">
      <c r="A340">
        <f t="shared" si="10"/>
        <v>338</v>
      </c>
      <c r="B340">
        <v>3380</v>
      </c>
      <c r="C340">
        <v>75446</v>
      </c>
      <c r="D340">
        <f t="shared" si="11"/>
        <v>754.46</v>
      </c>
    </row>
    <row r="341" spans="1:4">
      <c r="A341">
        <f t="shared" si="10"/>
        <v>339</v>
      </c>
      <c r="B341">
        <v>3390</v>
      </c>
      <c r="C341">
        <v>75668</v>
      </c>
      <c r="D341">
        <f t="shared" si="11"/>
        <v>756.68</v>
      </c>
    </row>
    <row r="342" spans="1:4">
      <c r="A342">
        <f t="shared" si="10"/>
        <v>340</v>
      </c>
      <c r="B342">
        <v>3400</v>
      </c>
      <c r="C342">
        <v>75890</v>
      </c>
      <c r="D342">
        <f t="shared" si="11"/>
        <v>758.9</v>
      </c>
    </row>
    <row r="343" spans="1:4">
      <c r="A343">
        <f t="shared" si="10"/>
        <v>341</v>
      </c>
      <c r="B343">
        <v>3410</v>
      </c>
      <c r="C343">
        <v>76112</v>
      </c>
      <c r="D343">
        <f t="shared" si="11"/>
        <v>761.12</v>
      </c>
    </row>
    <row r="344" spans="1:4">
      <c r="A344">
        <f t="shared" si="10"/>
        <v>342</v>
      </c>
      <c r="B344">
        <v>3420</v>
      </c>
      <c r="C344">
        <v>76333</v>
      </c>
      <c r="D344">
        <f t="shared" si="11"/>
        <v>763.33</v>
      </c>
    </row>
    <row r="345" spans="1:4">
      <c r="A345">
        <f t="shared" si="10"/>
        <v>343</v>
      </c>
      <c r="B345">
        <v>3430</v>
      </c>
      <c r="C345">
        <v>76555</v>
      </c>
      <c r="D345">
        <f t="shared" si="11"/>
        <v>765.55</v>
      </c>
    </row>
    <row r="346" spans="1:4">
      <c r="A346">
        <f t="shared" si="10"/>
        <v>344</v>
      </c>
      <c r="B346">
        <v>3440</v>
      </c>
      <c r="C346">
        <v>76777</v>
      </c>
      <c r="D346">
        <f t="shared" si="11"/>
        <v>767.77</v>
      </c>
    </row>
    <row r="347" spans="1:4">
      <c r="A347">
        <f t="shared" si="10"/>
        <v>345</v>
      </c>
      <c r="B347">
        <v>3450</v>
      </c>
      <c r="C347">
        <v>76999</v>
      </c>
      <c r="D347">
        <f t="shared" si="11"/>
        <v>769.99</v>
      </c>
    </row>
    <row r="348" spans="1:4">
      <c r="A348">
        <f t="shared" si="10"/>
        <v>346</v>
      </c>
      <c r="B348">
        <v>3460</v>
      </c>
      <c r="C348">
        <v>77221</v>
      </c>
      <c r="D348">
        <f t="shared" si="11"/>
        <v>772.21</v>
      </c>
    </row>
    <row r="349" spans="1:4">
      <c r="A349">
        <f t="shared" si="10"/>
        <v>347</v>
      </c>
      <c r="B349">
        <v>3470</v>
      </c>
      <c r="C349">
        <v>77443</v>
      </c>
      <c r="D349">
        <f t="shared" si="11"/>
        <v>774.43</v>
      </c>
    </row>
    <row r="350" spans="1:4">
      <c r="A350">
        <f t="shared" si="10"/>
        <v>348</v>
      </c>
      <c r="B350">
        <v>3480</v>
      </c>
      <c r="C350">
        <v>77665</v>
      </c>
      <c r="D350">
        <f t="shared" si="11"/>
        <v>776.65</v>
      </c>
    </row>
    <row r="351" spans="1:4">
      <c r="A351">
        <f t="shared" si="10"/>
        <v>349</v>
      </c>
      <c r="B351">
        <v>3490</v>
      </c>
      <c r="C351">
        <v>77887</v>
      </c>
      <c r="D351">
        <f t="shared" si="11"/>
        <v>778.87</v>
      </c>
    </row>
    <row r="352" spans="1:4">
      <c r="A352">
        <f t="shared" si="10"/>
        <v>350</v>
      </c>
      <c r="B352">
        <v>3500</v>
      </c>
      <c r="C352">
        <v>78108</v>
      </c>
      <c r="D352">
        <f t="shared" si="11"/>
        <v>781.08</v>
      </c>
    </row>
    <row r="353" spans="1:4">
      <c r="A353">
        <f t="shared" si="10"/>
        <v>351</v>
      </c>
      <c r="B353">
        <v>3510</v>
      </c>
      <c r="C353">
        <v>78330</v>
      </c>
      <c r="D353">
        <f t="shared" si="11"/>
        <v>783.3</v>
      </c>
    </row>
    <row r="354" spans="1:4">
      <c r="A354">
        <f t="shared" si="10"/>
        <v>352</v>
      </c>
      <c r="B354">
        <v>3520</v>
      </c>
      <c r="C354">
        <v>78552</v>
      </c>
      <c r="D354">
        <f t="shared" si="11"/>
        <v>785.52</v>
      </c>
    </row>
    <row r="355" spans="1:4">
      <c r="A355">
        <f t="shared" si="10"/>
        <v>353</v>
      </c>
      <c r="B355">
        <v>3530</v>
      </c>
      <c r="C355">
        <v>78774</v>
      </c>
      <c r="D355">
        <f t="shared" si="11"/>
        <v>787.74</v>
      </c>
    </row>
    <row r="356" spans="1:4">
      <c r="A356">
        <f t="shared" si="10"/>
        <v>354</v>
      </c>
      <c r="B356">
        <v>3540</v>
      </c>
      <c r="C356">
        <v>78996</v>
      </c>
      <c r="D356">
        <f t="shared" si="11"/>
        <v>789.96</v>
      </c>
    </row>
    <row r="357" spans="1:4">
      <c r="A357">
        <f t="shared" si="10"/>
        <v>355</v>
      </c>
      <c r="B357">
        <v>3550</v>
      </c>
      <c r="C357">
        <v>79218</v>
      </c>
      <c r="D357">
        <f t="shared" si="11"/>
        <v>792.18</v>
      </c>
    </row>
    <row r="358" spans="1:4">
      <c r="A358">
        <f t="shared" si="10"/>
        <v>356</v>
      </c>
      <c r="B358">
        <v>3560</v>
      </c>
      <c r="C358">
        <v>79440</v>
      </c>
      <c r="D358">
        <f t="shared" si="11"/>
        <v>794.4</v>
      </c>
    </row>
    <row r="359" spans="1:4">
      <c r="A359">
        <f t="shared" si="10"/>
        <v>357</v>
      </c>
      <c r="B359">
        <v>3570</v>
      </c>
      <c r="C359">
        <v>79661</v>
      </c>
      <c r="D359">
        <f t="shared" si="11"/>
        <v>796.61</v>
      </c>
    </row>
    <row r="360" spans="1:4">
      <c r="A360">
        <f t="shared" si="10"/>
        <v>358</v>
      </c>
      <c r="B360">
        <v>3580</v>
      </c>
      <c r="C360">
        <v>79883</v>
      </c>
      <c r="D360">
        <f t="shared" si="11"/>
        <v>798.83</v>
      </c>
    </row>
    <row r="361" spans="1:4">
      <c r="A361">
        <f t="shared" si="10"/>
        <v>359</v>
      </c>
      <c r="B361">
        <v>3590</v>
      </c>
      <c r="C361">
        <v>80105</v>
      </c>
      <c r="D361">
        <f t="shared" si="11"/>
        <v>801.05</v>
      </c>
    </row>
    <row r="362" spans="1:4">
      <c r="A362">
        <f t="shared" si="10"/>
        <v>360</v>
      </c>
      <c r="B362">
        <v>3600</v>
      </c>
      <c r="C362">
        <v>80327</v>
      </c>
      <c r="D362">
        <f t="shared" si="11"/>
        <v>803.27</v>
      </c>
    </row>
    <row r="363" spans="1:4">
      <c r="A363">
        <f t="shared" si="10"/>
        <v>361</v>
      </c>
      <c r="B363">
        <v>3610</v>
      </c>
      <c r="C363">
        <v>80549</v>
      </c>
      <c r="D363">
        <f t="shared" si="11"/>
        <v>805.49</v>
      </c>
    </row>
    <row r="364" spans="1:4">
      <c r="A364">
        <f t="shared" si="10"/>
        <v>362</v>
      </c>
      <c r="B364">
        <v>3620</v>
      </c>
      <c r="C364">
        <v>80771</v>
      </c>
      <c r="D364">
        <f t="shared" si="11"/>
        <v>807.71</v>
      </c>
    </row>
    <row r="365" spans="1:4">
      <c r="A365">
        <f t="shared" si="10"/>
        <v>363</v>
      </c>
      <c r="B365">
        <v>3630</v>
      </c>
      <c r="C365">
        <v>80993</v>
      </c>
      <c r="D365">
        <f t="shared" si="11"/>
        <v>809.93</v>
      </c>
    </row>
    <row r="366" spans="1:4">
      <c r="A366">
        <f t="shared" si="10"/>
        <v>364</v>
      </c>
      <c r="B366">
        <v>3640</v>
      </c>
      <c r="C366">
        <v>81215</v>
      </c>
      <c r="D366">
        <f t="shared" si="11"/>
        <v>812.15</v>
      </c>
    </row>
    <row r="367" spans="1:4">
      <c r="A367">
        <f t="shared" si="10"/>
        <v>365</v>
      </c>
      <c r="B367">
        <v>3650</v>
      </c>
      <c r="C367">
        <v>81436</v>
      </c>
      <c r="D367">
        <f t="shared" si="11"/>
        <v>814.36</v>
      </c>
    </row>
    <row r="368" spans="1:4">
      <c r="A368">
        <f t="shared" si="10"/>
        <v>366</v>
      </c>
      <c r="B368">
        <v>3660</v>
      </c>
      <c r="C368">
        <v>81658</v>
      </c>
      <c r="D368">
        <f t="shared" si="11"/>
        <v>816.58</v>
      </c>
    </row>
    <row r="369" spans="1:4">
      <c r="A369">
        <f t="shared" si="10"/>
        <v>367</v>
      </c>
      <c r="B369">
        <v>3670</v>
      </c>
      <c r="C369">
        <v>81880</v>
      </c>
      <c r="D369">
        <f t="shared" si="11"/>
        <v>818.8</v>
      </c>
    </row>
    <row r="370" spans="1:4">
      <c r="A370">
        <f t="shared" si="10"/>
        <v>368</v>
      </c>
      <c r="B370">
        <v>3680</v>
      </c>
      <c r="C370">
        <v>82102</v>
      </c>
      <c r="D370">
        <f t="shared" si="11"/>
        <v>821.02</v>
      </c>
    </row>
    <row r="371" spans="1:4">
      <c r="A371">
        <f t="shared" si="10"/>
        <v>369</v>
      </c>
      <c r="B371">
        <v>3690</v>
      </c>
      <c r="C371">
        <v>82324</v>
      </c>
      <c r="D371">
        <f t="shared" si="11"/>
        <v>823.24</v>
      </c>
    </row>
    <row r="372" spans="1:4">
      <c r="A372">
        <f t="shared" si="10"/>
        <v>370</v>
      </c>
      <c r="B372">
        <v>3700</v>
      </c>
      <c r="C372">
        <v>82546</v>
      </c>
      <c r="D372">
        <f t="shared" si="11"/>
        <v>825.46</v>
      </c>
    </row>
    <row r="373" spans="1:4">
      <c r="A373">
        <f t="shared" si="10"/>
        <v>371</v>
      </c>
      <c r="B373">
        <v>3710</v>
      </c>
      <c r="C373">
        <v>82768</v>
      </c>
      <c r="D373">
        <f t="shared" si="11"/>
        <v>827.68</v>
      </c>
    </row>
    <row r="374" spans="1:4">
      <c r="A374">
        <f t="shared" si="10"/>
        <v>372</v>
      </c>
      <c r="B374">
        <v>3720</v>
      </c>
      <c r="C374">
        <v>82990</v>
      </c>
      <c r="D374">
        <f t="shared" si="11"/>
        <v>829.9</v>
      </c>
    </row>
    <row r="375" spans="1:4">
      <c r="A375">
        <f t="shared" si="10"/>
        <v>373</v>
      </c>
      <c r="B375">
        <v>3730</v>
      </c>
      <c r="C375">
        <v>83211</v>
      </c>
      <c r="D375">
        <f t="shared" si="11"/>
        <v>832.11</v>
      </c>
    </row>
    <row r="376" spans="1:4">
      <c r="A376">
        <f t="shared" si="10"/>
        <v>374</v>
      </c>
      <c r="B376">
        <v>3740</v>
      </c>
      <c r="C376">
        <v>83433</v>
      </c>
      <c r="D376">
        <f t="shared" si="11"/>
        <v>834.33</v>
      </c>
    </row>
    <row r="377" spans="1:4">
      <c r="A377">
        <f t="shared" si="10"/>
        <v>375</v>
      </c>
      <c r="B377">
        <v>3750</v>
      </c>
      <c r="C377">
        <v>83655</v>
      </c>
      <c r="D377">
        <f t="shared" si="11"/>
        <v>836.55</v>
      </c>
    </row>
    <row r="378" spans="1:4">
      <c r="A378">
        <f t="shared" si="10"/>
        <v>376</v>
      </c>
      <c r="B378">
        <v>3760</v>
      </c>
      <c r="C378">
        <v>83877</v>
      </c>
      <c r="D378">
        <f t="shared" si="11"/>
        <v>838.77</v>
      </c>
    </row>
    <row r="379" spans="1:4">
      <c r="A379">
        <f t="shared" si="10"/>
        <v>377</v>
      </c>
      <c r="B379">
        <v>3770</v>
      </c>
      <c r="C379">
        <v>84099</v>
      </c>
      <c r="D379">
        <f t="shared" si="11"/>
        <v>840.99</v>
      </c>
    </row>
    <row r="380" spans="1:4">
      <c r="A380">
        <f t="shared" si="10"/>
        <v>378</v>
      </c>
      <c r="B380">
        <v>3780</v>
      </c>
      <c r="C380">
        <v>84321</v>
      </c>
      <c r="D380">
        <f t="shared" si="11"/>
        <v>843.21</v>
      </c>
    </row>
    <row r="381" spans="1:4">
      <c r="A381">
        <f t="shared" si="10"/>
        <v>379</v>
      </c>
      <c r="B381">
        <v>3790</v>
      </c>
      <c r="C381">
        <v>84543</v>
      </c>
      <c r="D381">
        <f t="shared" si="11"/>
        <v>845.43</v>
      </c>
    </row>
    <row r="382" spans="1:4">
      <c r="A382">
        <f t="shared" si="10"/>
        <v>380</v>
      </c>
      <c r="B382">
        <v>3800</v>
      </c>
      <c r="C382">
        <v>84764</v>
      </c>
      <c r="D382">
        <f t="shared" si="11"/>
        <v>847.64</v>
      </c>
    </row>
    <row r="383" spans="1:4">
      <c r="A383">
        <f t="shared" si="10"/>
        <v>381</v>
      </c>
      <c r="B383">
        <v>3810</v>
      </c>
      <c r="C383">
        <v>84986</v>
      </c>
      <c r="D383">
        <f t="shared" si="11"/>
        <v>849.86</v>
      </c>
    </row>
    <row r="384" spans="1:4">
      <c r="A384">
        <f t="shared" si="10"/>
        <v>382</v>
      </c>
      <c r="B384">
        <v>3820</v>
      </c>
      <c r="C384">
        <v>85208</v>
      </c>
      <c r="D384">
        <f t="shared" si="11"/>
        <v>852.08</v>
      </c>
    </row>
    <row r="385" spans="1:4">
      <c r="A385">
        <f t="shared" si="10"/>
        <v>383</v>
      </c>
      <c r="B385">
        <v>3830</v>
      </c>
      <c r="C385">
        <v>85430</v>
      </c>
      <c r="D385">
        <f t="shared" si="11"/>
        <v>854.3</v>
      </c>
    </row>
    <row r="386" spans="1:4">
      <c r="A386">
        <f t="shared" si="10"/>
        <v>384</v>
      </c>
      <c r="B386">
        <v>3840</v>
      </c>
      <c r="C386">
        <v>85652</v>
      </c>
      <c r="D386">
        <f t="shared" si="11"/>
        <v>856.52</v>
      </c>
    </row>
    <row r="387" spans="1:4">
      <c r="A387">
        <f t="shared" ref="A387:A450" si="12">$B387/10</f>
        <v>385</v>
      </c>
      <c r="B387">
        <v>3850</v>
      </c>
      <c r="C387">
        <v>85874</v>
      </c>
      <c r="D387">
        <f t="shared" ref="D387:D450" si="13">$C387/100</f>
        <v>858.74</v>
      </c>
    </row>
    <row r="388" spans="1:4">
      <c r="A388">
        <f t="shared" si="12"/>
        <v>386</v>
      </c>
      <c r="B388">
        <v>3860</v>
      </c>
      <c r="C388">
        <v>86096</v>
      </c>
      <c r="D388">
        <f t="shared" si="13"/>
        <v>860.96</v>
      </c>
    </row>
    <row r="389" spans="1:4">
      <c r="A389">
        <f t="shared" si="12"/>
        <v>387</v>
      </c>
      <c r="B389">
        <v>3870</v>
      </c>
      <c r="C389">
        <v>86318</v>
      </c>
      <c r="D389">
        <f t="shared" si="13"/>
        <v>863.18</v>
      </c>
    </row>
    <row r="390" spans="1:4">
      <c r="A390">
        <f t="shared" si="12"/>
        <v>388</v>
      </c>
      <c r="B390">
        <v>3880</v>
      </c>
      <c r="C390">
        <v>86539</v>
      </c>
      <c r="D390">
        <f t="shared" si="13"/>
        <v>865.39</v>
      </c>
    </row>
    <row r="391" spans="1:4">
      <c r="A391">
        <f t="shared" si="12"/>
        <v>389</v>
      </c>
      <c r="B391">
        <v>3890</v>
      </c>
      <c r="C391">
        <v>86761</v>
      </c>
      <c r="D391">
        <f t="shared" si="13"/>
        <v>867.61</v>
      </c>
    </row>
    <row r="392" spans="1:4">
      <c r="A392">
        <f t="shared" si="12"/>
        <v>390</v>
      </c>
      <c r="B392">
        <v>3900</v>
      </c>
      <c r="C392">
        <v>86983</v>
      </c>
      <c r="D392">
        <f t="shared" si="13"/>
        <v>869.83</v>
      </c>
    </row>
    <row r="393" spans="1:4">
      <c r="A393">
        <f t="shared" si="12"/>
        <v>391</v>
      </c>
      <c r="B393">
        <v>3910</v>
      </c>
      <c r="C393">
        <v>87205</v>
      </c>
      <c r="D393">
        <f t="shared" si="13"/>
        <v>872.05</v>
      </c>
    </row>
    <row r="394" spans="1:4">
      <c r="A394">
        <f t="shared" si="12"/>
        <v>392</v>
      </c>
      <c r="B394">
        <v>3920</v>
      </c>
      <c r="C394">
        <v>87427</v>
      </c>
      <c r="D394">
        <f t="shared" si="13"/>
        <v>874.27</v>
      </c>
    </row>
    <row r="395" spans="1:4">
      <c r="A395">
        <f t="shared" si="12"/>
        <v>393</v>
      </c>
      <c r="B395">
        <v>3930</v>
      </c>
      <c r="C395">
        <v>87649</v>
      </c>
      <c r="D395">
        <f t="shared" si="13"/>
        <v>876.49</v>
      </c>
    </row>
    <row r="396" spans="1:4">
      <c r="A396">
        <f t="shared" si="12"/>
        <v>394</v>
      </c>
      <c r="B396">
        <v>3940</v>
      </c>
      <c r="C396">
        <v>87871</v>
      </c>
      <c r="D396">
        <f t="shared" si="13"/>
        <v>878.71</v>
      </c>
    </row>
    <row r="397" spans="1:4">
      <c r="A397">
        <f t="shared" si="12"/>
        <v>395</v>
      </c>
      <c r="B397">
        <v>3950</v>
      </c>
      <c r="C397">
        <v>88093</v>
      </c>
      <c r="D397">
        <f t="shared" si="13"/>
        <v>880.93</v>
      </c>
    </row>
    <row r="398" spans="1:4">
      <c r="A398">
        <f t="shared" si="12"/>
        <v>396</v>
      </c>
      <c r="B398">
        <v>3960</v>
      </c>
      <c r="C398">
        <v>88314</v>
      </c>
      <c r="D398">
        <f t="shared" si="13"/>
        <v>883.14</v>
      </c>
    </row>
    <row r="399" spans="1:4">
      <c r="A399">
        <f t="shared" si="12"/>
        <v>397</v>
      </c>
      <c r="B399">
        <v>3970</v>
      </c>
      <c r="C399">
        <v>88536</v>
      </c>
      <c r="D399">
        <f t="shared" si="13"/>
        <v>885.36</v>
      </c>
    </row>
    <row r="400" spans="1:4">
      <c r="A400">
        <f t="shared" si="12"/>
        <v>398</v>
      </c>
      <c r="B400">
        <v>3980</v>
      </c>
      <c r="C400">
        <v>88758</v>
      </c>
      <c r="D400">
        <f t="shared" si="13"/>
        <v>887.58</v>
      </c>
    </row>
    <row r="401" spans="1:4">
      <c r="A401">
        <f t="shared" si="12"/>
        <v>399</v>
      </c>
      <c r="B401">
        <v>3990</v>
      </c>
      <c r="C401">
        <v>88980</v>
      </c>
      <c r="D401">
        <f t="shared" si="13"/>
        <v>889.8</v>
      </c>
    </row>
    <row r="402" spans="1:4">
      <c r="A402">
        <f t="shared" si="12"/>
        <v>400</v>
      </c>
      <c r="B402">
        <v>4000</v>
      </c>
      <c r="C402">
        <v>89202</v>
      </c>
      <c r="D402">
        <f t="shared" si="13"/>
        <v>892.02</v>
      </c>
    </row>
    <row r="403" spans="1:4">
      <c r="A403">
        <f t="shared" si="12"/>
        <v>401</v>
      </c>
      <c r="B403">
        <v>4010</v>
      </c>
      <c r="C403">
        <v>89424</v>
      </c>
      <c r="D403">
        <f t="shared" si="13"/>
        <v>894.24</v>
      </c>
    </row>
    <row r="404" spans="1:4">
      <c r="A404">
        <f t="shared" si="12"/>
        <v>402</v>
      </c>
      <c r="B404">
        <v>4020</v>
      </c>
      <c r="C404">
        <v>89646</v>
      </c>
      <c r="D404">
        <f t="shared" si="13"/>
        <v>896.46</v>
      </c>
    </row>
    <row r="405" spans="1:4">
      <c r="A405">
        <f t="shared" si="12"/>
        <v>403</v>
      </c>
      <c r="B405">
        <v>4030</v>
      </c>
      <c r="C405">
        <v>89867</v>
      </c>
      <c r="D405">
        <f t="shared" si="13"/>
        <v>898.67</v>
      </c>
    </row>
    <row r="406" spans="1:4">
      <c r="A406">
        <f t="shared" si="12"/>
        <v>404</v>
      </c>
      <c r="B406">
        <v>4040</v>
      </c>
      <c r="C406">
        <v>90089</v>
      </c>
      <c r="D406">
        <f t="shared" si="13"/>
        <v>900.89</v>
      </c>
    </row>
    <row r="407" spans="1:4">
      <c r="A407">
        <f t="shared" si="12"/>
        <v>405</v>
      </c>
      <c r="B407">
        <v>4050</v>
      </c>
      <c r="C407">
        <v>90311</v>
      </c>
      <c r="D407">
        <f t="shared" si="13"/>
        <v>903.11</v>
      </c>
    </row>
    <row r="408" spans="1:4">
      <c r="A408">
        <f t="shared" si="12"/>
        <v>406</v>
      </c>
      <c r="B408">
        <v>4060</v>
      </c>
      <c r="C408">
        <v>90533</v>
      </c>
      <c r="D408">
        <f t="shared" si="13"/>
        <v>905.33</v>
      </c>
    </row>
    <row r="409" spans="1:4">
      <c r="A409">
        <f t="shared" si="12"/>
        <v>407</v>
      </c>
      <c r="B409">
        <v>4070</v>
      </c>
      <c r="C409">
        <v>90755</v>
      </c>
      <c r="D409">
        <f t="shared" si="13"/>
        <v>907.55</v>
      </c>
    </row>
    <row r="410" spans="1:4">
      <c r="A410">
        <f t="shared" si="12"/>
        <v>408</v>
      </c>
      <c r="B410">
        <v>4080</v>
      </c>
      <c r="C410">
        <v>90977</v>
      </c>
      <c r="D410">
        <f t="shared" si="13"/>
        <v>909.77</v>
      </c>
    </row>
    <row r="411" spans="1:4">
      <c r="A411">
        <f t="shared" si="12"/>
        <v>409</v>
      </c>
      <c r="B411">
        <v>4090</v>
      </c>
      <c r="C411">
        <v>91199</v>
      </c>
      <c r="D411">
        <f t="shared" si="13"/>
        <v>911.99</v>
      </c>
    </row>
    <row r="412" spans="1:4">
      <c r="A412">
        <f t="shared" si="12"/>
        <v>410</v>
      </c>
      <c r="B412">
        <v>4100</v>
      </c>
      <c r="C412">
        <v>91421</v>
      </c>
      <c r="D412">
        <f t="shared" si="13"/>
        <v>914.21</v>
      </c>
    </row>
    <row r="413" spans="1:4">
      <c r="A413">
        <f t="shared" si="12"/>
        <v>411</v>
      </c>
      <c r="B413">
        <v>4110</v>
      </c>
      <c r="C413">
        <v>91642</v>
      </c>
      <c r="D413">
        <f t="shared" si="13"/>
        <v>916.42</v>
      </c>
    </row>
    <row r="414" spans="1:4">
      <c r="A414">
        <f t="shared" si="12"/>
        <v>412</v>
      </c>
      <c r="B414">
        <v>4120</v>
      </c>
      <c r="C414">
        <v>91864</v>
      </c>
      <c r="D414">
        <f t="shared" si="13"/>
        <v>918.64</v>
      </c>
    </row>
    <row r="415" spans="1:4">
      <c r="A415">
        <f t="shared" si="12"/>
        <v>413</v>
      </c>
      <c r="B415">
        <v>4130</v>
      </c>
      <c r="C415">
        <v>92086</v>
      </c>
      <c r="D415">
        <f t="shared" si="13"/>
        <v>920.86</v>
      </c>
    </row>
    <row r="416" spans="1:4">
      <c r="A416">
        <f t="shared" si="12"/>
        <v>414</v>
      </c>
      <c r="B416">
        <v>4140</v>
      </c>
      <c r="C416">
        <v>92308</v>
      </c>
      <c r="D416">
        <f t="shared" si="13"/>
        <v>923.08</v>
      </c>
    </row>
    <row r="417" spans="1:4">
      <c r="A417">
        <f t="shared" si="12"/>
        <v>415</v>
      </c>
      <c r="B417">
        <v>4150</v>
      </c>
      <c r="C417">
        <v>92530</v>
      </c>
      <c r="D417">
        <f t="shared" si="13"/>
        <v>925.3</v>
      </c>
    </row>
    <row r="418" spans="1:4">
      <c r="A418">
        <f t="shared" si="12"/>
        <v>416</v>
      </c>
      <c r="B418">
        <v>4160</v>
      </c>
      <c r="C418">
        <v>92752</v>
      </c>
      <c r="D418">
        <f t="shared" si="13"/>
        <v>927.52</v>
      </c>
    </row>
    <row r="419" spans="1:4">
      <c r="A419">
        <f t="shared" si="12"/>
        <v>417</v>
      </c>
      <c r="B419">
        <v>4170</v>
      </c>
      <c r="C419">
        <v>92974</v>
      </c>
      <c r="D419">
        <f t="shared" si="13"/>
        <v>929.74</v>
      </c>
    </row>
    <row r="420" spans="1:4">
      <c r="A420">
        <f t="shared" si="12"/>
        <v>418</v>
      </c>
      <c r="B420">
        <v>4180</v>
      </c>
      <c r="C420">
        <v>93196</v>
      </c>
      <c r="D420">
        <f t="shared" si="13"/>
        <v>931.96</v>
      </c>
    </row>
    <row r="421" spans="1:4">
      <c r="A421">
        <f t="shared" si="12"/>
        <v>419</v>
      </c>
      <c r="B421">
        <v>4190</v>
      </c>
      <c r="C421">
        <v>93417</v>
      </c>
      <c r="D421">
        <f t="shared" si="13"/>
        <v>934.17</v>
      </c>
    </row>
    <row r="422" spans="1:4">
      <c r="A422">
        <f t="shared" si="12"/>
        <v>420</v>
      </c>
      <c r="B422">
        <v>4200</v>
      </c>
      <c r="C422">
        <v>93639</v>
      </c>
      <c r="D422">
        <f t="shared" si="13"/>
        <v>936.39</v>
      </c>
    </row>
    <row r="423" spans="1:4">
      <c r="A423">
        <f t="shared" si="12"/>
        <v>421</v>
      </c>
      <c r="B423">
        <v>4210</v>
      </c>
      <c r="C423">
        <v>93861</v>
      </c>
      <c r="D423">
        <f t="shared" si="13"/>
        <v>938.61</v>
      </c>
    </row>
    <row r="424" spans="1:4">
      <c r="A424">
        <f t="shared" si="12"/>
        <v>422</v>
      </c>
      <c r="B424">
        <v>4220</v>
      </c>
      <c r="C424">
        <v>94083</v>
      </c>
      <c r="D424">
        <f t="shared" si="13"/>
        <v>940.83</v>
      </c>
    </row>
    <row r="425" spans="1:4">
      <c r="A425">
        <f t="shared" si="12"/>
        <v>423</v>
      </c>
      <c r="B425">
        <v>4230</v>
      </c>
      <c r="C425">
        <v>94305</v>
      </c>
      <c r="D425">
        <f t="shared" si="13"/>
        <v>943.05</v>
      </c>
    </row>
    <row r="426" spans="1:4">
      <c r="A426">
        <f t="shared" si="12"/>
        <v>424</v>
      </c>
      <c r="B426">
        <v>4240</v>
      </c>
      <c r="C426">
        <v>94527</v>
      </c>
      <c r="D426">
        <f t="shared" si="13"/>
        <v>945.27</v>
      </c>
    </row>
    <row r="427" spans="1:4">
      <c r="A427">
        <f t="shared" si="12"/>
        <v>425</v>
      </c>
      <c r="B427">
        <v>4250</v>
      </c>
      <c r="C427">
        <v>94749</v>
      </c>
      <c r="D427">
        <f t="shared" si="13"/>
        <v>947.49</v>
      </c>
    </row>
    <row r="428" spans="1:4">
      <c r="A428">
        <f t="shared" si="12"/>
        <v>426</v>
      </c>
      <c r="B428">
        <v>4260</v>
      </c>
      <c r="C428">
        <v>94971</v>
      </c>
      <c r="D428">
        <f t="shared" si="13"/>
        <v>949.71</v>
      </c>
    </row>
    <row r="429" spans="1:4">
      <c r="A429">
        <f t="shared" si="12"/>
        <v>427</v>
      </c>
      <c r="B429">
        <v>4270</v>
      </c>
      <c r="C429">
        <v>95192</v>
      </c>
      <c r="D429">
        <f t="shared" si="13"/>
        <v>951.92</v>
      </c>
    </row>
    <row r="430" spans="1:4">
      <c r="A430">
        <f t="shared" si="12"/>
        <v>428</v>
      </c>
      <c r="B430">
        <v>4280</v>
      </c>
      <c r="C430">
        <v>95414</v>
      </c>
      <c r="D430">
        <f t="shared" si="13"/>
        <v>954.14</v>
      </c>
    </row>
    <row r="431" spans="1:4">
      <c r="A431">
        <f t="shared" si="12"/>
        <v>429</v>
      </c>
      <c r="B431">
        <v>4290</v>
      </c>
      <c r="C431">
        <v>95636</v>
      </c>
      <c r="D431">
        <f t="shared" si="13"/>
        <v>956.36</v>
      </c>
    </row>
    <row r="432" spans="1:4">
      <c r="A432">
        <f t="shared" si="12"/>
        <v>430</v>
      </c>
      <c r="B432">
        <v>4300</v>
      </c>
      <c r="C432">
        <v>95858</v>
      </c>
      <c r="D432">
        <f t="shared" si="13"/>
        <v>958.58</v>
      </c>
    </row>
    <row r="433" spans="1:4">
      <c r="A433">
        <f t="shared" si="12"/>
        <v>431</v>
      </c>
      <c r="B433">
        <v>4310</v>
      </c>
      <c r="C433">
        <v>96080</v>
      </c>
      <c r="D433">
        <f t="shared" si="13"/>
        <v>960.8</v>
      </c>
    </row>
    <row r="434" spans="1:4">
      <c r="A434">
        <f t="shared" si="12"/>
        <v>432</v>
      </c>
      <c r="B434">
        <v>4320</v>
      </c>
      <c r="C434">
        <v>96302</v>
      </c>
      <c r="D434">
        <f t="shared" si="13"/>
        <v>963.02</v>
      </c>
    </row>
    <row r="435" spans="1:4">
      <c r="A435">
        <f t="shared" si="12"/>
        <v>433</v>
      </c>
      <c r="B435">
        <v>4330</v>
      </c>
      <c r="C435">
        <v>96524</v>
      </c>
      <c r="D435">
        <f t="shared" si="13"/>
        <v>965.24</v>
      </c>
    </row>
    <row r="436" spans="1:4">
      <c r="A436">
        <f t="shared" si="12"/>
        <v>434</v>
      </c>
      <c r="B436">
        <v>4340</v>
      </c>
      <c r="C436">
        <v>96745</v>
      </c>
      <c r="D436">
        <f t="shared" si="13"/>
        <v>967.45</v>
      </c>
    </row>
    <row r="437" spans="1:4">
      <c r="A437">
        <f t="shared" si="12"/>
        <v>435</v>
      </c>
      <c r="B437">
        <v>4350</v>
      </c>
      <c r="C437">
        <v>96967</v>
      </c>
      <c r="D437">
        <f t="shared" si="13"/>
        <v>969.67</v>
      </c>
    </row>
    <row r="438" spans="1:4">
      <c r="A438">
        <f t="shared" si="12"/>
        <v>436</v>
      </c>
      <c r="B438">
        <v>4360</v>
      </c>
      <c r="C438">
        <v>97189</v>
      </c>
      <c r="D438">
        <f t="shared" si="13"/>
        <v>971.89</v>
      </c>
    </row>
    <row r="439" spans="1:4">
      <c r="A439">
        <f t="shared" si="12"/>
        <v>437</v>
      </c>
      <c r="B439">
        <v>4370</v>
      </c>
      <c r="C439">
        <v>97411</v>
      </c>
      <c r="D439">
        <f t="shared" si="13"/>
        <v>974.11</v>
      </c>
    </row>
    <row r="440" spans="1:4">
      <c r="A440">
        <f t="shared" si="12"/>
        <v>438</v>
      </c>
      <c r="B440">
        <v>4380</v>
      </c>
      <c r="C440">
        <v>97633</v>
      </c>
      <c r="D440">
        <f t="shared" si="13"/>
        <v>976.33</v>
      </c>
    </row>
    <row r="441" spans="1:4">
      <c r="A441">
        <f t="shared" si="12"/>
        <v>439</v>
      </c>
      <c r="B441">
        <v>4390</v>
      </c>
      <c r="C441">
        <v>97855</v>
      </c>
      <c r="D441">
        <f t="shared" si="13"/>
        <v>978.55</v>
      </c>
    </row>
    <row r="442" spans="1:4">
      <c r="A442">
        <f t="shared" si="12"/>
        <v>440</v>
      </c>
      <c r="B442">
        <v>4400</v>
      </c>
      <c r="C442">
        <v>98077</v>
      </c>
      <c r="D442">
        <f t="shared" si="13"/>
        <v>980.77</v>
      </c>
    </row>
    <row r="443" spans="1:4">
      <c r="A443">
        <f t="shared" si="12"/>
        <v>441</v>
      </c>
      <c r="B443">
        <v>4410</v>
      </c>
      <c r="C443">
        <v>98299</v>
      </c>
      <c r="D443">
        <f t="shared" si="13"/>
        <v>982.99</v>
      </c>
    </row>
    <row r="444" spans="1:4">
      <c r="A444">
        <f t="shared" si="12"/>
        <v>442</v>
      </c>
      <c r="B444">
        <v>4420</v>
      </c>
      <c r="C444">
        <v>98520</v>
      </c>
      <c r="D444">
        <f t="shared" si="13"/>
        <v>985.2</v>
      </c>
    </row>
    <row r="445" spans="1:4">
      <c r="A445">
        <f t="shared" si="12"/>
        <v>443</v>
      </c>
      <c r="B445">
        <v>4430</v>
      </c>
      <c r="C445">
        <v>98742</v>
      </c>
      <c r="D445">
        <f t="shared" si="13"/>
        <v>987.42</v>
      </c>
    </row>
    <row r="446" spans="1:4">
      <c r="A446">
        <f t="shared" si="12"/>
        <v>444</v>
      </c>
      <c r="B446">
        <v>4440</v>
      </c>
      <c r="C446">
        <v>98964</v>
      </c>
      <c r="D446">
        <f t="shared" si="13"/>
        <v>989.64</v>
      </c>
    </row>
    <row r="447" spans="1:4">
      <c r="A447">
        <f t="shared" si="12"/>
        <v>445</v>
      </c>
      <c r="B447">
        <v>4450</v>
      </c>
      <c r="C447">
        <v>99186</v>
      </c>
      <c r="D447">
        <f t="shared" si="13"/>
        <v>991.86</v>
      </c>
    </row>
    <row r="448" spans="1:4">
      <c r="A448">
        <f t="shared" si="12"/>
        <v>446</v>
      </c>
      <c r="B448">
        <v>4460</v>
      </c>
      <c r="C448">
        <v>99408</v>
      </c>
      <c r="D448">
        <f t="shared" si="13"/>
        <v>994.08</v>
      </c>
    </row>
    <row r="449" spans="1:4">
      <c r="A449">
        <f t="shared" si="12"/>
        <v>447</v>
      </c>
      <c r="B449">
        <v>4470</v>
      </c>
      <c r="C449">
        <v>99630</v>
      </c>
      <c r="D449">
        <f t="shared" si="13"/>
        <v>996.3</v>
      </c>
    </row>
    <row r="450" spans="1:4">
      <c r="A450">
        <f t="shared" si="12"/>
        <v>448</v>
      </c>
      <c r="B450">
        <v>4480</v>
      </c>
      <c r="C450">
        <v>99852</v>
      </c>
      <c r="D450">
        <f t="shared" si="13"/>
        <v>998.52</v>
      </c>
    </row>
    <row r="451" spans="1:4">
      <c r="A451">
        <f t="shared" ref="A451:A514" si="14">$B451/10</f>
        <v>449</v>
      </c>
      <c r="B451">
        <v>4490</v>
      </c>
      <c r="C451">
        <v>100074</v>
      </c>
      <c r="D451">
        <f t="shared" ref="D451:D514" si="15">$C451/100</f>
        <v>1000.74</v>
      </c>
    </row>
    <row r="452" spans="1:4">
      <c r="A452">
        <f t="shared" si="14"/>
        <v>450</v>
      </c>
      <c r="B452">
        <v>4500</v>
      </c>
      <c r="C452">
        <v>100295</v>
      </c>
      <c r="D452">
        <f t="shared" si="15"/>
        <v>1002.95</v>
      </c>
    </row>
    <row r="453" spans="1:4">
      <c r="A453">
        <f t="shared" si="14"/>
        <v>451</v>
      </c>
      <c r="B453">
        <v>4510</v>
      </c>
      <c r="C453">
        <v>100517</v>
      </c>
      <c r="D453">
        <f t="shared" si="15"/>
        <v>1005.17</v>
      </c>
    </row>
    <row r="454" spans="1:4">
      <c r="A454">
        <f t="shared" si="14"/>
        <v>452</v>
      </c>
      <c r="B454">
        <v>4520</v>
      </c>
      <c r="C454">
        <v>100739</v>
      </c>
      <c r="D454">
        <f t="shared" si="15"/>
        <v>1007.39</v>
      </c>
    </row>
    <row r="455" spans="1:4">
      <c r="A455">
        <f t="shared" si="14"/>
        <v>453</v>
      </c>
      <c r="B455">
        <v>4530</v>
      </c>
      <c r="C455">
        <v>100961</v>
      </c>
      <c r="D455">
        <f t="shared" si="15"/>
        <v>1009.61</v>
      </c>
    </row>
    <row r="456" spans="1:4">
      <c r="A456">
        <f t="shared" si="14"/>
        <v>454</v>
      </c>
      <c r="B456">
        <v>4540</v>
      </c>
      <c r="C456">
        <v>101183</v>
      </c>
      <c r="D456">
        <f t="shared" si="15"/>
        <v>1011.83</v>
      </c>
    </row>
    <row r="457" spans="1:4">
      <c r="A457">
        <f t="shared" si="14"/>
        <v>455</v>
      </c>
      <c r="B457">
        <v>4550</v>
      </c>
      <c r="C457">
        <v>101405</v>
      </c>
      <c r="D457">
        <f t="shared" si="15"/>
        <v>1014.05</v>
      </c>
    </row>
    <row r="458" spans="1:4">
      <c r="A458">
        <f t="shared" si="14"/>
        <v>456</v>
      </c>
      <c r="B458">
        <v>4560</v>
      </c>
      <c r="C458">
        <v>101627</v>
      </c>
      <c r="D458">
        <f t="shared" si="15"/>
        <v>1016.27</v>
      </c>
    </row>
    <row r="459" spans="1:4">
      <c r="A459">
        <f t="shared" si="14"/>
        <v>457</v>
      </c>
      <c r="B459">
        <v>4570</v>
      </c>
      <c r="C459">
        <v>101848</v>
      </c>
      <c r="D459">
        <f t="shared" si="15"/>
        <v>1018.48</v>
      </c>
    </row>
    <row r="460" spans="1:4">
      <c r="A460">
        <f t="shared" si="14"/>
        <v>458</v>
      </c>
      <c r="B460">
        <v>4580</v>
      </c>
      <c r="C460">
        <v>102070</v>
      </c>
      <c r="D460">
        <f t="shared" si="15"/>
        <v>1020.7</v>
      </c>
    </row>
    <row r="461" spans="1:4">
      <c r="A461">
        <f t="shared" si="14"/>
        <v>459</v>
      </c>
      <c r="B461">
        <v>4590</v>
      </c>
      <c r="C461">
        <v>102292</v>
      </c>
      <c r="D461">
        <f t="shared" si="15"/>
        <v>1022.92</v>
      </c>
    </row>
    <row r="462" spans="1:4">
      <c r="A462">
        <f t="shared" si="14"/>
        <v>460</v>
      </c>
      <c r="B462">
        <v>4600</v>
      </c>
      <c r="C462">
        <v>102514</v>
      </c>
      <c r="D462">
        <f t="shared" si="15"/>
        <v>1025.1400000000001</v>
      </c>
    </row>
    <row r="463" spans="1:4">
      <c r="A463">
        <f t="shared" si="14"/>
        <v>461</v>
      </c>
      <c r="B463">
        <v>4610</v>
      </c>
      <c r="C463">
        <v>102736</v>
      </c>
      <c r="D463">
        <f t="shared" si="15"/>
        <v>1027.3599999999999</v>
      </c>
    </row>
    <row r="464" spans="1:4">
      <c r="A464">
        <f t="shared" si="14"/>
        <v>462</v>
      </c>
      <c r="B464">
        <v>4620</v>
      </c>
      <c r="C464">
        <v>102958</v>
      </c>
      <c r="D464">
        <f t="shared" si="15"/>
        <v>1029.58</v>
      </c>
    </row>
    <row r="465" spans="1:4">
      <c r="A465">
        <f t="shared" si="14"/>
        <v>463</v>
      </c>
      <c r="B465">
        <v>4630</v>
      </c>
      <c r="C465">
        <v>103180</v>
      </c>
      <c r="D465">
        <f t="shared" si="15"/>
        <v>1031.8</v>
      </c>
    </row>
    <row r="466" spans="1:4">
      <c r="A466">
        <f t="shared" si="14"/>
        <v>464</v>
      </c>
      <c r="B466">
        <v>4640</v>
      </c>
      <c r="C466">
        <v>103402</v>
      </c>
      <c r="D466">
        <f t="shared" si="15"/>
        <v>1034.02</v>
      </c>
    </row>
    <row r="467" spans="1:4">
      <c r="A467">
        <f t="shared" si="14"/>
        <v>465</v>
      </c>
      <c r="B467">
        <v>4650</v>
      </c>
      <c r="C467">
        <v>103623</v>
      </c>
      <c r="D467">
        <f t="shared" si="15"/>
        <v>1036.23</v>
      </c>
    </row>
    <row r="468" spans="1:4">
      <c r="A468">
        <f t="shared" si="14"/>
        <v>466</v>
      </c>
      <c r="B468">
        <v>4660</v>
      </c>
      <c r="C468">
        <v>103845</v>
      </c>
      <c r="D468">
        <f t="shared" si="15"/>
        <v>1038.45</v>
      </c>
    </row>
    <row r="469" spans="1:4">
      <c r="A469">
        <f t="shared" si="14"/>
        <v>467</v>
      </c>
      <c r="B469">
        <v>4670</v>
      </c>
      <c r="C469">
        <v>104067</v>
      </c>
      <c r="D469">
        <f t="shared" si="15"/>
        <v>1040.67</v>
      </c>
    </row>
    <row r="470" spans="1:4">
      <c r="A470">
        <f t="shared" si="14"/>
        <v>468</v>
      </c>
      <c r="B470">
        <v>4680</v>
      </c>
      <c r="C470">
        <v>104289</v>
      </c>
      <c r="D470">
        <f t="shared" si="15"/>
        <v>1042.8900000000001</v>
      </c>
    </row>
    <row r="471" spans="1:4">
      <c r="A471">
        <f t="shared" si="14"/>
        <v>469</v>
      </c>
      <c r="B471">
        <v>4690</v>
      </c>
      <c r="C471">
        <v>104511</v>
      </c>
      <c r="D471">
        <f t="shared" si="15"/>
        <v>1045.1099999999999</v>
      </c>
    </row>
    <row r="472" spans="1:4">
      <c r="A472">
        <f t="shared" si="14"/>
        <v>470</v>
      </c>
      <c r="B472">
        <v>4700</v>
      </c>
      <c r="C472">
        <v>104733</v>
      </c>
      <c r="D472">
        <f t="shared" si="15"/>
        <v>1047.33</v>
      </c>
    </row>
    <row r="473" spans="1:4">
      <c r="A473">
        <f t="shared" si="14"/>
        <v>471</v>
      </c>
      <c r="B473">
        <v>4710</v>
      </c>
      <c r="C473">
        <v>104955</v>
      </c>
      <c r="D473">
        <f t="shared" si="15"/>
        <v>1049.55</v>
      </c>
    </row>
    <row r="474" spans="1:4">
      <c r="A474">
        <f t="shared" si="14"/>
        <v>472</v>
      </c>
      <c r="B474">
        <v>4720</v>
      </c>
      <c r="C474">
        <v>105177</v>
      </c>
      <c r="D474">
        <f t="shared" si="15"/>
        <v>1051.77</v>
      </c>
    </row>
    <row r="475" spans="1:4">
      <c r="A475">
        <f t="shared" si="14"/>
        <v>473</v>
      </c>
      <c r="B475">
        <v>4730</v>
      </c>
      <c r="C475">
        <v>105398</v>
      </c>
      <c r="D475">
        <f t="shared" si="15"/>
        <v>1053.98</v>
      </c>
    </row>
    <row r="476" spans="1:4">
      <c r="A476">
        <f t="shared" si="14"/>
        <v>474</v>
      </c>
      <c r="B476">
        <v>4740</v>
      </c>
      <c r="C476">
        <v>105620</v>
      </c>
      <c r="D476">
        <f t="shared" si="15"/>
        <v>1056.2</v>
      </c>
    </row>
    <row r="477" spans="1:4">
      <c r="A477">
        <f t="shared" si="14"/>
        <v>475</v>
      </c>
      <c r="B477">
        <v>4750</v>
      </c>
      <c r="C477">
        <v>105842</v>
      </c>
      <c r="D477">
        <f t="shared" si="15"/>
        <v>1058.42</v>
      </c>
    </row>
    <row r="478" spans="1:4">
      <c r="A478">
        <f t="shared" si="14"/>
        <v>476</v>
      </c>
      <c r="B478">
        <v>4760</v>
      </c>
      <c r="C478">
        <v>106064</v>
      </c>
      <c r="D478">
        <f t="shared" si="15"/>
        <v>1060.6400000000001</v>
      </c>
    </row>
    <row r="479" spans="1:4">
      <c r="A479">
        <f t="shared" si="14"/>
        <v>477</v>
      </c>
      <c r="B479">
        <v>4770</v>
      </c>
      <c r="C479">
        <v>106286</v>
      </c>
      <c r="D479">
        <f t="shared" si="15"/>
        <v>1062.8599999999999</v>
      </c>
    </row>
    <row r="480" spans="1:4">
      <c r="A480">
        <f t="shared" si="14"/>
        <v>478</v>
      </c>
      <c r="B480">
        <v>4780</v>
      </c>
      <c r="C480">
        <v>106508</v>
      </c>
      <c r="D480">
        <f t="shared" si="15"/>
        <v>1065.08</v>
      </c>
    </row>
    <row r="481" spans="1:4">
      <c r="A481">
        <f t="shared" si="14"/>
        <v>479</v>
      </c>
      <c r="B481">
        <v>4790</v>
      </c>
      <c r="C481">
        <v>106730</v>
      </c>
      <c r="D481">
        <f t="shared" si="15"/>
        <v>1067.3</v>
      </c>
    </row>
    <row r="482" spans="1:4">
      <c r="A482">
        <f t="shared" si="14"/>
        <v>480</v>
      </c>
      <c r="B482">
        <v>4800</v>
      </c>
      <c r="C482">
        <v>106951</v>
      </c>
      <c r="D482">
        <f t="shared" si="15"/>
        <v>1069.51</v>
      </c>
    </row>
    <row r="483" spans="1:4">
      <c r="A483">
        <f t="shared" si="14"/>
        <v>481</v>
      </c>
      <c r="B483">
        <v>4810</v>
      </c>
      <c r="C483">
        <v>107173</v>
      </c>
      <c r="D483">
        <f t="shared" si="15"/>
        <v>1071.73</v>
      </c>
    </row>
    <row r="484" spans="1:4">
      <c r="A484">
        <f t="shared" si="14"/>
        <v>482</v>
      </c>
      <c r="B484">
        <v>4820</v>
      </c>
      <c r="C484">
        <v>107395</v>
      </c>
      <c r="D484">
        <f t="shared" si="15"/>
        <v>1073.95</v>
      </c>
    </row>
    <row r="485" spans="1:4">
      <c r="A485">
        <f t="shared" si="14"/>
        <v>483</v>
      </c>
      <c r="B485">
        <v>4830</v>
      </c>
      <c r="C485">
        <v>107617</v>
      </c>
      <c r="D485">
        <f t="shared" si="15"/>
        <v>1076.17</v>
      </c>
    </row>
    <row r="486" spans="1:4">
      <c r="A486">
        <f t="shared" si="14"/>
        <v>484</v>
      </c>
      <c r="B486">
        <v>4840</v>
      </c>
      <c r="C486">
        <v>107839</v>
      </c>
      <c r="D486">
        <f t="shared" si="15"/>
        <v>1078.3900000000001</v>
      </c>
    </row>
    <row r="487" spans="1:4">
      <c r="A487">
        <f t="shared" si="14"/>
        <v>485</v>
      </c>
      <c r="B487">
        <v>4850</v>
      </c>
      <c r="C487">
        <v>108061</v>
      </c>
      <c r="D487">
        <f t="shared" si="15"/>
        <v>1080.6099999999999</v>
      </c>
    </row>
    <row r="488" spans="1:4">
      <c r="A488">
        <f t="shared" si="14"/>
        <v>486</v>
      </c>
      <c r="B488">
        <v>4860</v>
      </c>
      <c r="C488">
        <v>108283</v>
      </c>
      <c r="D488">
        <f t="shared" si="15"/>
        <v>1082.83</v>
      </c>
    </row>
    <row r="489" spans="1:4">
      <c r="A489">
        <f t="shared" si="14"/>
        <v>487</v>
      </c>
      <c r="B489">
        <v>4870</v>
      </c>
      <c r="C489">
        <v>108505</v>
      </c>
      <c r="D489">
        <f t="shared" si="15"/>
        <v>1085.05</v>
      </c>
    </row>
    <row r="490" spans="1:4">
      <c r="A490">
        <f t="shared" si="14"/>
        <v>488</v>
      </c>
      <c r="B490">
        <v>4880</v>
      </c>
      <c r="C490">
        <v>108726</v>
      </c>
      <c r="D490">
        <f t="shared" si="15"/>
        <v>1087.26</v>
      </c>
    </row>
    <row r="491" spans="1:4">
      <c r="A491">
        <f t="shared" si="14"/>
        <v>489</v>
      </c>
      <c r="B491">
        <v>4890</v>
      </c>
      <c r="C491">
        <v>108948</v>
      </c>
      <c r="D491">
        <f t="shared" si="15"/>
        <v>1089.48</v>
      </c>
    </row>
    <row r="492" spans="1:4">
      <c r="A492">
        <f t="shared" si="14"/>
        <v>490</v>
      </c>
      <c r="B492">
        <v>4900</v>
      </c>
      <c r="C492">
        <v>109170</v>
      </c>
      <c r="D492">
        <f t="shared" si="15"/>
        <v>1091.7</v>
      </c>
    </row>
    <row r="493" spans="1:4">
      <c r="A493">
        <f t="shared" si="14"/>
        <v>491</v>
      </c>
      <c r="B493">
        <v>4910</v>
      </c>
      <c r="C493">
        <v>109392</v>
      </c>
      <c r="D493">
        <f t="shared" si="15"/>
        <v>1093.92</v>
      </c>
    </row>
    <row r="494" spans="1:4">
      <c r="A494">
        <f t="shared" si="14"/>
        <v>492</v>
      </c>
      <c r="B494">
        <v>4920</v>
      </c>
      <c r="C494">
        <v>109614</v>
      </c>
      <c r="D494">
        <f t="shared" si="15"/>
        <v>1096.1400000000001</v>
      </c>
    </row>
    <row r="495" spans="1:4">
      <c r="A495">
        <f t="shared" si="14"/>
        <v>493</v>
      </c>
      <c r="B495">
        <v>4930</v>
      </c>
      <c r="C495">
        <v>109836</v>
      </c>
      <c r="D495">
        <f t="shared" si="15"/>
        <v>1098.3599999999999</v>
      </c>
    </row>
    <row r="496" spans="1:4">
      <c r="A496">
        <f t="shared" si="14"/>
        <v>494</v>
      </c>
      <c r="B496">
        <v>4940</v>
      </c>
      <c r="C496">
        <v>110058</v>
      </c>
      <c r="D496">
        <f t="shared" si="15"/>
        <v>1100.58</v>
      </c>
    </row>
    <row r="497" spans="1:4">
      <c r="A497">
        <f t="shared" si="14"/>
        <v>495</v>
      </c>
      <c r="B497">
        <v>4950</v>
      </c>
      <c r="C497">
        <v>110280</v>
      </c>
      <c r="D497">
        <f t="shared" si="15"/>
        <v>1102.8</v>
      </c>
    </row>
    <row r="498" spans="1:4">
      <c r="A498">
        <f t="shared" si="14"/>
        <v>496</v>
      </c>
      <c r="B498">
        <v>4960</v>
      </c>
      <c r="C498">
        <v>110501</v>
      </c>
      <c r="D498">
        <f t="shared" si="15"/>
        <v>1105.01</v>
      </c>
    </row>
    <row r="499" spans="1:4">
      <c r="A499">
        <f t="shared" si="14"/>
        <v>497</v>
      </c>
      <c r="B499">
        <v>4970</v>
      </c>
      <c r="C499">
        <v>110723</v>
      </c>
      <c r="D499">
        <f t="shared" si="15"/>
        <v>1107.23</v>
      </c>
    </row>
    <row r="500" spans="1:4">
      <c r="A500">
        <f t="shared" si="14"/>
        <v>498</v>
      </c>
      <c r="B500">
        <v>4980</v>
      </c>
      <c r="C500">
        <v>110945</v>
      </c>
      <c r="D500">
        <f t="shared" si="15"/>
        <v>1109.45</v>
      </c>
    </row>
    <row r="501" spans="1:4">
      <c r="A501">
        <f t="shared" si="14"/>
        <v>499</v>
      </c>
      <c r="B501">
        <v>4990</v>
      </c>
      <c r="C501">
        <v>111167</v>
      </c>
      <c r="D501">
        <f t="shared" si="15"/>
        <v>1111.67</v>
      </c>
    </row>
    <row r="502" spans="1:4">
      <c r="A502">
        <f t="shared" si="14"/>
        <v>500</v>
      </c>
      <c r="B502">
        <v>5000</v>
      </c>
      <c r="C502">
        <v>111389</v>
      </c>
      <c r="D502">
        <f t="shared" si="15"/>
        <v>1113.8900000000001</v>
      </c>
    </row>
    <row r="503" spans="1:4">
      <c r="A503">
        <f t="shared" si="14"/>
        <v>501</v>
      </c>
      <c r="B503">
        <v>5010</v>
      </c>
      <c r="C503">
        <v>111611</v>
      </c>
      <c r="D503">
        <f t="shared" si="15"/>
        <v>1116.1099999999999</v>
      </c>
    </row>
    <row r="504" spans="1:4">
      <c r="A504">
        <f t="shared" si="14"/>
        <v>502</v>
      </c>
      <c r="B504">
        <v>5020</v>
      </c>
      <c r="C504">
        <v>111833</v>
      </c>
      <c r="D504">
        <f t="shared" si="15"/>
        <v>1118.33</v>
      </c>
    </row>
    <row r="505" spans="1:4">
      <c r="A505">
        <f t="shared" si="14"/>
        <v>503</v>
      </c>
      <c r="B505">
        <v>5030</v>
      </c>
      <c r="C505">
        <v>112054</v>
      </c>
      <c r="D505">
        <f t="shared" si="15"/>
        <v>1120.54</v>
      </c>
    </row>
    <row r="506" spans="1:4">
      <c r="A506">
        <f t="shared" si="14"/>
        <v>504</v>
      </c>
      <c r="B506">
        <v>5040</v>
      </c>
      <c r="C506">
        <v>112276</v>
      </c>
      <c r="D506">
        <f t="shared" si="15"/>
        <v>1122.76</v>
      </c>
    </row>
    <row r="507" spans="1:4">
      <c r="A507">
        <f t="shared" si="14"/>
        <v>505</v>
      </c>
      <c r="B507">
        <v>5050</v>
      </c>
      <c r="C507">
        <v>112498</v>
      </c>
      <c r="D507">
        <f t="shared" si="15"/>
        <v>1124.98</v>
      </c>
    </row>
    <row r="508" spans="1:4">
      <c r="A508">
        <f t="shared" si="14"/>
        <v>506</v>
      </c>
      <c r="B508">
        <v>5060</v>
      </c>
      <c r="C508">
        <v>112720</v>
      </c>
      <c r="D508">
        <f t="shared" si="15"/>
        <v>1127.2</v>
      </c>
    </row>
    <row r="509" spans="1:4">
      <c r="A509">
        <f t="shared" si="14"/>
        <v>507</v>
      </c>
      <c r="B509">
        <v>5070</v>
      </c>
      <c r="C509">
        <v>112942</v>
      </c>
      <c r="D509">
        <f t="shared" si="15"/>
        <v>1129.42</v>
      </c>
    </row>
    <row r="510" spans="1:4">
      <c r="A510">
        <f t="shared" si="14"/>
        <v>508</v>
      </c>
      <c r="B510">
        <v>5080</v>
      </c>
      <c r="C510">
        <v>113164</v>
      </c>
      <c r="D510">
        <f t="shared" si="15"/>
        <v>1131.6400000000001</v>
      </c>
    </row>
    <row r="511" spans="1:4">
      <c r="A511">
        <f t="shared" si="14"/>
        <v>509</v>
      </c>
      <c r="B511">
        <v>5090</v>
      </c>
      <c r="C511">
        <v>113386</v>
      </c>
      <c r="D511">
        <f t="shared" si="15"/>
        <v>1133.8599999999999</v>
      </c>
    </row>
    <row r="512" spans="1:4">
      <c r="A512">
        <f t="shared" si="14"/>
        <v>510</v>
      </c>
      <c r="B512">
        <v>5100</v>
      </c>
      <c r="C512">
        <v>113608</v>
      </c>
      <c r="D512">
        <f t="shared" si="15"/>
        <v>1136.08</v>
      </c>
    </row>
    <row r="513" spans="1:4">
      <c r="A513">
        <f t="shared" si="14"/>
        <v>511</v>
      </c>
      <c r="B513">
        <v>5110</v>
      </c>
      <c r="C513">
        <v>113829</v>
      </c>
      <c r="D513">
        <f t="shared" si="15"/>
        <v>1138.29</v>
      </c>
    </row>
    <row r="514" spans="1:4">
      <c r="A514">
        <f t="shared" si="14"/>
        <v>512</v>
      </c>
      <c r="B514">
        <v>5120</v>
      </c>
      <c r="C514">
        <v>114051</v>
      </c>
      <c r="D514">
        <f t="shared" si="15"/>
        <v>1140.51</v>
      </c>
    </row>
    <row r="515" spans="1:4">
      <c r="A515">
        <f t="shared" ref="A515:A578" si="16">$B515/10</f>
        <v>513</v>
      </c>
      <c r="B515">
        <v>5130</v>
      </c>
      <c r="C515">
        <v>114273</v>
      </c>
      <c r="D515">
        <f t="shared" ref="D515:D578" si="17">$C515/100</f>
        <v>1142.73</v>
      </c>
    </row>
    <row r="516" spans="1:4">
      <c r="A516">
        <f t="shared" si="16"/>
        <v>514</v>
      </c>
      <c r="B516">
        <v>5140</v>
      </c>
      <c r="C516">
        <v>114495</v>
      </c>
      <c r="D516">
        <f t="shared" si="17"/>
        <v>1144.95</v>
      </c>
    </row>
    <row r="517" spans="1:4">
      <c r="A517">
        <f t="shared" si="16"/>
        <v>515</v>
      </c>
      <c r="B517">
        <v>5150</v>
      </c>
      <c r="C517">
        <v>114717</v>
      </c>
      <c r="D517">
        <f t="shared" si="17"/>
        <v>1147.17</v>
      </c>
    </row>
    <row r="518" spans="1:4">
      <c r="A518">
        <f t="shared" si="16"/>
        <v>516</v>
      </c>
      <c r="B518">
        <v>5160</v>
      </c>
      <c r="C518">
        <v>114939</v>
      </c>
      <c r="D518">
        <f t="shared" si="17"/>
        <v>1149.3900000000001</v>
      </c>
    </row>
    <row r="519" spans="1:4">
      <c r="A519">
        <f t="shared" si="16"/>
        <v>517</v>
      </c>
      <c r="B519">
        <v>5170</v>
      </c>
      <c r="C519">
        <v>115161</v>
      </c>
      <c r="D519">
        <f t="shared" si="17"/>
        <v>1151.6099999999999</v>
      </c>
    </row>
    <row r="520" spans="1:4">
      <c r="A520">
        <f t="shared" si="16"/>
        <v>518</v>
      </c>
      <c r="B520">
        <v>5180</v>
      </c>
      <c r="C520">
        <v>115383</v>
      </c>
      <c r="D520">
        <f t="shared" si="17"/>
        <v>1153.83</v>
      </c>
    </row>
    <row r="521" spans="1:4">
      <c r="A521">
        <f t="shared" si="16"/>
        <v>519</v>
      </c>
      <c r="B521">
        <v>5190</v>
      </c>
      <c r="C521">
        <v>115604</v>
      </c>
      <c r="D521">
        <f t="shared" si="17"/>
        <v>1156.04</v>
      </c>
    </row>
    <row r="522" spans="1:4">
      <c r="A522">
        <f t="shared" si="16"/>
        <v>520</v>
      </c>
      <c r="B522">
        <v>5200</v>
      </c>
      <c r="C522">
        <v>115826</v>
      </c>
      <c r="D522">
        <f t="shared" si="17"/>
        <v>1158.26</v>
      </c>
    </row>
    <row r="523" spans="1:4">
      <c r="A523">
        <f t="shared" si="16"/>
        <v>521</v>
      </c>
      <c r="B523">
        <v>5210</v>
      </c>
      <c r="C523">
        <v>116048</v>
      </c>
      <c r="D523">
        <f t="shared" si="17"/>
        <v>1160.48</v>
      </c>
    </row>
    <row r="524" spans="1:4">
      <c r="A524">
        <f t="shared" si="16"/>
        <v>522</v>
      </c>
      <c r="B524">
        <v>5220</v>
      </c>
      <c r="C524">
        <v>116270</v>
      </c>
      <c r="D524">
        <f t="shared" si="17"/>
        <v>1162.7</v>
      </c>
    </row>
    <row r="525" spans="1:4">
      <c r="A525">
        <f t="shared" si="16"/>
        <v>523</v>
      </c>
      <c r="B525">
        <v>5230</v>
      </c>
      <c r="C525">
        <v>116492</v>
      </c>
      <c r="D525">
        <f t="shared" si="17"/>
        <v>1164.92</v>
      </c>
    </row>
    <row r="526" spans="1:4">
      <c r="A526">
        <f t="shared" si="16"/>
        <v>524</v>
      </c>
      <c r="B526">
        <v>5240</v>
      </c>
      <c r="C526">
        <v>116714</v>
      </c>
      <c r="D526">
        <f t="shared" si="17"/>
        <v>1167.1400000000001</v>
      </c>
    </row>
    <row r="527" spans="1:4">
      <c r="A527">
        <f t="shared" si="16"/>
        <v>525</v>
      </c>
      <c r="B527">
        <v>5250</v>
      </c>
      <c r="C527">
        <v>116936</v>
      </c>
      <c r="D527">
        <f t="shared" si="17"/>
        <v>1169.3599999999999</v>
      </c>
    </row>
    <row r="528" spans="1:4">
      <c r="A528">
        <f t="shared" si="16"/>
        <v>526</v>
      </c>
      <c r="B528">
        <v>5260</v>
      </c>
      <c r="C528">
        <v>117158</v>
      </c>
      <c r="D528">
        <f t="shared" si="17"/>
        <v>1171.58</v>
      </c>
    </row>
    <row r="529" spans="1:4">
      <c r="A529">
        <f t="shared" si="16"/>
        <v>527</v>
      </c>
      <c r="B529">
        <v>5270</v>
      </c>
      <c r="C529">
        <v>117379</v>
      </c>
      <c r="D529">
        <f t="shared" si="17"/>
        <v>1173.79</v>
      </c>
    </row>
    <row r="530" spans="1:4">
      <c r="A530">
        <f t="shared" si="16"/>
        <v>528</v>
      </c>
      <c r="B530">
        <v>5280</v>
      </c>
      <c r="C530">
        <v>117601</v>
      </c>
      <c r="D530">
        <f t="shared" si="17"/>
        <v>1176.01</v>
      </c>
    </row>
    <row r="531" spans="1:4">
      <c r="A531">
        <f t="shared" si="16"/>
        <v>529</v>
      </c>
      <c r="B531">
        <v>5290</v>
      </c>
      <c r="C531">
        <v>117823</v>
      </c>
      <c r="D531">
        <f t="shared" si="17"/>
        <v>1178.23</v>
      </c>
    </row>
    <row r="532" spans="1:4">
      <c r="A532">
        <f t="shared" si="16"/>
        <v>530</v>
      </c>
      <c r="B532">
        <v>5300</v>
      </c>
      <c r="C532">
        <v>118045</v>
      </c>
      <c r="D532">
        <f t="shared" si="17"/>
        <v>1180.45</v>
      </c>
    </row>
    <row r="533" spans="1:4">
      <c r="A533">
        <f t="shared" si="16"/>
        <v>531</v>
      </c>
      <c r="B533">
        <v>5310</v>
      </c>
      <c r="C533">
        <v>118267</v>
      </c>
      <c r="D533">
        <f t="shared" si="17"/>
        <v>1182.67</v>
      </c>
    </row>
    <row r="534" spans="1:4">
      <c r="A534">
        <f t="shared" si="16"/>
        <v>532</v>
      </c>
      <c r="B534">
        <v>5320</v>
      </c>
      <c r="C534">
        <v>118489</v>
      </c>
      <c r="D534">
        <f t="shared" si="17"/>
        <v>1184.8900000000001</v>
      </c>
    </row>
    <row r="535" spans="1:4">
      <c r="A535">
        <f t="shared" si="16"/>
        <v>533</v>
      </c>
      <c r="B535">
        <v>5330</v>
      </c>
      <c r="C535">
        <v>118711</v>
      </c>
      <c r="D535">
        <f t="shared" si="17"/>
        <v>1187.1099999999999</v>
      </c>
    </row>
    <row r="536" spans="1:4">
      <c r="A536">
        <f t="shared" si="16"/>
        <v>534</v>
      </c>
      <c r="B536">
        <v>5340</v>
      </c>
      <c r="C536">
        <v>118932</v>
      </c>
      <c r="D536">
        <f t="shared" si="17"/>
        <v>1189.32</v>
      </c>
    </row>
    <row r="537" spans="1:4">
      <c r="A537">
        <f t="shared" si="16"/>
        <v>535</v>
      </c>
      <c r="B537">
        <v>5350</v>
      </c>
      <c r="C537">
        <v>119154</v>
      </c>
      <c r="D537">
        <f t="shared" si="17"/>
        <v>1191.54</v>
      </c>
    </row>
    <row r="538" spans="1:4">
      <c r="A538">
        <f t="shared" si="16"/>
        <v>536</v>
      </c>
      <c r="B538">
        <v>5360</v>
      </c>
      <c r="C538">
        <v>119376</v>
      </c>
      <c r="D538">
        <f t="shared" si="17"/>
        <v>1193.76</v>
      </c>
    </row>
    <row r="539" spans="1:4">
      <c r="A539">
        <f t="shared" si="16"/>
        <v>537</v>
      </c>
      <c r="B539">
        <v>5370</v>
      </c>
      <c r="C539">
        <v>119598</v>
      </c>
      <c r="D539">
        <f t="shared" si="17"/>
        <v>1195.98</v>
      </c>
    </row>
    <row r="540" spans="1:4">
      <c r="A540">
        <f t="shared" si="16"/>
        <v>538</v>
      </c>
      <c r="B540">
        <v>5380</v>
      </c>
      <c r="C540">
        <v>119820</v>
      </c>
      <c r="D540">
        <f t="shared" si="17"/>
        <v>1198.2</v>
      </c>
    </row>
    <row r="541" spans="1:4">
      <c r="A541">
        <f t="shared" si="16"/>
        <v>539</v>
      </c>
      <c r="B541">
        <v>5390</v>
      </c>
      <c r="C541">
        <v>120042</v>
      </c>
      <c r="D541">
        <f t="shared" si="17"/>
        <v>1200.42</v>
      </c>
    </row>
    <row r="542" spans="1:4">
      <c r="A542">
        <f t="shared" si="16"/>
        <v>540</v>
      </c>
      <c r="B542">
        <v>5400</v>
      </c>
      <c r="C542">
        <v>120264</v>
      </c>
      <c r="D542">
        <f t="shared" si="17"/>
        <v>1202.6400000000001</v>
      </c>
    </row>
    <row r="543" spans="1:4">
      <c r="A543">
        <f t="shared" si="16"/>
        <v>541</v>
      </c>
      <c r="B543">
        <v>5410</v>
      </c>
      <c r="C543">
        <v>120486</v>
      </c>
      <c r="D543">
        <f t="shared" si="17"/>
        <v>1204.8599999999999</v>
      </c>
    </row>
    <row r="544" spans="1:4">
      <c r="A544">
        <f t="shared" si="16"/>
        <v>542</v>
      </c>
      <c r="B544">
        <v>5420</v>
      </c>
      <c r="C544">
        <v>120707</v>
      </c>
      <c r="D544">
        <f t="shared" si="17"/>
        <v>1207.07</v>
      </c>
    </row>
    <row r="545" spans="1:4">
      <c r="A545">
        <f t="shared" si="16"/>
        <v>543</v>
      </c>
      <c r="B545">
        <v>5430</v>
      </c>
      <c r="C545">
        <v>120929</v>
      </c>
      <c r="D545">
        <f t="shared" si="17"/>
        <v>1209.29</v>
      </c>
    </row>
    <row r="546" spans="1:4">
      <c r="A546">
        <f t="shared" si="16"/>
        <v>544</v>
      </c>
      <c r="B546">
        <v>5440</v>
      </c>
      <c r="C546">
        <v>121151</v>
      </c>
      <c r="D546">
        <f t="shared" si="17"/>
        <v>1211.51</v>
      </c>
    </row>
    <row r="547" spans="1:4">
      <c r="A547">
        <f t="shared" si="16"/>
        <v>545</v>
      </c>
      <c r="B547">
        <v>5450</v>
      </c>
      <c r="C547">
        <v>121373</v>
      </c>
      <c r="D547">
        <f t="shared" si="17"/>
        <v>1213.73</v>
      </c>
    </row>
    <row r="548" spans="1:4">
      <c r="A548">
        <f t="shared" si="16"/>
        <v>546</v>
      </c>
      <c r="B548">
        <v>5460</v>
      </c>
      <c r="C548">
        <v>121595</v>
      </c>
      <c r="D548">
        <f t="shared" si="17"/>
        <v>1215.95</v>
      </c>
    </row>
    <row r="549" spans="1:4">
      <c r="A549">
        <f t="shared" si="16"/>
        <v>547</v>
      </c>
      <c r="B549">
        <v>5470</v>
      </c>
      <c r="C549">
        <v>121817</v>
      </c>
      <c r="D549">
        <f t="shared" si="17"/>
        <v>1218.17</v>
      </c>
    </row>
    <row r="550" spans="1:4">
      <c r="A550">
        <f t="shared" si="16"/>
        <v>548</v>
      </c>
      <c r="B550">
        <v>5480</v>
      </c>
      <c r="C550">
        <v>122039</v>
      </c>
      <c r="D550">
        <f t="shared" si="17"/>
        <v>1220.3900000000001</v>
      </c>
    </row>
    <row r="551" spans="1:4">
      <c r="A551">
        <f t="shared" si="16"/>
        <v>549</v>
      </c>
      <c r="B551">
        <v>5490</v>
      </c>
      <c r="C551">
        <v>122261</v>
      </c>
      <c r="D551">
        <f t="shared" si="17"/>
        <v>1222.6099999999999</v>
      </c>
    </row>
    <row r="552" spans="1:4">
      <c r="A552">
        <f t="shared" si="16"/>
        <v>550</v>
      </c>
      <c r="B552">
        <v>5500</v>
      </c>
      <c r="C552">
        <v>122482</v>
      </c>
      <c r="D552">
        <f t="shared" si="17"/>
        <v>1224.82</v>
      </c>
    </row>
    <row r="553" spans="1:4">
      <c r="A553">
        <f t="shared" si="16"/>
        <v>551</v>
      </c>
      <c r="B553">
        <v>5510</v>
      </c>
      <c r="C553">
        <v>122704</v>
      </c>
      <c r="D553">
        <f t="shared" si="17"/>
        <v>1227.04</v>
      </c>
    </row>
    <row r="554" spans="1:4">
      <c r="A554">
        <f t="shared" si="16"/>
        <v>552</v>
      </c>
      <c r="B554">
        <v>5520</v>
      </c>
      <c r="C554">
        <v>122926</v>
      </c>
      <c r="D554">
        <f t="shared" si="17"/>
        <v>1229.26</v>
      </c>
    </row>
    <row r="555" spans="1:4">
      <c r="A555">
        <f t="shared" si="16"/>
        <v>553</v>
      </c>
      <c r="B555">
        <v>5530</v>
      </c>
      <c r="C555">
        <v>123148</v>
      </c>
      <c r="D555">
        <f t="shared" si="17"/>
        <v>1231.48</v>
      </c>
    </row>
    <row r="556" spans="1:4">
      <c r="A556">
        <f t="shared" si="16"/>
        <v>554</v>
      </c>
      <c r="B556">
        <v>5540</v>
      </c>
      <c r="C556">
        <v>123370</v>
      </c>
      <c r="D556">
        <f t="shared" si="17"/>
        <v>1233.7</v>
      </c>
    </row>
    <row r="557" spans="1:4">
      <c r="A557">
        <f t="shared" si="16"/>
        <v>555</v>
      </c>
      <c r="B557">
        <v>5550</v>
      </c>
      <c r="C557">
        <v>123592</v>
      </c>
      <c r="D557">
        <f t="shared" si="17"/>
        <v>1235.92</v>
      </c>
    </row>
    <row r="558" spans="1:4">
      <c r="A558">
        <f t="shared" si="16"/>
        <v>556</v>
      </c>
      <c r="B558">
        <v>5560</v>
      </c>
      <c r="C558">
        <v>123814</v>
      </c>
      <c r="D558">
        <f t="shared" si="17"/>
        <v>1238.1400000000001</v>
      </c>
    </row>
    <row r="559" spans="1:4">
      <c r="A559">
        <f t="shared" si="16"/>
        <v>557</v>
      </c>
      <c r="B559">
        <v>5570</v>
      </c>
      <c r="C559">
        <v>124035</v>
      </c>
      <c r="D559">
        <f t="shared" si="17"/>
        <v>1240.3499999999999</v>
      </c>
    </row>
    <row r="560" spans="1:4">
      <c r="A560">
        <f t="shared" si="16"/>
        <v>558</v>
      </c>
      <c r="B560">
        <v>5580</v>
      </c>
      <c r="C560">
        <v>124257</v>
      </c>
      <c r="D560">
        <f t="shared" si="17"/>
        <v>1242.57</v>
      </c>
    </row>
    <row r="561" spans="1:4">
      <c r="A561">
        <f t="shared" si="16"/>
        <v>559</v>
      </c>
      <c r="B561">
        <v>5590</v>
      </c>
      <c r="C561">
        <v>124479</v>
      </c>
      <c r="D561">
        <f t="shared" si="17"/>
        <v>1244.79</v>
      </c>
    </row>
    <row r="562" spans="1:4">
      <c r="A562">
        <f t="shared" si="16"/>
        <v>560</v>
      </c>
      <c r="B562">
        <v>5600</v>
      </c>
      <c r="C562">
        <v>124701</v>
      </c>
      <c r="D562">
        <f t="shared" si="17"/>
        <v>1247.01</v>
      </c>
    </row>
    <row r="563" spans="1:4">
      <c r="A563">
        <f t="shared" si="16"/>
        <v>561</v>
      </c>
      <c r="B563">
        <v>5610</v>
      </c>
      <c r="C563">
        <v>124923</v>
      </c>
      <c r="D563">
        <f t="shared" si="17"/>
        <v>1249.23</v>
      </c>
    </row>
    <row r="564" spans="1:4">
      <c r="A564">
        <f t="shared" si="16"/>
        <v>562</v>
      </c>
      <c r="B564">
        <v>5620</v>
      </c>
      <c r="C564">
        <v>125145</v>
      </c>
      <c r="D564">
        <f t="shared" si="17"/>
        <v>1251.45</v>
      </c>
    </row>
    <row r="565" spans="1:4">
      <c r="A565">
        <f t="shared" si="16"/>
        <v>563</v>
      </c>
      <c r="B565">
        <v>5630</v>
      </c>
      <c r="C565">
        <v>125367</v>
      </c>
      <c r="D565">
        <f t="shared" si="17"/>
        <v>1253.67</v>
      </c>
    </row>
    <row r="566" spans="1:4">
      <c r="A566">
        <f t="shared" si="16"/>
        <v>564</v>
      </c>
      <c r="B566">
        <v>5640</v>
      </c>
      <c r="C566">
        <v>125589</v>
      </c>
      <c r="D566">
        <f t="shared" si="17"/>
        <v>1255.8900000000001</v>
      </c>
    </row>
    <row r="567" spans="1:4">
      <c r="A567">
        <f t="shared" si="16"/>
        <v>565</v>
      </c>
      <c r="B567">
        <v>5650</v>
      </c>
      <c r="C567">
        <v>125810</v>
      </c>
      <c r="D567">
        <f t="shared" si="17"/>
        <v>1258.0999999999999</v>
      </c>
    </row>
    <row r="568" spans="1:4">
      <c r="A568">
        <f t="shared" si="16"/>
        <v>566</v>
      </c>
      <c r="B568">
        <v>5660</v>
      </c>
      <c r="C568">
        <v>126032</v>
      </c>
      <c r="D568">
        <f t="shared" si="17"/>
        <v>1260.32</v>
      </c>
    </row>
    <row r="569" spans="1:4">
      <c r="A569">
        <f t="shared" si="16"/>
        <v>567</v>
      </c>
      <c r="B569">
        <v>5670</v>
      </c>
      <c r="C569">
        <v>126254</v>
      </c>
      <c r="D569">
        <f t="shared" si="17"/>
        <v>1262.54</v>
      </c>
    </row>
    <row r="570" spans="1:4">
      <c r="A570">
        <f t="shared" si="16"/>
        <v>568</v>
      </c>
      <c r="B570">
        <v>5680</v>
      </c>
      <c r="C570">
        <v>126476</v>
      </c>
      <c r="D570">
        <f t="shared" si="17"/>
        <v>1264.76</v>
      </c>
    </row>
    <row r="571" spans="1:4">
      <c r="A571">
        <f t="shared" si="16"/>
        <v>569</v>
      </c>
      <c r="B571">
        <v>5690</v>
      </c>
      <c r="C571">
        <v>126698</v>
      </c>
      <c r="D571">
        <f t="shared" si="17"/>
        <v>1266.98</v>
      </c>
    </row>
    <row r="572" spans="1:4">
      <c r="A572">
        <f t="shared" si="16"/>
        <v>570</v>
      </c>
      <c r="B572">
        <v>5700</v>
      </c>
      <c r="C572">
        <v>126920</v>
      </c>
      <c r="D572">
        <f t="shared" si="17"/>
        <v>1269.2</v>
      </c>
    </row>
    <row r="573" spans="1:4">
      <c r="A573">
        <f t="shared" si="16"/>
        <v>571</v>
      </c>
      <c r="B573">
        <v>5710</v>
      </c>
      <c r="C573">
        <v>127142</v>
      </c>
      <c r="D573">
        <f t="shared" si="17"/>
        <v>1271.42</v>
      </c>
    </row>
    <row r="574" spans="1:4">
      <c r="A574">
        <f t="shared" si="16"/>
        <v>572</v>
      </c>
      <c r="B574">
        <v>5720</v>
      </c>
      <c r="C574">
        <v>127364</v>
      </c>
      <c r="D574">
        <f t="shared" si="17"/>
        <v>1273.6400000000001</v>
      </c>
    </row>
    <row r="575" spans="1:4">
      <c r="A575">
        <f t="shared" si="16"/>
        <v>573</v>
      </c>
      <c r="B575">
        <v>5730</v>
      </c>
      <c r="C575">
        <v>127585</v>
      </c>
      <c r="D575">
        <f t="shared" si="17"/>
        <v>1275.8499999999999</v>
      </c>
    </row>
    <row r="576" spans="1:4">
      <c r="A576">
        <f t="shared" si="16"/>
        <v>574</v>
      </c>
      <c r="B576">
        <v>5740</v>
      </c>
      <c r="C576">
        <v>127807</v>
      </c>
      <c r="D576">
        <f t="shared" si="17"/>
        <v>1278.07</v>
      </c>
    </row>
    <row r="577" spans="1:4">
      <c r="A577">
        <f t="shared" si="16"/>
        <v>575</v>
      </c>
      <c r="B577">
        <v>5750</v>
      </c>
      <c r="C577">
        <v>128029</v>
      </c>
      <c r="D577">
        <f t="shared" si="17"/>
        <v>1280.29</v>
      </c>
    </row>
    <row r="578" spans="1:4">
      <c r="A578">
        <f t="shared" si="16"/>
        <v>576</v>
      </c>
      <c r="B578">
        <v>5760</v>
      </c>
      <c r="C578">
        <v>128251</v>
      </c>
      <c r="D578">
        <f t="shared" si="17"/>
        <v>1282.51</v>
      </c>
    </row>
    <row r="579" spans="1:4">
      <c r="A579">
        <f t="shared" ref="A579:A642" si="18">$B579/10</f>
        <v>577</v>
      </c>
      <c r="B579">
        <v>5770</v>
      </c>
      <c r="C579">
        <v>128473</v>
      </c>
      <c r="D579">
        <f t="shared" ref="D579:D642" si="19">$C579/100</f>
        <v>1284.73</v>
      </c>
    </row>
    <row r="580" spans="1:4">
      <c r="A580">
        <f t="shared" si="18"/>
        <v>578</v>
      </c>
      <c r="B580">
        <v>5780</v>
      </c>
      <c r="C580">
        <v>128695</v>
      </c>
      <c r="D580">
        <f t="shared" si="19"/>
        <v>1286.95</v>
      </c>
    </row>
    <row r="581" spans="1:4">
      <c r="A581">
        <f t="shared" si="18"/>
        <v>579</v>
      </c>
      <c r="B581">
        <v>5790</v>
      </c>
      <c r="C581">
        <v>128917</v>
      </c>
      <c r="D581">
        <f t="shared" si="19"/>
        <v>1289.17</v>
      </c>
    </row>
    <row r="582" spans="1:4">
      <c r="A582">
        <f t="shared" si="18"/>
        <v>580</v>
      </c>
      <c r="B582">
        <v>5800</v>
      </c>
      <c r="C582">
        <v>129138</v>
      </c>
      <c r="D582">
        <f t="shared" si="19"/>
        <v>1291.3800000000001</v>
      </c>
    </row>
    <row r="583" spans="1:4">
      <c r="A583">
        <f t="shared" si="18"/>
        <v>581</v>
      </c>
      <c r="B583">
        <v>5810</v>
      </c>
      <c r="C583">
        <v>129360</v>
      </c>
      <c r="D583">
        <f t="shared" si="19"/>
        <v>1293.5999999999999</v>
      </c>
    </row>
    <row r="584" spans="1:4">
      <c r="A584">
        <f t="shared" si="18"/>
        <v>582</v>
      </c>
      <c r="B584">
        <v>5820</v>
      </c>
      <c r="C584">
        <v>129582</v>
      </c>
      <c r="D584">
        <f t="shared" si="19"/>
        <v>1295.82</v>
      </c>
    </row>
    <row r="585" spans="1:4">
      <c r="A585">
        <f t="shared" si="18"/>
        <v>583</v>
      </c>
      <c r="B585">
        <v>5830</v>
      </c>
      <c r="C585">
        <v>129804</v>
      </c>
      <c r="D585">
        <f t="shared" si="19"/>
        <v>1298.04</v>
      </c>
    </row>
    <row r="586" spans="1:4">
      <c r="A586">
        <f t="shared" si="18"/>
        <v>584</v>
      </c>
      <c r="B586">
        <v>5840</v>
      </c>
      <c r="C586">
        <v>130026</v>
      </c>
      <c r="D586">
        <f t="shared" si="19"/>
        <v>1300.26</v>
      </c>
    </row>
    <row r="587" spans="1:4">
      <c r="A587">
        <f t="shared" si="18"/>
        <v>585</v>
      </c>
      <c r="B587">
        <v>5850</v>
      </c>
      <c r="C587">
        <v>130248</v>
      </c>
      <c r="D587">
        <f t="shared" si="19"/>
        <v>1302.48</v>
      </c>
    </row>
    <row r="588" spans="1:4">
      <c r="A588">
        <f t="shared" si="18"/>
        <v>586</v>
      </c>
      <c r="B588">
        <v>5860</v>
      </c>
      <c r="C588">
        <v>130470</v>
      </c>
      <c r="D588">
        <f t="shared" si="19"/>
        <v>1304.7</v>
      </c>
    </row>
    <row r="589" spans="1:4">
      <c r="A589">
        <f t="shared" si="18"/>
        <v>587</v>
      </c>
      <c r="B589">
        <v>5870</v>
      </c>
      <c r="C589">
        <v>130692</v>
      </c>
      <c r="D589">
        <f t="shared" si="19"/>
        <v>1306.92</v>
      </c>
    </row>
    <row r="590" spans="1:4">
      <c r="A590">
        <f t="shared" si="18"/>
        <v>588</v>
      </c>
      <c r="B590">
        <v>5880</v>
      </c>
      <c r="C590">
        <v>130913</v>
      </c>
      <c r="D590">
        <f t="shared" si="19"/>
        <v>1309.1300000000001</v>
      </c>
    </row>
    <row r="591" spans="1:4">
      <c r="A591">
        <f t="shared" si="18"/>
        <v>589</v>
      </c>
      <c r="B591">
        <v>5890</v>
      </c>
      <c r="C591">
        <v>131135</v>
      </c>
      <c r="D591">
        <f t="shared" si="19"/>
        <v>1311.35</v>
      </c>
    </row>
    <row r="592" spans="1:4">
      <c r="A592">
        <f t="shared" si="18"/>
        <v>590</v>
      </c>
      <c r="B592">
        <v>5900</v>
      </c>
      <c r="C592">
        <v>131357</v>
      </c>
      <c r="D592">
        <f t="shared" si="19"/>
        <v>1313.57</v>
      </c>
    </row>
    <row r="593" spans="1:4">
      <c r="A593">
        <f t="shared" si="18"/>
        <v>591</v>
      </c>
      <c r="B593">
        <v>5910</v>
      </c>
      <c r="C593">
        <v>131579</v>
      </c>
      <c r="D593">
        <f t="shared" si="19"/>
        <v>1315.79</v>
      </c>
    </row>
    <row r="594" spans="1:4">
      <c r="A594">
        <f t="shared" si="18"/>
        <v>592</v>
      </c>
      <c r="B594">
        <v>5920</v>
      </c>
      <c r="C594">
        <v>131801</v>
      </c>
      <c r="D594">
        <f t="shared" si="19"/>
        <v>1318.01</v>
      </c>
    </row>
    <row r="595" spans="1:4">
      <c r="A595">
        <f t="shared" si="18"/>
        <v>593</v>
      </c>
      <c r="B595">
        <v>5930</v>
      </c>
      <c r="C595">
        <v>132023</v>
      </c>
      <c r="D595">
        <f t="shared" si="19"/>
        <v>1320.23</v>
      </c>
    </row>
    <row r="596" spans="1:4">
      <c r="A596">
        <f t="shared" si="18"/>
        <v>594</v>
      </c>
      <c r="B596">
        <v>5940</v>
      </c>
      <c r="C596">
        <v>132245</v>
      </c>
      <c r="D596">
        <f t="shared" si="19"/>
        <v>1322.45</v>
      </c>
    </row>
    <row r="597" spans="1:4">
      <c r="A597">
        <f t="shared" si="18"/>
        <v>595</v>
      </c>
      <c r="B597">
        <v>5950</v>
      </c>
      <c r="C597">
        <v>132467</v>
      </c>
      <c r="D597">
        <f t="shared" si="19"/>
        <v>1324.67</v>
      </c>
    </row>
    <row r="598" spans="1:4">
      <c r="A598">
        <f t="shared" si="18"/>
        <v>596</v>
      </c>
      <c r="B598">
        <v>5960</v>
      </c>
      <c r="C598">
        <v>132688</v>
      </c>
      <c r="D598">
        <f t="shared" si="19"/>
        <v>1326.88</v>
      </c>
    </row>
    <row r="599" spans="1:4">
      <c r="A599">
        <f t="shared" si="18"/>
        <v>597</v>
      </c>
      <c r="B599">
        <v>5970</v>
      </c>
      <c r="C599">
        <v>132910</v>
      </c>
      <c r="D599">
        <f t="shared" si="19"/>
        <v>1329.1</v>
      </c>
    </row>
    <row r="600" spans="1:4">
      <c r="A600">
        <f t="shared" si="18"/>
        <v>598</v>
      </c>
      <c r="B600">
        <v>5980</v>
      </c>
      <c r="C600">
        <v>133132</v>
      </c>
      <c r="D600">
        <f t="shared" si="19"/>
        <v>1331.32</v>
      </c>
    </row>
    <row r="601" spans="1:4">
      <c r="A601">
        <f t="shared" si="18"/>
        <v>599</v>
      </c>
      <c r="B601">
        <v>5990</v>
      </c>
      <c r="C601">
        <v>133354</v>
      </c>
      <c r="D601">
        <f t="shared" si="19"/>
        <v>1333.54</v>
      </c>
    </row>
    <row r="602" spans="1:4">
      <c r="A602">
        <f t="shared" si="18"/>
        <v>600</v>
      </c>
      <c r="B602">
        <v>6000</v>
      </c>
      <c r="C602">
        <v>133576</v>
      </c>
      <c r="D602">
        <f t="shared" si="19"/>
        <v>1335.76</v>
      </c>
    </row>
    <row r="603" spans="1:4">
      <c r="A603">
        <f t="shared" si="18"/>
        <v>601</v>
      </c>
      <c r="B603">
        <v>6010</v>
      </c>
      <c r="C603">
        <v>133798</v>
      </c>
      <c r="D603">
        <f t="shared" si="19"/>
        <v>1337.98</v>
      </c>
    </row>
    <row r="604" spans="1:4">
      <c r="A604">
        <f t="shared" si="18"/>
        <v>602</v>
      </c>
      <c r="B604">
        <v>6020</v>
      </c>
      <c r="C604">
        <v>134020</v>
      </c>
      <c r="D604">
        <f t="shared" si="19"/>
        <v>1340.2</v>
      </c>
    </row>
    <row r="605" spans="1:4">
      <c r="A605">
        <f t="shared" si="18"/>
        <v>603</v>
      </c>
      <c r="B605">
        <v>6030</v>
      </c>
      <c r="C605">
        <v>134241</v>
      </c>
      <c r="D605">
        <f t="shared" si="19"/>
        <v>1342.41</v>
      </c>
    </row>
    <row r="606" spans="1:4">
      <c r="A606">
        <f t="shared" si="18"/>
        <v>604</v>
      </c>
      <c r="B606">
        <v>6040</v>
      </c>
      <c r="C606">
        <v>134463</v>
      </c>
      <c r="D606">
        <f t="shared" si="19"/>
        <v>1344.63</v>
      </c>
    </row>
    <row r="607" spans="1:4">
      <c r="A607">
        <f t="shared" si="18"/>
        <v>605</v>
      </c>
      <c r="B607">
        <v>6050</v>
      </c>
      <c r="C607">
        <v>134685</v>
      </c>
      <c r="D607">
        <f t="shared" si="19"/>
        <v>1346.85</v>
      </c>
    </row>
    <row r="608" spans="1:4">
      <c r="A608">
        <f t="shared" si="18"/>
        <v>606</v>
      </c>
      <c r="B608">
        <v>6060</v>
      </c>
      <c r="C608">
        <v>134907</v>
      </c>
      <c r="D608">
        <f t="shared" si="19"/>
        <v>1349.07</v>
      </c>
    </row>
    <row r="609" spans="1:4">
      <c r="A609">
        <f t="shared" si="18"/>
        <v>607</v>
      </c>
      <c r="B609">
        <v>6070</v>
      </c>
      <c r="C609">
        <v>135129</v>
      </c>
      <c r="D609">
        <f t="shared" si="19"/>
        <v>1351.29</v>
      </c>
    </row>
    <row r="610" spans="1:4">
      <c r="A610">
        <f t="shared" si="18"/>
        <v>608</v>
      </c>
      <c r="B610">
        <v>6080</v>
      </c>
      <c r="C610">
        <v>135351</v>
      </c>
      <c r="D610">
        <f t="shared" si="19"/>
        <v>1353.51</v>
      </c>
    </row>
    <row r="611" spans="1:4">
      <c r="A611">
        <f t="shared" si="18"/>
        <v>609</v>
      </c>
      <c r="B611">
        <v>6090</v>
      </c>
      <c r="C611">
        <v>135573</v>
      </c>
      <c r="D611">
        <f t="shared" si="19"/>
        <v>1355.73</v>
      </c>
    </row>
    <row r="612" spans="1:4">
      <c r="A612">
        <f t="shared" si="18"/>
        <v>610</v>
      </c>
      <c r="B612">
        <v>6100</v>
      </c>
      <c r="C612">
        <v>135795</v>
      </c>
      <c r="D612">
        <f t="shared" si="19"/>
        <v>1357.95</v>
      </c>
    </row>
    <row r="613" spans="1:4">
      <c r="A613">
        <f t="shared" si="18"/>
        <v>611</v>
      </c>
      <c r="B613">
        <v>6110</v>
      </c>
      <c r="C613">
        <v>136016</v>
      </c>
      <c r="D613">
        <f t="shared" si="19"/>
        <v>1360.16</v>
      </c>
    </row>
    <row r="614" spans="1:4">
      <c r="A614">
        <f t="shared" si="18"/>
        <v>612</v>
      </c>
      <c r="B614">
        <v>6120</v>
      </c>
      <c r="C614">
        <v>136238</v>
      </c>
      <c r="D614">
        <f t="shared" si="19"/>
        <v>1362.38</v>
      </c>
    </row>
    <row r="615" spans="1:4">
      <c r="A615">
        <f t="shared" si="18"/>
        <v>613</v>
      </c>
      <c r="B615">
        <v>6130</v>
      </c>
      <c r="C615">
        <v>136460</v>
      </c>
      <c r="D615">
        <f t="shared" si="19"/>
        <v>1364.6</v>
      </c>
    </row>
    <row r="616" spans="1:4">
      <c r="A616">
        <f t="shared" si="18"/>
        <v>614</v>
      </c>
      <c r="B616">
        <v>6140</v>
      </c>
      <c r="C616">
        <v>136682</v>
      </c>
      <c r="D616">
        <f t="shared" si="19"/>
        <v>1366.82</v>
      </c>
    </row>
    <row r="617" spans="1:4">
      <c r="A617">
        <f t="shared" si="18"/>
        <v>615</v>
      </c>
      <c r="B617">
        <v>6150</v>
      </c>
      <c r="C617">
        <v>136904</v>
      </c>
      <c r="D617">
        <f t="shared" si="19"/>
        <v>1369.04</v>
      </c>
    </row>
    <row r="618" spans="1:4">
      <c r="A618">
        <f t="shared" si="18"/>
        <v>616</v>
      </c>
      <c r="B618">
        <v>6160</v>
      </c>
      <c r="C618">
        <v>137126</v>
      </c>
      <c r="D618">
        <f t="shared" si="19"/>
        <v>1371.26</v>
      </c>
    </row>
    <row r="619" spans="1:4">
      <c r="A619">
        <f t="shared" si="18"/>
        <v>617</v>
      </c>
      <c r="B619">
        <v>6170</v>
      </c>
      <c r="C619">
        <v>137348</v>
      </c>
      <c r="D619">
        <f t="shared" si="19"/>
        <v>1373.48</v>
      </c>
    </row>
    <row r="620" spans="1:4">
      <c r="A620">
        <f t="shared" si="18"/>
        <v>618</v>
      </c>
      <c r="B620">
        <v>6180</v>
      </c>
      <c r="C620">
        <v>137570</v>
      </c>
      <c r="D620">
        <f t="shared" si="19"/>
        <v>1375.7</v>
      </c>
    </row>
    <row r="621" spans="1:4">
      <c r="A621">
        <f t="shared" si="18"/>
        <v>619</v>
      </c>
      <c r="B621">
        <v>6190</v>
      </c>
      <c r="C621">
        <v>137791</v>
      </c>
      <c r="D621">
        <f t="shared" si="19"/>
        <v>1377.91</v>
      </c>
    </row>
    <row r="622" spans="1:4">
      <c r="A622">
        <f t="shared" si="18"/>
        <v>620</v>
      </c>
      <c r="B622">
        <v>6200</v>
      </c>
      <c r="C622">
        <v>138013</v>
      </c>
      <c r="D622">
        <f t="shared" si="19"/>
        <v>1380.13</v>
      </c>
    </row>
    <row r="623" spans="1:4">
      <c r="A623">
        <f t="shared" si="18"/>
        <v>621</v>
      </c>
      <c r="B623">
        <v>6210</v>
      </c>
      <c r="C623">
        <v>138235</v>
      </c>
      <c r="D623">
        <f t="shared" si="19"/>
        <v>1382.35</v>
      </c>
    </row>
    <row r="624" spans="1:4">
      <c r="A624">
        <f t="shared" si="18"/>
        <v>622</v>
      </c>
      <c r="B624">
        <v>6220</v>
      </c>
      <c r="C624">
        <v>138457</v>
      </c>
      <c r="D624">
        <f t="shared" si="19"/>
        <v>1384.57</v>
      </c>
    </row>
    <row r="625" spans="1:4">
      <c r="A625">
        <f t="shared" si="18"/>
        <v>623</v>
      </c>
      <c r="B625">
        <v>6230</v>
      </c>
      <c r="C625">
        <v>138679</v>
      </c>
      <c r="D625">
        <f t="shared" si="19"/>
        <v>1386.79</v>
      </c>
    </row>
    <row r="626" spans="1:4">
      <c r="A626">
        <f t="shared" si="18"/>
        <v>624</v>
      </c>
      <c r="B626">
        <v>6240</v>
      </c>
      <c r="C626">
        <v>138901</v>
      </c>
      <c r="D626">
        <f t="shared" si="19"/>
        <v>1389.01</v>
      </c>
    </row>
    <row r="627" spans="1:4">
      <c r="A627">
        <f t="shared" si="18"/>
        <v>625</v>
      </c>
      <c r="B627">
        <v>6250</v>
      </c>
      <c r="C627">
        <v>139123</v>
      </c>
      <c r="D627">
        <f t="shared" si="19"/>
        <v>1391.23</v>
      </c>
    </row>
    <row r="628" spans="1:4">
      <c r="A628">
        <f t="shared" si="18"/>
        <v>626</v>
      </c>
      <c r="B628">
        <v>6260</v>
      </c>
      <c r="C628">
        <v>139345</v>
      </c>
      <c r="D628">
        <f t="shared" si="19"/>
        <v>1393.45</v>
      </c>
    </row>
    <row r="629" spans="1:4">
      <c r="A629">
        <f t="shared" si="18"/>
        <v>627</v>
      </c>
      <c r="B629">
        <v>6270</v>
      </c>
      <c r="C629">
        <v>139566</v>
      </c>
      <c r="D629">
        <f t="shared" si="19"/>
        <v>1395.66</v>
      </c>
    </row>
    <row r="630" spans="1:4">
      <c r="A630">
        <f t="shared" si="18"/>
        <v>628</v>
      </c>
      <c r="B630">
        <v>6280</v>
      </c>
      <c r="C630">
        <v>139788</v>
      </c>
      <c r="D630">
        <f t="shared" si="19"/>
        <v>1397.88</v>
      </c>
    </row>
    <row r="631" spans="1:4">
      <c r="A631">
        <f t="shared" si="18"/>
        <v>629</v>
      </c>
      <c r="B631">
        <v>6290</v>
      </c>
      <c r="C631">
        <v>140010</v>
      </c>
      <c r="D631">
        <f t="shared" si="19"/>
        <v>1400.1</v>
      </c>
    </row>
    <row r="632" spans="1:4">
      <c r="A632">
        <f t="shared" si="18"/>
        <v>630</v>
      </c>
      <c r="B632">
        <v>6300</v>
      </c>
      <c r="C632">
        <v>140232</v>
      </c>
      <c r="D632">
        <f t="shared" si="19"/>
        <v>1402.32</v>
      </c>
    </row>
    <row r="633" spans="1:4">
      <c r="A633">
        <f t="shared" si="18"/>
        <v>631</v>
      </c>
      <c r="B633">
        <v>6310</v>
      </c>
      <c r="C633">
        <v>140454</v>
      </c>
      <c r="D633">
        <f t="shared" si="19"/>
        <v>1404.54</v>
      </c>
    </row>
    <row r="634" spans="1:4">
      <c r="A634">
        <f t="shared" si="18"/>
        <v>632</v>
      </c>
      <c r="B634">
        <v>6320</v>
      </c>
      <c r="C634">
        <v>140676</v>
      </c>
      <c r="D634">
        <f t="shared" si="19"/>
        <v>1406.76</v>
      </c>
    </row>
    <row r="635" spans="1:4">
      <c r="A635">
        <f t="shared" si="18"/>
        <v>633</v>
      </c>
      <c r="B635">
        <v>6330</v>
      </c>
      <c r="C635">
        <v>140898</v>
      </c>
      <c r="D635">
        <f t="shared" si="19"/>
        <v>1408.98</v>
      </c>
    </row>
    <row r="636" spans="1:4">
      <c r="A636">
        <f t="shared" si="18"/>
        <v>634</v>
      </c>
      <c r="B636">
        <v>6340</v>
      </c>
      <c r="C636">
        <v>141119</v>
      </c>
      <c r="D636">
        <f t="shared" si="19"/>
        <v>1411.19</v>
      </c>
    </row>
    <row r="637" spans="1:4">
      <c r="A637">
        <f t="shared" si="18"/>
        <v>635</v>
      </c>
      <c r="B637">
        <v>6350</v>
      </c>
      <c r="C637">
        <v>141341</v>
      </c>
      <c r="D637">
        <f t="shared" si="19"/>
        <v>1413.41</v>
      </c>
    </row>
    <row r="638" spans="1:4">
      <c r="A638">
        <f t="shared" si="18"/>
        <v>636</v>
      </c>
      <c r="B638">
        <v>6360</v>
      </c>
      <c r="C638">
        <v>141563</v>
      </c>
      <c r="D638">
        <f t="shared" si="19"/>
        <v>1415.63</v>
      </c>
    </row>
    <row r="639" spans="1:4">
      <c r="A639">
        <f t="shared" si="18"/>
        <v>637</v>
      </c>
      <c r="B639">
        <v>6370</v>
      </c>
      <c r="C639">
        <v>141785</v>
      </c>
      <c r="D639">
        <f t="shared" si="19"/>
        <v>1417.85</v>
      </c>
    </row>
    <row r="640" spans="1:4">
      <c r="A640">
        <f t="shared" si="18"/>
        <v>638</v>
      </c>
      <c r="B640">
        <v>6380</v>
      </c>
      <c r="C640">
        <v>142007</v>
      </c>
      <c r="D640">
        <f t="shared" si="19"/>
        <v>1420.07</v>
      </c>
    </row>
    <row r="641" spans="1:4">
      <c r="A641">
        <f t="shared" si="18"/>
        <v>639</v>
      </c>
      <c r="B641">
        <v>6390</v>
      </c>
      <c r="C641">
        <v>142229</v>
      </c>
      <c r="D641">
        <f t="shared" si="19"/>
        <v>1422.29</v>
      </c>
    </row>
    <row r="642" spans="1:4">
      <c r="A642">
        <f t="shared" si="18"/>
        <v>640</v>
      </c>
      <c r="B642">
        <v>6400</v>
      </c>
      <c r="C642">
        <v>142451</v>
      </c>
      <c r="D642">
        <f t="shared" si="19"/>
        <v>1424.51</v>
      </c>
    </row>
    <row r="643" spans="1:4">
      <c r="A643">
        <f t="shared" ref="A643:A706" si="20">$B643/10</f>
        <v>641</v>
      </c>
      <c r="B643">
        <v>6410</v>
      </c>
      <c r="C643">
        <v>142673</v>
      </c>
      <c r="D643">
        <f t="shared" ref="D643:D706" si="21">$C643/100</f>
        <v>1426.73</v>
      </c>
    </row>
    <row r="644" spans="1:4">
      <c r="A644">
        <f t="shared" si="20"/>
        <v>642</v>
      </c>
      <c r="B644">
        <v>6420</v>
      </c>
      <c r="C644">
        <v>142894</v>
      </c>
      <c r="D644">
        <f t="shared" si="21"/>
        <v>1428.94</v>
      </c>
    </row>
    <row r="645" spans="1:4">
      <c r="A645">
        <f t="shared" si="20"/>
        <v>643</v>
      </c>
      <c r="B645">
        <v>6430</v>
      </c>
      <c r="C645">
        <v>143116</v>
      </c>
      <c r="D645">
        <f t="shared" si="21"/>
        <v>1431.16</v>
      </c>
    </row>
    <row r="646" spans="1:4">
      <c r="A646">
        <f t="shared" si="20"/>
        <v>644</v>
      </c>
      <c r="B646">
        <v>6440</v>
      </c>
      <c r="C646">
        <v>143338</v>
      </c>
      <c r="D646">
        <f t="shared" si="21"/>
        <v>1433.38</v>
      </c>
    </row>
    <row r="647" spans="1:4">
      <c r="A647">
        <f t="shared" si="20"/>
        <v>645</v>
      </c>
      <c r="B647">
        <v>6450</v>
      </c>
      <c r="C647">
        <v>143560</v>
      </c>
      <c r="D647">
        <f t="shared" si="21"/>
        <v>1435.6</v>
      </c>
    </row>
    <row r="648" spans="1:4">
      <c r="A648">
        <f t="shared" si="20"/>
        <v>646</v>
      </c>
      <c r="B648">
        <v>6460</v>
      </c>
      <c r="C648">
        <v>143782</v>
      </c>
      <c r="D648">
        <f t="shared" si="21"/>
        <v>1437.82</v>
      </c>
    </row>
    <row r="649" spans="1:4">
      <c r="A649">
        <f t="shared" si="20"/>
        <v>647</v>
      </c>
      <c r="B649">
        <v>6470</v>
      </c>
      <c r="C649">
        <v>144004</v>
      </c>
      <c r="D649">
        <f t="shared" si="21"/>
        <v>1440.04</v>
      </c>
    </row>
    <row r="650" spans="1:4">
      <c r="A650">
        <f t="shared" si="20"/>
        <v>648</v>
      </c>
      <c r="B650">
        <v>6480</v>
      </c>
      <c r="C650">
        <v>144226</v>
      </c>
      <c r="D650">
        <f t="shared" si="21"/>
        <v>1442.26</v>
      </c>
    </row>
    <row r="651" spans="1:4">
      <c r="A651">
        <f t="shared" si="20"/>
        <v>649</v>
      </c>
      <c r="B651">
        <v>6490</v>
      </c>
      <c r="C651">
        <v>144448</v>
      </c>
      <c r="D651">
        <f t="shared" si="21"/>
        <v>1444.48</v>
      </c>
    </row>
    <row r="652" spans="1:4">
      <c r="A652">
        <f t="shared" si="20"/>
        <v>650</v>
      </c>
      <c r="B652">
        <v>6500</v>
      </c>
      <c r="C652">
        <v>144669</v>
      </c>
      <c r="D652">
        <f t="shared" si="21"/>
        <v>1446.69</v>
      </c>
    </row>
    <row r="653" spans="1:4">
      <c r="A653">
        <f t="shared" si="20"/>
        <v>651</v>
      </c>
      <c r="B653">
        <v>6510</v>
      </c>
      <c r="C653">
        <v>144891</v>
      </c>
      <c r="D653">
        <f t="shared" si="21"/>
        <v>1448.91</v>
      </c>
    </row>
    <row r="654" spans="1:4">
      <c r="A654">
        <f t="shared" si="20"/>
        <v>652</v>
      </c>
      <c r="B654">
        <v>6520</v>
      </c>
      <c r="C654">
        <v>145113</v>
      </c>
      <c r="D654">
        <f t="shared" si="21"/>
        <v>1451.13</v>
      </c>
    </row>
    <row r="655" spans="1:4">
      <c r="A655">
        <f t="shared" si="20"/>
        <v>653</v>
      </c>
      <c r="B655">
        <v>6530</v>
      </c>
      <c r="C655">
        <v>145335</v>
      </c>
      <c r="D655">
        <f t="shared" si="21"/>
        <v>1453.35</v>
      </c>
    </row>
    <row r="656" spans="1:4">
      <c r="A656">
        <f t="shared" si="20"/>
        <v>654</v>
      </c>
      <c r="B656">
        <v>6540</v>
      </c>
      <c r="C656">
        <v>145557</v>
      </c>
      <c r="D656">
        <f t="shared" si="21"/>
        <v>1455.57</v>
      </c>
    </row>
    <row r="657" spans="1:4">
      <c r="A657">
        <f t="shared" si="20"/>
        <v>655</v>
      </c>
      <c r="B657">
        <v>6550</v>
      </c>
      <c r="C657">
        <v>145779</v>
      </c>
      <c r="D657">
        <f t="shared" si="21"/>
        <v>1457.79</v>
      </c>
    </row>
    <row r="658" spans="1:4">
      <c r="A658">
        <f t="shared" si="20"/>
        <v>656</v>
      </c>
      <c r="B658">
        <v>6560</v>
      </c>
      <c r="C658">
        <v>146001</v>
      </c>
      <c r="D658">
        <f t="shared" si="21"/>
        <v>1460.01</v>
      </c>
    </row>
    <row r="659" spans="1:4">
      <c r="A659">
        <f t="shared" si="20"/>
        <v>657</v>
      </c>
      <c r="B659">
        <v>6570</v>
      </c>
      <c r="C659">
        <v>146222</v>
      </c>
      <c r="D659">
        <f t="shared" si="21"/>
        <v>1462.22</v>
      </c>
    </row>
    <row r="660" spans="1:4">
      <c r="A660">
        <f t="shared" si="20"/>
        <v>658</v>
      </c>
      <c r="B660">
        <v>6580</v>
      </c>
      <c r="C660">
        <v>146444</v>
      </c>
      <c r="D660">
        <f t="shared" si="21"/>
        <v>1464.44</v>
      </c>
    </row>
    <row r="661" spans="1:4">
      <c r="A661">
        <f t="shared" si="20"/>
        <v>659</v>
      </c>
      <c r="B661">
        <v>6590</v>
      </c>
      <c r="C661">
        <v>146666</v>
      </c>
      <c r="D661">
        <f t="shared" si="21"/>
        <v>1466.66</v>
      </c>
    </row>
    <row r="662" spans="1:4">
      <c r="A662">
        <f t="shared" si="20"/>
        <v>660</v>
      </c>
      <c r="B662">
        <v>6600</v>
      </c>
      <c r="C662">
        <v>146888</v>
      </c>
      <c r="D662">
        <f t="shared" si="21"/>
        <v>1468.88</v>
      </c>
    </row>
    <row r="663" spans="1:4">
      <c r="A663">
        <f t="shared" si="20"/>
        <v>661</v>
      </c>
      <c r="B663">
        <v>6610</v>
      </c>
      <c r="C663">
        <v>147110</v>
      </c>
      <c r="D663">
        <f t="shared" si="21"/>
        <v>1471.1</v>
      </c>
    </row>
    <row r="664" spans="1:4">
      <c r="A664">
        <f t="shared" si="20"/>
        <v>662</v>
      </c>
      <c r="B664">
        <v>6620</v>
      </c>
      <c r="C664">
        <v>147332</v>
      </c>
      <c r="D664">
        <f t="shared" si="21"/>
        <v>1473.32</v>
      </c>
    </row>
    <row r="665" spans="1:4">
      <c r="A665">
        <f t="shared" si="20"/>
        <v>663</v>
      </c>
      <c r="B665">
        <v>6630</v>
      </c>
      <c r="C665">
        <v>147554</v>
      </c>
      <c r="D665">
        <f t="shared" si="21"/>
        <v>1475.54</v>
      </c>
    </row>
    <row r="666" spans="1:4">
      <c r="A666">
        <f t="shared" si="20"/>
        <v>664</v>
      </c>
      <c r="B666">
        <v>6640</v>
      </c>
      <c r="C666">
        <v>147776</v>
      </c>
      <c r="D666">
        <f t="shared" si="21"/>
        <v>1477.76</v>
      </c>
    </row>
    <row r="667" spans="1:4">
      <c r="A667">
        <f t="shared" si="20"/>
        <v>665</v>
      </c>
      <c r="B667">
        <v>6650</v>
      </c>
      <c r="C667">
        <v>147997</v>
      </c>
      <c r="D667">
        <f t="shared" si="21"/>
        <v>1479.97</v>
      </c>
    </row>
    <row r="668" spans="1:4">
      <c r="A668">
        <f t="shared" si="20"/>
        <v>666</v>
      </c>
      <c r="B668">
        <v>6660</v>
      </c>
      <c r="C668">
        <v>148219</v>
      </c>
      <c r="D668">
        <f t="shared" si="21"/>
        <v>1482.19</v>
      </c>
    </row>
    <row r="669" spans="1:4">
      <c r="A669">
        <f t="shared" si="20"/>
        <v>667</v>
      </c>
      <c r="B669">
        <v>6670</v>
      </c>
      <c r="C669">
        <v>148441</v>
      </c>
      <c r="D669">
        <f t="shared" si="21"/>
        <v>1484.41</v>
      </c>
    </row>
    <row r="670" spans="1:4">
      <c r="A670">
        <f t="shared" si="20"/>
        <v>668</v>
      </c>
      <c r="B670">
        <v>6680</v>
      </c>
      <c r="C670">
        <v>148663</v>
      </c>
      <c r="D670">
        <f t="shared" si="21"/>
        <v>1486.63</v>
      </c>
    </row>
    <row r="671" spans="1:4">
      <c r="A671">
        <f t="shared" si="20"/>
        <v>669</v>
      </c>
      <c r="B671">
        <v>6690</v>
      </c>
      <c r="C671">
        <v>148885</v>
      </c>
      <c r="D671">
        <f t="shared" si="21"/>
        <v>1488.85</v>
      </c>
    </row>
    <row r="672" spans="1:4">
      <c r="A672">
        <f t="shared" si="20"/>
        <v>670</v>
      </c>
      <c r="B672">
        <v>6700</v>
      </c>
      <c r="C672">
        <v>149107</v>
      </c>
      <c r="D672">
        <f t="shared" si="21"/>
        <v>1491.07</v>
      </c>
    </row>
    <row r="673" spans="1:4">
      <c r="A673">
        <f t="shared" si="20"/>
        <v>671</v>
      </c>
      <c r="B673">
        <v>6710</v>
      </c>
      <c r="C673">
        <v>149329</v>
      </c>
      <c r="D673">
        <f t="shared" si="21"/>
        <v>1493.29</v>
      </c>
    </row>
    <row r="674" spans="1:4">
      <c r="A674">
        <f t="shared" si="20"/>
        <v>672</v>
      </c>
      <c r="B674">
        <v>6720</v>
      </c>
      <c r="C674">
        <v>149551</v>
      </c>
      <c r="D674">
        <f t="shared" si="21"/>
        <v>1495.51</v>
      </c>
    </row>
    <row r="675" spans="1:4">
      <c r="A675">
        <f t="shared" si="20"/>
        <v>673</v>
      </c>
      <c r="B675">
        <v>6730</v>
      </c>
      <c r="C675">
        <v>149772</v>
      </c>
      <c r="D675">
        <f t="shared" si="21"/>
        <v>1497.72</v>
      </c>
    </row>
    <row r="676" spans="1:4">
      <c r="A676">
        <f t="shared" si="20"/>
        <v>674</v>
      </c>
      <c r="B676">
        <v>6740</v>
      </c>
      <c r="C676">
        <v>149994</v>
      </c>
      <c r="D676">
        <f t="shared" si="21"/>
        <v>1499.94</v>
      </c>
    </row>
    <row r="677" spans="1:4">
      <c r="A677">
        <f t="shared" si="20"/>
        <v>675</v>
      </c>
      <c r="B677">
        <v>6750</v>
      </c>
      <c r="C677">
        <v>150216</v>
      </c>
      <c r="D677">
        <f t="shared" si="21"/>
        <v>1502.16</v>
      </c>
    </row>
    <row r="678" spans="1:4">
      <c r="A678">
        <f t="shared" si="20"/>
        <v>676</v>
      </c>
      <c r="B678">
        <v>6760</v>
      </c>
      <c r="C678">
        <v>150438</v>
      </c>
      <c r="D678">
        <f t="shared" si="21"/>
        <v>1504.38</v>
      </c>
    </row>
    <row r="679" spans="1:4">
      <c r="A679">
        <f t="shared" si="20"/>
        <v>677</v>
      </c>
      <c r="B679">
        <v>6770</v>
      </c>
      <c r="C679">
        <v>150660</v>
      </c>
      <c r="D679">
        <f t="shared" si="21"/>
        <v>1506.6</v>
      </c>
    </row>
    <row r="680" spans="1:4">
      <c r="A680">
        <f t="shared" si="20"/>
        <v>678</v>
      </c>
      <c r="B680">
        <v>6780</v>
      </c>
      <c r="C680">
        <v>150882</v>
      </c>
      <c r="D680">
        <f t="shared" si="21"/>
        <v>1508.82</v>
      </c>
    </row>
    <row r="681" spans="1:4">
      <c r="A681">
        <f t="shared" si="20"/>
        <v>679</v>
      </c>
      <c r="B681">
        <v>6790</v>
      </c>
      <c r="C681">
        <v>151104</v>
      </c>
      <c r="D681">
        <f t="shared" si="21"/>
        <v>1511.04</v>
      </c>
    </row>
    <row r="682" spans="1:4">
      <c r="A682">
        <f t="shared" si="20"/>
        <v>680</v>
      </c>
      <c r="B682">
        <v>6800</v>
      </c>
      <c r="C682">
        <v>151325</v>
      </c>
      <c r="D682">
        <f t="shared" si="21"/>
        <v>1513.25</v>
      </c>
    </row>
    <row r="683" spans="1:4">
      <c r="A683">
        <f t="shared" si="20"/>
        <v>681</v>
      </c>
      <c r="B683">
        <v>6810</v>
      </c>
      <c r="C683">
        <v>151547</v>
      </c>
      <c r="D683">
        <f t="shared" si="21"/>
        <v>1515.47</v>
      </c>
    </row>
    <row r="684" spans="1:4">
      <c r="A684">
        <f t="shared" si="20"/>
        <v>682</v>
      </c>
      <c r="B684">
        <v>6820</v>
      </c>
      <c r="C684">
        <v>151769</v>
      </c>
      <c r="D684">
        <f t="shared" si="21"/>
        <v>1517.69</v>
      </c>
    </row>
    <row r="685" spans="1:4">
      <c r="A685">
        <f t="shared" si="20"/>
        <v>683</v>
      </c>
      <c r="B685">
        <v>6830</v>
      </c>
      <c r="C685">
        <v>151991</v>
      </c>
      <c r="D685">
        <f t="shared" si="21"/>
        <v>1519.91</v>
      </c>
    </row>
    <row r="686" spans="1:4">
      <c r="A686">
        <f t="shared" si="20"/>
        <v>684</v>
      </c>
      <c r="B686">
        <v>6840</v>
      </c>
      <c r="C686">
        <v>152213</v>
      </c>
      <c r="D686">
        <f t="shared" si="21"/>
        <v>1522.13</v>
      </c>
    </row>
    <row r="687" spans="1:4">
      <c r="A687">
        <f t="shared" si="20"/>
        <v>685</v>
      </c>
      <c r="B687">
        <v>6850</v>
      </c>
      <c r="C687">
        <v>152435</v>
      </c>
      <c r="D687">
        <f t="shared" si="21"/>
        <v>1524.35</v>
      </c>
    </row>
    <row r="688" spans="1:4">
      <c r="A688">
        <f t="shared" si="20"/>
        <v>686</v>
      </c>
      <c r="B688">
        <v>6860</v>
      </c>
      <c r="C688">
        <v>152657</v>
      </c>
      <c r="D688">
        <f t="shared" si="21"/>
        <v>1526.57</v>
      </c>
    </row>
    <row r="689" spans="1:4">
      <c r="A689">
        <f t="shared" si="20"/>
        <v>687</v>
      </c>
      <c r="B689">
        <v>6870</v>
      </c>
      <c r="C689">
        <v>152879</v>
      </c>
      <c r="D689">
        <f t="shared" si="21"/>
        <v>1528.79</v>
      </c>
    </row>
    <row r="690" spans="1:4">
      <c r="A690">
        <f t="shared" si="20"/>
        <v>688</v>
      </c>
      <c r="B690">
        <v>6880</v>
      </c>
      <c r="C690">
        <v>153100</v>
      </c>
      <c r="D690">
        <f t="shared" si="21"/>
        <v>1531</v>
      </c>
    </row>
    <row r="691" spans="1:4">
      <c r="A691">
        <f t="shared" si="20"/>
        <v>689</v>
      </c>
      <c r="B691">
        <v>6890</v>
      </c>
      <c r="C691">
        <v>153322</v>
      </c>
      <c r="D691">
        <f t="shared" si="21"/>
        <v>1533.22</v>
      </c>
    </row>
    <row r="692" spans="1:4">
      <c r="A692">
        <f t="shared" si="20"/>
        <v>690</v>
      </c>
      <c r="B692">
        <v>6900</v>
      </c>
      <c r="C692">
        <v>153544</v>
      </c>
      <c r="D692">
        <f t="shared" si="21"/>
        <v>1535.44</v>
      </c>
    </row>
    <row r="693" spans="1:4">
      <c r="A693">
        <f t="shared" si="20"/>
        <v>691</v>
      </c>
      <c r="B693">
        <v>6910</v>
      </c>
      <c r="C693">
        <v>153766</v>
      </c>
      <c r="D693">
        <f t="shared" si="21"/>
        <v>1537.66</v>
      </c>
    </row>
    <row r="694" spans="1:4">
      <c r="A694">
        <f t="shared" si="20"/>
        <v>692</v>
      </c>
      <c r="B694">
        <v>6920</v>
      </c>
      <c r="C694">
        <v>153988</v>
      </c>
      <c r="D694">
        <f t="shared" si="21"/>
        <v>1539.88</v>
      </c>
    </row>
    <row r="695" spans="1:4">
      <c r="A695">
        <f t="shared" si="20"/>
        <v>693</v>
      </c>
      <c r="B695">
        <v>6930</v>
      </c>
      <c r="C695">
        <v>154210</v>
      </c>
      <c r="D695">
        <f t="shared" si="21"/>
        <v>1542.1</v>
      </c>
    </row>
    <row r="696" spans="1:4">
      <c r="A696">
        <f t="shared" si="20"/>
        <v>694</v>
      </c>
      <c r="B696">
        <v>6940</v>
      </c>
      <c r="C696">
        <v>154432</v>
      </c>
      <c r="D696">
        <f t="shared" si="21"/>
        <v>1544.32</v>
      </c>
    </row>
    <row r="697" spans="1:4">
      <c r="A697">
        <f t="shared" si="20"/>
        <v>695</v>
      </c>
      <c r="B697">
        <v>6950</v>
      </c>
      <c r="C697">
        <v>154654</v>
      </c>
      <c r="D697">
        <f t="shared" si="21"/>
        <v>1546.54</v>
      </c>
    </row>
    <row r="698" spans="1:4">
      <c r="A698">
        <f t="shared" si="20"/>
        <v>696</v>
      </c>
      <c r="B698">
        <v>6960</v>
      </c>
      <c r="C698">
        <v>154875</v>
      </c>
      <c r="D698">
        <f t="shared" si="21"/>
        <v>1548.75</v>
      </c>
    </row>
    <row r="699" spans="1:4">
      <c r="A699">
        <f t="shared" si="20"/>
        <v>697</v>
      </c>
      <c r="B699">
        <v>6970</v>
      </c>
      <c r="C699">
        <v>155097</v>
      </c>
      <c r="D699">
        <f t="shared" si="21"/>
        <v>1550.97</v>
      </c>
    </row>
    <row r="700" spans="1:4">
      <c r="A700">
        <f t="shared" si="20"/>
        <v>698</v>
      </c>
      <c r="B700">
        <v>6980</v>
      </c>
      <c r="C700">
        <v>155319</v>
      </c>
      <c r="D700">
        <f t="shared" si="21"/>
        <v>1553.19</v>
      </c>
    </row>
    <row r="701" spans="1:4">
      <c r="A701">
        <f t="shared" si="20"/>
        <v>699</v>
      </c>
      <c r="B701">
        <v>6990</v>
      </c>
      <c r="C701">
        <v>155541</v>
      </c>
      <c r="D701">
        <f t="shared" si="21"/>
        <v>1555.41</v>
      </c>
    </row>
    <row r="702" spans="1:4">
      <c r="A702">
        <f t="shared" si="20"/>
        <v>700</v>
      </c>
      <c r="B702">
        <v>7000</v>
      </c>
      <c r="C702">
        <v>155763</v>
      </c>
      <c r="D702">
        <f t="shared" si="21"/>
        <v>1557.63</v>
      </c>
    </row>
    <row r="703" spans="1:4">
      <c r="A703">
        <f t="shared" si="20"/>
        <v>701</v>
      </c>
      <c r="B703">
        <v>7010</v>
      </c>
      <c r="C703">
        <v>155985</v>
      </c>
      <c r="D703">
        <f t="shared" si="21"/>
        <v>1559.85</v>
      </c>
    </row>
    <row r="704" spans="1:4">
      <c r="A704">
        <f t="shared" si="20"/>
        <v>702</v>
      </c>
      <c r="B704">
        <v>7020</v>
      </c>
      <c r="C704">
        <v>156207</v>
      </c>
      <c r="D704">
        <f t="shared" si="21"/>
        <v>1562.07</v>
      </c>
    </row>
    <row r="705" spans="1:4">
      <c r="A705">
        <f t="shared" si="20"/>
        <v>703</v>
      </c>
      <c r="B705">
        <v>7030</v>
      </c>
      <c r="C705">
        <v>156428</v>
      </c>
      <c r="D705">
        <f t="shared" si="21"/>
        <v>1564.28</v>
      </c>
    </row>
    <row r="706" spans="1:4">
      <c r="A706">
        <f t="shared" si="20"/>
        <v>704</v>
      </c>
      <c r="B706">
        <v>7040</v>
      </c>
      <c r="C706">
        <v>156650</v>
      </c>
      <c r="D706">
        <f t="shared" si="21"/>
        <v>1566.5</v>
      </c>
    </row>
    <row r="707" spans="1:4">
      <c r="A707">
        <f t="shared" ref="A707:A770" si="22">$B707/10</f>
        <v>705</v>
      </c>
      <c r="B707">
        <v>7050</v>
      </c>
      <c r="C707">
        <v>156872</v>
      </c>
      <c r="D707">
        <f t="shared" ref="D707:D770" si="23">$C707/100</f>
        <v>1568.72</v>
      </c>
    </row>
    <row r="708" spans="1:4">
      <c r="A708">
        <f t="shared" si="22"/>
        <v>706</v>
      </c>
      <c r="B708">
        <v>7060</v>
      </c>
      <c r="C708">
        <v>157094</v>
      </c>
      <c r="D708">
        <f t="shared" si="23"/>
        <v>1570.94</v>
      </c>
    </row>
    <row r="709" spans="1:4">
      <c r="A709">
        <f t="shared" si="22"/>
        <v>707</v>
      </c>
      <c r="B709">
        <v>7070</v>
      </c>
      <c r="C709">
        <v>157316</v>
      </c>
      <c r="D709">
        <f t="shared" si="23"/>
        <v>1573.16</v>
      </c>
    </row>
    <row r="710" spans="1:4">
      <c r="A710">
        <f t="shared" si="22"/>
        <v>708</v>
      </c>
      <c r="B710">
        <v>7080</v>
      </c>
      <c r="C710">
        <v>157538</v>
      </c>
      <c r="D710">
        <f t="shared" si="23"/>
        <v>1575.38</v>
      </c>
    </row>
    <row r="711" spans="1:4">
      <c r="A711">
        <f t="shared" si="22"/>
        <v>709</v>
      </c>
      <c r="B711">
        <v>7090</v>
      </c>
      <c r="C711">
        <v>157760</v>
      </c>
      <c r="D711">
        <f t="shared" si="23"/>
        <v>1577.6</v>
      </c>
    </row>
    <row r="712" spans="1:4">
      <c r="A712">
        <f t="shared" si="22"/>
        <v>710</v>
      </c>
      <c r="B712">
        <v>7100</v>
      </c>
      <c r="C712">
        <v>157982</v>
      </c>
      <c r="D712">
        <f t="shared" si="23"/>
        <v>1579.82</v>
      </c>
    </row>
    <row r="713" spans="1:4">
      <c r="A713">
        <f t="shared" si="22"/>
        <v>711</v>
      </c>
      <c r="B713">
        <v>7110</v>
      </c>
      <c r="C713">
        <v>158203</v>
      </c>
      <c r="D713">
        <f t="shared" si="23"/>
        <v>1582.03</v>
      </c>
    </row>
    <row r="714" spans="1:4">
      <c r="A714">
        <f t="shared" si="22"/>
        <v>712</v>
      </c>
      <c r="B714">
        <v>7120</v>
      </c>
      <c r="C714">
        <v>158425</v>
      </c>
      <c r="D714">
        <f t="shared" si="23"/>
        <v>1584.25</v>
      </c>
    </row>
    <row r="715" spans="1:4">
      <c r="A715">
        <f t="shared" si="22"/>
        <v>713</v>
      </c>
      <c r="B715">
        <v>7130</v>
      </c>
      <c r="C715">
        <v>158647</v>
      </c>
      <c r="D715">
        <f t="shared" si="23"/>
        <v>1586.47</v>
      </c>
    </row>
    <row r="716" spans="1:4">
      <c r="A716">
        <f t="shared" si="22"/>
        <v>714</v>
      </c>
      <c r="B716">
        <v>7140</v>
      </c>
      <c r="C716">
        <v>158869</v>
      </c>
      <c r="D716">
        <f t="shared" si="23"/>
        <v>1588.69</v>
      </c>
    </row>
    <row r="717" spans="1:4">
      <c r="A717">
        <f t="shared" si="22"/>
        <v>715</v>
      </c>
      <c r="B717">
        <v>7150</v>
      </c>
      <c r="C717">
        <v>159091</v>
      </c>
      <c r="D717">
        <f t="shared" si="23"/>
        <v>1590.91</v>
      </c>
    </row>
    <row r="718" spans="1:4">
      <c r="A718">
        <f t="shared" si="22"/>
        <v>716</v>
      </c>
      <c r="B718">
        <v>7160</v>
      </c>
      <c r="C718">
        <v>159313</v>
      </c>
      <c r="D718">
        <f t="shared" si="23"/>
        <v>1593.13</v>
      </c>
    </row>
    <row r="719" spans="1:4">
      <c r="A719">
        <f t="shared" si="22"/>
        <v>717</v>
      </c>
      <c r="B719">
        <v>7170</v>
      </c>
      <c r="C719">
        <v>159535</v>
      </c>
      <c r="D719">
        <f t="shared" si="23"/>
        <v>1595.35</v>
      </c>
    </row>
    <row r="720" spans="1:4">
      <c r="A720">
        <f t="shared" si="22"/>
        <v>718</v>
      </c>
      <c r="B720">
        <v>7180</v>
      </c>
      <c r="C720">
        <v>159757</v>
      </c>
      <c r="D720">
        <f t="shared" si="23"/>
        <v>1597.57</v>
      </c>
    </row>
    <row r="721" spans="1:4">
      <c r="A721">
        <f t="shared" si="22"/>
        <v>719</v>
      </c>
      <c r="B721">
        <v>7190</v>
      </c>
      <c r="C721">
        <v>159978</v>
      </c>
      <c r="D721">
        <f t="shared" si="23"/>
        <v>1599.78</v>
      </c>
    </row>
    <row r="722" spans="1:4">
      <c r="A722">
        <f t="shared" si="22"/>
        <v>720</v>
      </c>
      <c r="B722">
        <v>7200</v>
      </c>
      <c r="C722">
        <v>160200</v>
      </c>
      <c r="D722">
        <f t="shared" si="23"/>
        <v>1602</v>
      </c>
    </row>
    <row r="723" spans="1:4">
      <c r="A723">
        <f t="shared" si="22"/>
        <v>721</v>
      </c>
      <c r="B723">
        <v>7210</v>
      </c>
      <c r="C723">
        <v>160422</v>
      </c>
      <c r="D723">
        <f t="shared" si="23"/>
        <v>1604.22</v>
      </c>
    </row>
    <row r="724" spans="1:4">
      <c r="A724">
        <f t="shared" si="22"/>
        <v>722</v>
      </c>
      <c r="B724">
        <v>7220</v>
      </c>
      <c r="C724">
        <v>160644</v>
      </c>
      <c r="D724">
        <f t="shared" si="23"/>
        <v>1606.44</v>
      </c>
    </row>
    <row r="725" spans="1:4">
      <c r="A725">
        <f t="shared" si="22"/>
        <v>723</v>
      </c>
      <c r="B725">
        <v>7230</v>
      </c>
      <c r="C725">
        <v>160866</v>
      </c>
      <c r="D725">
        <f t="shared" si="23"/>
        <v>1608.66</v>
      </c>
    </row>
    <row r="726" spans="1:4">
      <c r="A726">
        <f t="shared" si="22"/>
        <v>724</v>
      </c>
      <c r="B726">
        <v>7240</v>
      </c>
      <c r="C726">
        <v>161088</v>
      </c>
      <c r="D726">
        <f t="shared" si="23"/>
        <v>1610.88</v>
      </c>
    </row>
    <row r="727" spans="1:4">
      <c r="A727">
        <f t="shared" si="22"/>
        <v>725</v>
      </c>
      <c r="B727">
        <v>7250</v>
      </c>
      <c r="C727">
        <v>161310</v>
      </c>
      <c r="D727">
        <f t="shared" si="23"/>
        <v>1613.1</v>
      </c>
    </row>
    <row r="728" spans="1:4">
      <c r="A728">
        <f t="shared" si="22"/>
        <v>726</v>
      </c>
      <c r="B728">
        <v>7260</v>
      </c>
      <c r="C728">
        <v>161532</v>
      </c>
      <c r="D728">
        <f t="shared" si="23"/>
        <v>1615.32</v>
      </c>
    </row>
    <row r="729" spans="1:4">
      <c r="A729">
        <f t="shared" si="22"/>
        <v>727</v>
      </c>
      <c r="B729">
        <v>7270</v>
      </c>
      <c r="C729">
        <v>161753</v>
      </c>
      <c r="D729">
        <f t="shared" si="23"/>
        <v>1617.53</v>
      </c>
    </row>
    <row r="730" spans="1:4">
      <c r="A730">
        <f t="shared" si="22"/>
        <v>728</v>
      </c>
      <c r="B730">
        <v>7280</v>
      </c>
      <c r="C730">
        <v>161975</v>
      </c>
      <c r="D730">
        <f t="shared" si="23"/>
        <v>1619.75</v>
      </c>
    </row>
    <row r="731" spans="1:4">
      <c r="A731">
        <f t="shared" si="22"/>
        <v>729</v>
      </c>
      <c r="B731">
        <v>7290</v>
      </c>
      <c r="C731">
        <v>162197</v>
      </c>
      <c r="D731">
        <f t="shared" si="23"/>
        <v>1621.97</v>
      </c>
    </row>
    <row r="732" spans="1:4">
      <c r="A732">
        <f t="shared" si="22"/>
        <v>730</v>
      </c>
      <c r="B732">
        <v>7300</v>
      </c>
      <c r="C732">
        <v>162419</v>
      </c>
      <c r="D732">
        <f t="shared" si="23"/>
        <v>1624.19</v>
      </c>
    </row>
    <row r="733" spans="1:4">
      <c r="A733">
        <f t="shared" si="22"/>
        <v>731</v>
      </c>
      <c r="B733">
        <v>7310</v>
      </c>
      <c r="C733">
        <v>162641</v>
      </c>
      <c r="D733">
        <f t="shared" si="23"/>
        <v>1626.41</v>
      </c>
    </row>
    <row r="734" spans="1:4">
      <c r="A734">
        <f t="shared" si="22"/>
        <v>732</v>
      </c>
      <c r="B734">
        <v>7320</v>
      </c>
      <c r="C734">
        <v>162863</v>
      </c>
      <c r="D734">
        <f t="shared" si="23"/>
        <v>1628.63</v>
      </c>
    </row>
    <row r="735" spans="1:4">
      <c r="A735">
        <f t="shared" si="22"/>
        <v>733</v>
      </c>
      <c r="B735">
        <v>7330</v>
      </c>
      <c r="C735">
        <v>163085</v>
      </c>
      <c r="D735">
        <f t="shared" si="23"/>
        <v>1630.85</v>
      </c>
    </row>
    <row r="736" spans="1:4">
      <c r="A736">
        <f t="shared" si="22"/>
        <v>734</v>
      </c>
      <c r="B736">
        <v>7340</v>
      </c>
      <c r="C736">
        <v>163306</v>
      </c>
      <c r="D736">
        <f t="shared" si="23"/>
        <v>1633.06</v>
      </c>
    </row>
    <row r="737" spans="1:4">
      <c r="A737">
        <f t="shared" si="22"/>
        <v>735</v>
      </c>
      <c r="B737">
        <v>7350</v>
      </c>
      <c r="C737">
        <v>163528</v>
      </c>
      <c r="D737">
        <f t="shared" si="23"/>
        <v>1635.28</v>
      </c>
    </row>
    <row r="738" spans="1:4">
      <c r="A738">
        <f t="shared" si="22"/>
        <v>736</v>
      </c>
      <c r="B738">
        <v>7360</v>
      </c>
      <c r="C738">
        <v>163750</v>
      </c>
      <c r="D738">
        <f t="shared" si="23"/>
        <v>1637.5</v>
      </c>
    </row>
    <row r="739" spans="1:4">
      <c r="A739">
        <f t="shared" si="22"/>
        <v>737</v>
      </c>
      <c r="B739">
        <v>7370</v>
      </c>
      <c r="C739">
        <v>163972</v>
      </c>
      <c r="D739">
        <f t="shared" si="23"/>
        <v>1639.72</v>
      </c>
    </row>
    <row r="740" spans="1:4">
      <c r="A740">
        <f t="shared" si="22"/>
        <v>738</v>
      </c>
      <c r="B740">
        <v>7380</v>
      </c>
      <c r="C740">
        <v>164194</v>
      </c>
      <c r="D740">
        <f t="shared" si="23"/>
        <v>1641.94</v>
      </c>
    </row>
    <row r="741" spans="1:4">
      <c r="A741">
        <f t="shared" si="22"/>
        <v>739</v>
      </c>
      <c r="B741">
        <v>7390</v>
      </c>
      <c r="C741">
        <v>164416</v>
      </c>
      <c r="D741">
        <f t="shared" si="23"/>
        <v>1644.16</v>
      </c>
    </row>
    <row r="742" spans="1:4">
      <c r="A742">
        <f t="shared" si="22"/>
        <v>740</v>
      </c>
      <c r="B742">
        <v>7400</v>
      </c>
      <c r="C742">
        <v>164638</v>
      </c>
      <c r="D742">
        <f t="shared" si="23"/>
        <v>1646.38</v>
      </c>
    </row>
    <row r="743" spans="1:4">
      <c r="A743">
        <f t="shared" si="22"/>
        <v>741</v>
      </c>
      <c r="B743">
        <v>7410</v>
      </c>
      <c r="C743">
        <v>164860</v>
      </c>
      <c r="D743">
        <f t="shared" si="23"/>
        <v>1648.6</v>
      </c>
    </row>
    <row r="744" spans="1:4">
      <c r="A744">
        <f t="shared" si="22"/>
        <v>742</v>
      </c>
      <c r="B744">
        <v>7420</v>
      </c>
      <c r="C744">
        <v>165081</v>
      </c>
      <c r="D744">
        <f t="shared" si="23"/>
        <v>1650.81</v>
      </c>
    </row>
    <row r="745" spans="1:4">
      <c r="A745">
        <f t="shared" si="22"/>
        <v>743</v>
      </c>
      <c r="B745">
        <v>7430</v>
      </c>
      <c r="C745">
        <v>165303</v>
      </c>
      <c r="D745">
        <f t="shared" si="23"/>
        <v>1653.03</v>
      </c>
    </row>
    <row r="746" spans="1:4">
      <c r="A746">
        <f t="shared" si="22"/>
        <v>744</v>
      </c>
      <c r="B746">
        <v>7440</v>
      </c>
      <c r="C746">
        <v>165525</v>
      </c>
      <c r="D746">
        <f t="shared" si="23"/>
        <v>1655.25</v>
      </c>
    </row>
    <row r="747" spans="1:4">
      <c r="A747">
        <f t="shared" si="22"/>
        <v>745</v>
      </c>
      <c r="B747">
        <v>7450</v>
      </c>
      <c r="C747">
        <v>165747</v>
      </c>
      <c r="D747">
        <f t="shared" si="23"/>
        <v>1657.47</v>
      </c>
    </row>
    <row r="748" spans="1:4">
      <c r="A748">
        <f t="shared" si="22"/>
        <v>746</v>
      </c>
      <c r="B748">
        <v>7460</v>
      </c>
      <c r="C748">
        <v>165969</v>
      </c>
      <c r="D748">
        <f t="shared" si="23"/>
        <v>1659.69</v>
      </c>
    </row>
    <row r="749" spans="1:4">
      <c r="A749">
        <f t="shared" si="22"/>
        <v>747</v>
      </c>
      <c r="B749">
        <v>7470</v>
      </c>
      <c r="C749">
        <v>166191</v>
      </c>
      <c r="D749">
        <f t="shared" si="23"/>
        <v>1661.91</v>
      </c>
    </row>
    <row r="750" spans="1:4">
      <c r="A750">
        <f t="shared" si="22"/>
        <v>748</v>
      </c>
      <c r="B750">
        <v>7480</v>
      </c>
      <c r="C750">
        <v>166413</v>
      </c>
      <c r="D750">
        <f t="shared" si="23"/>
        <v>1664.13</v>
      </c>
    </row>
    <row r="751" spans="1:4">
      <c r="A751">
        <f t="shared" si="22"/>
        <v>749</v>
      </c>
      <c r="B751">
        <v>7490</v>
      </c>
      <c r="C751">
        <v>166635</v>
      </c>
      <c r="D751">
        <f t="shared" si="23"/>
        <v>1666.35</v>
      </c>
    </row>
    <row r="752" spans="1:4">
      <c r="A752">
        <f t="shared" si="22"/>
        <v>750</v>
      </c>
      <c r="B752">
        <v>7500</v>
      </c>
      <c r="C752">
        <v>166856</v>
      </c>
      <c r="D752">
        <f t="shared" si="23"/>
        <v>1668.56</v>
      </c>
    </row>
    <row r="753" spans="1:4">
      <c r="A753">
        <f t="shared" si="22"/>
        <v>751</v>
      </c>
      <c r="B753">
        <v>7510</v>
      </c>
      <c r="C753">
        <v>167078</v>
      </c>
      <c r="D753">
        <f t="shared" si="23"/>
        <v>1670.78</v>
      </c>
    </row>
    <row r="754" spans="1:4">
      <c r="A754">
        <f t="shared" si="22"/>
        <v>752</v>
      </c>
      <c r="B754">
        <v>7520</v>
      </c>
      <c r="C754">
        <v>167300</v>
      </c>
      <c r="D754">
        <f t="shared" si="23"/>
        <v>1673</v>
      </c>
    </row>
    <row r="755" spans="1:4">
      <c r="A755">
        <f t="shared" si="22"/>
        <v>753</v>
      </c>
      <c r="B755">
        <v>7530</v>
      </c>
      <c r="C755">
        <v>167522</v>
      </c>
      <c r="D755">
        <f t="shared" si="23"/>
        <v>1675.22</v>
      </c>
    </row>
    <row r="756" spans="1:4">
      <c r="A756">
        <f t="shared" si="22"/>
        <v>754</v>
      </c>
      <c r="B756">
        <v>7540</v>
      </c>
      <c r="C756">
        <v>167744</v>
      </c>
      <c r="D756">
        <f t="shared" si="23"/>
        <v>1677.44</v>
      </c>
    </row>
    <row r="757" spans="1:4">
      <c r="A757">
        <f t="shared" si="22"/>
        <v>755</v>
      </c>
      <c r="B757">
        <v>7550</v>
      </c>
      <c r="C757">
        <v>167966</v>
      </c>
      <c r="D757">
        <f t="shared" si="23"/>
        <v>1679.66</v>
      </c>
    </row>
    <row r="758" spans="1:4">
      <c r="A758">
        <f t="shared" si="22"/>
        <v>756</v>
      </c>
      <c r="B758">
        <v>7560</v>
      </c>
      <c r="C758">
        <v>168188</v>
      </c>
      <c r="D758">
        <f t="shared" si="23"/>
        <v>1681.88</v>
      </c>
    </row>
    <row r="759" spans="1:4">
      <c r="A759">
        <f t="shared" si="22"/>
        <v>757</v>
      </c>
      <c r="B759">
        <v>7570</v>
      </c>
      <c r="C759">
        <v>168409</v>
      </c>
      <c r="D759">
        <f t="shared" si="23"/>
        <v>1684.09</v>
      </c>
    </row>
    <row r="760" spans="1:4">
      <c r="A760">
        <f t="shared" si="22"/>
        <v>758</v>
      </c>
      <c r="B760">
        <v>7580</v>
      </c>
      <c r="C760">
        <v>168631</v>
      </c>
      <c r="D760">
        <f t="shared" si="23"/>
        <v>1686.31</v>
      </c>
    </row>
    <row r="761" spans="1:4">
      <c r="A761">
        <f t="shared" si="22"/>
        <v>759</v>
      </c>
      <c r="B761">
        <v>7590</v>
      </c>
      <c r="C761">
        <v>168853</v>
      </c>
      <c r="D761">
        <f t="shared" si="23"/>
        <v>1688.53</v>
      </c>
    </row>
    <row r="762" spans="1:4">
      <c r="A762">
        <f t="shared" si="22"/>
        <v>760</v>
      </c>
      <c r="B762">
        <v>7600</v>
      </c>
      <c r="C762">
        <v>169075</v>
      </c>
      <c r="D762">
        <f t="shared" si="23"/>
        <v>1690.75</v>
      </c>
    </row>
    <row r="763" spans="1:4">
      <c r="A763">
        <f t="shared" si="22"/>
        <v>761</v>
      </c>
      <c r="B763">
        <v>7610</v>
      </c>
      <c r="C763">
        <v>169297</v>
      </c>
      <c r="D763">
        <f t="shared" si="23"/>
        <v>1692.97</v>
      </c>
    </row>
    <row r="764" spans="1:4">
      <c r="A764">
        <f t="shared" si="22"/>
        <v>762</v>
      </c>
      <c r="B764">
        <v>7620</v>
      </c>
      <c r="C764">
        <v>169519</v>
      </c>
      <c r="D764">
        <f t="shared" si="23"/>
        <v>1695.19</v>
      </c>
    </row>
    <row r="765" spans="1:4">
      <c r="A765">
        <f t="shared" si="22"/>
        <v>763</v>
      </c>
      <c r="B765">
        <v>7630</v>
      </c>
      <c r="C765">
        <v>169741</v>
      </c>
      <c r="D765">
        <f t="shared" si="23"/>
        <v>1697.41</v>
      </c>
    </row>
    <row r="766" spans="1:4">
      <c r="A766">
        <f t="shared" si="22"/>
        <v>764</v>
      </c>
      <c r="B766">
        <v>7640</v>
      </c>
      <c r="C766">
        <v>169963</v>
      </c>
      <c r="D766">
        <f t="shared" si="23"/>
        <v>1699.63</v>
      </c>
    </row>
    <row r="767" spans="1:4">
      <c r="A767">
        <f t="shared" si="22"/>
        <v>765</v>
      </c>
      <c r="B767">
        <v>7650</v>
      </c>
      <c r="C767">
        <v>170184</v>
      </c>
      <c r="D767">
        <f t="shared" si="23"/>
        <v>1701.84</v>
      </c>
    </row>
    <row r="768" spans="1:4">
      <c r="A768">
        <f t="shared" si="22"/>
        <v>766</v>
      </c>
      <c r="B768">
        <v>7660</v>
      </c>
      <c r="C768">
        <v>170406</v>
      </c>
      <c r="D768">
        <f t="shared" si="23"/>
        <v>1704.06</v>
      </c>
    </row>
    <row r="769" spans="1:4">
      <c r="A769">
        <f t="shared" si="22"/>
        <v>767</v>
      </c>
      <c r="B769">
        <v>7670</v>
      </c>
      <c r="C769">
        <v>170628</v>
      </c>
      <c r="D769">
        <f t="shared" si="23"/>
        <v>1706.28</v>
      </c>
    </row>
    <row r="770" spans="1:4">
      <c r="A770">
        <f t="shared" si="22"/>
        <v>768</v>
      </c>
      <c r="B770">
        <v>7680</v>
      </c>
      <c r="C770">
        <v>170850</v>
      </c>
      <c r="D770">
        <f t="shared" si="23"/>
        <v>1708.5</v>
      </c>
    </row>
    <row r="771" spans="1:4">
      <c r="A771">
        <f t="shared" ref="A771:A834" si="24">$B771/10</f>
        <v>769</v>
      </c>
      <c r="B771">
        <v>7690</v>
      </c>
      <c r="C771">
        <v>171072</v>
      </c>
      <c r="D771">
        <f t="shared" ref="D771:D834" si="25">$C771/100</f>
        <v>1710.72</v>
      </c>
    </row>
    <row r="772" spans="1:4">
      <c r="A772">
        <f t="shared" si="24"/>
        <v>770</v>
      </c>
      <c r="B772">
        <v>7700</v>
      </c>
      <c r="C772">
        <v>171294</v>
      </c>
      <c r="D772">
        <f t="shared" si="25"/>
        <v>1712.94</v>
      </c>
    </row>
    <row r="773" spans="1:4">
      <c r="A773">
        <f t="shared" si="24"/>
        <v>771</v>
      </c>
      <c r="B773">
        <v>7710</v>
      </c>
      <c r="C773">
        <v>171516</v>
      </c>
      <c r="D773">
        <f t="shared" si="25"/>
        <v>1715.16</v>
      </c>
    </row>
    <row r="774" spans="1:4">
      <c r="A774">
        <f t="shared" si="24"/>
        <v>772</v>
      </c>
      <c r="B774">
        <v>7720</v>
      </c>
      <c r="C774">
        <v>171738</v>
      </c>
      <c r="D774">
        <f t="shared" si="25"/>
        <v>1717.38</v>
      </c>
    </row>
    <row r="775" spans="1:4">
      <c r="A775">
        <f t="shared" si="24"/>
        <v>773</v>
      </c>
      <c r="B775">
        <v>7730</v>
      </c>
      <c r="C775">
        <v>171959</v>
      </c>
      <c r="D775">
        <f t="shared" si="25"/>
        <v>1719.59</v>
      </c>
    </row>
    <row r="776" spans="1:4">
      <c r="A776">
        <f t="shared" si="24"/>
        <v>774</v>
      </c>
      <c r="B776">
        <v>7740</v>
      </c>
      <c r="C776">
        <v>172181</v>
      </c>
      <c r="D776">
        <f t="shared" si="25"/>
        <v>1721.81</v>
      </c>
    </row>
    <row r="777" spans="1:4">
      <c r="A777">
        <f t="shared" si="24"/>
        <v>775</v>
      </c>
      <c r="B777">
        <v>7750</v>
      </c>
      <c r="C777">
        <v>172403</v>
      </c>
      <c r="D777">
        <f t="shared" si="25"/>
        <v>1724.03</v>
      </c>
    </row>
    <row r="778" spans="1:4">
      <c r="A778">
        <f t="shared" si="24"/>
        <v>776</v>
      </c>
      <c r="B778">
        <v>7760</v>
      </c>
      <c r="C778">
        <v>172625</v>
      </c>
      <c r="D778">
        <f t="shared" si="25"/>
        <v>1726.25</v>
      </c>
    </row>
    <row r="779" spans="1:4">
      <c r="A779">
        <f t="shared" si="24"/>
        <v>777</v>
      </c>
      <c r="B779">
        <v>7770</v>
      </c>
      <c r="C779">
        <v>172847</v>
      </c>
      <c r="D779">
        <f t="shared" si="25"/>
        <v>1728.47</v>
      </c>
    </row>
    <row r="780" spans="1:4">
      <c r="A780">
        <f t="shared" si="24"/>
        <v>778</v>
      </c>
      <c r="B780">
        <v>7780</v>
      </c>
      <c r="C780">
        <v>173069</v>
      </c>
      <c r="D780">
        <f t="shared" si="25"/>
        <v>1730.69</v>
      </c>
    </row>
    <row r="781" spans="1:4">
      <c r="A781">
        <f t="shared" si="24"/>
        <v>779</v>
      </c>
      <c r="B781">
        <v>7790</v>
      </c>
      <c r="C781">
        <v>173291</v>
      </c>
      <c r="D781">
        <f t="shared" si="25"/>
        <v>1732.91</v>
      </c>
    </row>
    <row r="782" spans="1:4">
      <c r="A782">
        <f t="shared" si="24"/>
        <v>780</v>
      </c>
      <c r="B782">
        <v>7800</v>
      </c>
      <c r="C782">
        <v>173512</v>
      </c>
      <c r="D782">
        <f t="shared" si="25"/>
        <v>1735.12</v>
      </c>
    </row>
    <row r="783" spans="1:4">
      <c r="A783">
        <f t="shared" si="24"/>
        <v>781</v>
      </c>
      <c r="B783">
        <v>7810</v>
      </c>
      <c r="C783">
        <v>173734</v>
      </c>
      <c r="D783">
        <f t="shared" si="25"/>
        <v>1737.34</v>
      </c>
    </row>
    <row r="784" spans="1:4">
      <c r="A784">
        <f t="shared" si="24"/>
        <v>782</v>
      </c>
      <c r="B784">
        <v>7820</v>
      </c>
      <c r="C784">
        <v>173956</v>
      </c>
      <c r="D784">
        <f t="shared" si="25"/>
        <v>1739.56</v>
      </c>
    </row>
    <row r="785" spans="1:4">
      <c r="A785">
        <f t="shared" si="24"/>
        <v>783</v>
      </c>
      <c r="B785">
        <v>7830</v>
      </c>
      <c r="C785">
        <v>174178</v>
      </c>
      <c r="D785">
        <f t="shared" si="25"/>
        <v>1741.78</v>
      </c>
    </row>
    <row r="786" spans="1:4">
      <c r="A786">
        <f t="shared" si="24"/>
        <v>784</v>
      </c>
      <c r="B786">
        <v>7840</v>
      </c>
      <c r="C786">
        <v>174400</v>
      </c>
      <c r="D786">
        <f t="shared" si="25"/>
        <v>1744</v>
      </c>
    </row>
    <row r="787" spans="1:4">
      <c r="A787">
        <f t="shared" si="24"/>
        <v>785</v>
      </c>
      <c r="B787">
        <v>7850</v>
      </c>
      <c r="C787">
        <v>174622</v>
      </c>
      <c r="D787">
        <f t="shared" si="25"/>
        <v>1746.22</v>
      </c>
    </row>
    <row r="788" spans="1:4">
      <c r="A788">
        <f t="shared" si="24"/>
        <v>786</v>
      </c>
      <c r="B788">
        <v>7860</v>
      </c>
      <c r="C788">
        <v>174844</v>
      </c>
      <c r="D788">
        <f t="shared" si="25"/>
        <v>1748.44</v>
      </c>
    </row>
    <row r="789" spans="1:4">
      <c r="A789">
        <f t="shared" si="24"/>
        <v>787</v>
      </c>
      <c r="B789">
        <v>7870</v>
      </c>
      <c r="C789">
        <v>175066</v>
      </c>
      <c r="D789">
        <f t="shared" si="25"/>
        <v>1750.66</v>
      </c>
    </row>
    <row r="790" spans="1:4">
      <c r="A790">
        <f t="shared" si="24"/>
        <v>788</v>
      </c>
      <c r="B790">
        <v>7880</v>
      </c>
      <c r="C790">
        <v>175287</v>
      </c>
      <c r="D790">
        <f t="shared" si="25"/>
        <v>1752.87</v>
      </c>
    </row>
    <row r="791" spans="1:4">
      <c r="A791">
        <f t="shared" si="24"/>
        <v>789</v>
      </c>
      <c r="B791">
        <v>7890</v>
      </c>
      <c r="C791">
        <v>175509</v>
      </c>
      <c r="D791">
        <f t="shared" si="25"/>
        <v>1755.09</v>
      </c>
    </row>
    <row r="792" spans="1:4">
      <c r="A792">
        <f t="shared" si="24"/>
        <v>790</v>
      </c>
      <c r="B792">
        <v>7900</v>
      </c>
      <c r="C792">
        <v>175731</v>
      </c>
      <c r="D792">
        <f t="shared" si="25"/>
        <v>1757.31</v>
      </c>
    </row>
    <row r="793" spans="1:4">
      <c r="A793">
        <f t="shared" si="24"/>
        <v>791</v>
      </c>
      <c r="B793">
        <v>7910</v>
      </c>
      <c r="C793">
        <v>175953</v>
      </c>
      <c r="D793">
        <f t="shared" si="25"/>
        <v>1759.53</v>
      </c>
    </row>
    <row r="794" spans="1:4">
      <c r="A794">
        <f t="shared" si="24"/>
        <v>792</v>
      </c>
      <c r="B794">
        <v>7920</v>
      </c>
      <c r="C794">
        <v>176175</v>
      </c>
      <c r="D794">
        <f t="shared" si="25"/>
        <v>1761.75</v>
      </c>
    </row>
    <row r="795" spans="1:4">
      <c r="A795">
        <f t="shared" si="24"/>
        <v>793</v>
      </c>
      <c r="B795">
        <v>7930</v>
      </c>
      <c r="C795">
        <v>176397</v>
      </c>
      <c r="D795">
        <f t="shared" si="25"/>
        <v>1763.97</v>
      </c>
    </row>
    <row r="796" spans="1:4">
      <c r="A796">
        <f t="shared" si="24"/>
        <v>794</v>
      </c>
      <c r="B796">
        <v>7940</v>
      </c>
      <c r="C796">
        <v>176619</v>
      </c>
      <c r="D796">
        <f t="shared" si="25"/>
        <v>1766.19</v>
      </c>
    </row>
    <row r="797" spans="1:4">
      <c r="A797">
        <f t="shared" si="24"/>
        <v>795</v>
      </c>
      <c r="B797">
        <v>7950</v>
      </c>
      <c r="C797">
        <v>176841</v>
      </c>
      <c r="D797">
        <f t="shared" si="25"/>
        <v>1768.41</v>
      </c>
    </row>
    <row r="798" spans="1:4">
      <c r="A798">
        <f t="shared" si="24"/>
        <v>796</v>
      </c>
      <c r="B798">
        <v>7960</v>
      </c>
      <c r="C798">
        <v>177062</v>
      </c>
      <c r="D798">
        <f t="shared" si="25"/>
        <v>1770.62</v>
      </c>
    </row>
    <row r="799" spans="1:4">
      <c r="A799">
        <f t="shared" si="24"/>
        <v>797</v>
      </c>
      <c r="B799">
        <v>7970</v>
      </c>
      <c r="C799">
        <v>177284</v>
      </c>
      <c r="D799">
        <f t="shared" si="25"/>
        <v>1772.84</v>
      </c>
    </row>
    <row r="800" spans="1:4">
      <c r="A800">
        <f t="shared" si="24"/>
        <v>798</v>
      </c>
      <c r="B800">
        <v>7980</v>
      </c>
      <c r="C800">
        <v>177506</v>
      </c>
      <c r="D800">
        <f t="shared" si="25"/>
        <v>1775.06</v>
      </c>
    </row>
    <row r="801" spans="1:4">
      <c r="A801">
        <f t="shared" si="24"/>
        <v>799</v>
      </c>
      <c r="B801">
        <v>7990</v>
      </c>
      <c r="C801">
        <v>177728</v>
      </c>
      <c r="D801">
        <f t="shared" si="25"/>
        <v>1777.28</v>
      </c>
    </row>
    <row r="802" spans="1:4">
      <c r="A802">
        <f t="shared" si="24"/>
        <v>800</v>
      </c>
      <c r="B802">
        <v>8000</v>
      </c>
      <c r="C802">
        <v>177950</v>
      </c>
      <c r="D802">
        <f t="shared" si="25"/>
        <v>1779.5</v>
      </c>
    </row>
    <row r="803" spans="1:4">
      <c r="A803">
        <f t="shared" si="24"/>
        <v>801</v>
      </c>
      <c r="B803">
        <v>8010</v>
      </c>
      <c r="C803">
        <v>178172</v>
      </c>
      <c r="D803">
        <f t="shared" si="25"/>
        <v>1781.72</v>
      </c>
    </row>
    <row r="804" spans="1:4">
      <c r="A804">
        <f t="shared" si="24"/>
        <v>802</v>
      </c>
      <c r="B804">
        <v>8020</v>
      </c>
      <c r="C804">
        <v>178394</v>
      </c>
      <c r="D804">
        <f t="shared" si="25"/>
        <v>1783.94</v>
      </c>
    </row>
    <row r="805" spans="1:4">
      <c r="A805">
        <f t="shared" si="24"/>
        <v>803</v>
      </c>
      <c r="B805">
        <v>8030</v>
      </c>
      <c r="C805">
        <v>178615</v>
      </c>
      <c r="D805">
        <f t="shared" si="25"/>
        <v>1786.15</v>
      </c>
    </row>
    <row r="806" spans="1:4">
      <c r="A806">
        <f t="shared" si="24"/>
        <v>804</v>
      </c>
      <c r="B806">
        <v>8040</v>
      </c>
      <c r="C806">
        <v>178837</v>
      </c>
      <c r="D806">
        <f t="shared" si="25"/>
        <v>1788.37</v>
      </c>
    </row>
    <row r="807" spans="1:4">
      <c r="A807">
        <f t="shared" si="24"/>
        <v>805</v>
      </c>
      <c r="B807">
        <v>8050</v>
      </c>
      <c r="C807">
        <v>179059</v>
      </c>
      <c r="D807">
        <f t="shared" si="25"/>
        <v>1790.59</v>
      </c>
    </row>
    <row r="808" spans="1:4">
      <c r="A808">
        <f t="shared" si="24"/>
        <v>806</v>
      </c>
      <c r="B808">
        <v>8060</v>
      </c>
      <c r="C808">
        <v>179281</v>
      </c>
      <c r="D808">
        <f t="shared" si="25"/>
        <v>1792.81</v>
      </c>
    </row>
    <row r="809" spans="1:4">
      <c r="A809">
        <f t="shared" si="24"/>
        <v>807</v>
      </c>
      <c r="B809">
        <v>8070</v>
      </c>
      <c r="C809">
        <v>179503</v>
      </c>
      <c r="D809">
        <f t="shared" si="25"/>
        <v>1795.03</v>
      </c>
    </row>
    <row r="810" spans="1:4">
      <c r="A810">
        <f t="shared" si="24"/>
        <v>808</v>
      </c>
      <c r="B810">
        <v>8080</v>
      </c>
      <c r="C810">
        <v>179725</v>
      </c>
      <c r="D810">
        <f t="shared" si="25"/>
        <v>1797.25</v>
      </c>
    </row>
    <row r="811" spans="1:4">
      <c r="A811">
        <f t="shared" si="24"/>
        <v>809</v>
      </c>
      <c r="B811">
        <v>8090</v>
      </c>
      <c r="C811">
        <v>179947</v>
      </c>
      <c r="D811">
        <f t="shared" si="25"/>
        <v>1799.47</v>
      </c>
    </row>
    <row r="812" spans="1:4">
      <c r="A812">
        <f t="shared" si="24"/>
        <v>810</v>
      </c>
      <c r="B812">
        <v>8100</v>
      </c>
      <c r="C812">
        <v>180169</v>
      </c>
      <c r="D812">
        <f t="shared" si="25"/>
        <v>1801.69</v>
      </c>
    </row>
    <row r="813" spans="1:4">
      <c r="A813">
        <f t="shared" si="24"/>
        <v>811</v>
      </c>
      <c r="B813">
        <v>8110</v>
      </c>
      <c r="C813">
        <v>180390</v>
      </c>
      <c r="D813">
        <f t="shared" si="25"/>
        <v>1803.9</v>
      </c>
    </row>
    <row r="814" spans="1:4">
      <c r="A814">
        <f t="shared" si="24"/>
        <v>812</v>
      </c>
      <c r="B814">
        <v>8120</v>
      </c>
      <c r="C814">
        <v>180612</v>
      </c>
      <c r="D814">
        <f t="shared" si="25"/>
        <v>1806.12</v>
      </c>
    </row>
    <row r="815" spans="1:4">
      <c r="A815">
        <f t="shared" si="24"/>
        <v>813</v>
      </c>
      <c r="B815">
        <v>8130</v>
      </c>
      <c r="C815">
        <v>180834</v>
      </c>
      <c r="D815">
        <f t="shared" si="25"/>
        <v>1808.34</v>
      </c>
    </row>
    <row r="816" spans="1:4">
      <c r="A816">
        <f t="shared" si="24"/>
        <v>814</v>
      </c>
      <c r="B816">
        <v>8140</v>
      </c>
      <c r="C816">
        <v>181056</v>
      </c>
      <c r="D816">
        <f t="shared" si="25"/>
        <v>1810.56</v>
      </c>
    </row>
    <row r="817" spans="1:4">
      <c r="A817">
        <f t="shared" si="24"/>
        <v>815</v>
      </c>
      <c r="B817">
        <v>8150</v>
      </c>
      <c r="C817">
        <v>181278</v>
      </c>
      <c r="D817">
        <f t="shared" si="25"/>
        <v>1812.78</v>
      </c>
    </row>
    <row r="818" spans="1:4">
      <c r="A818">
        <f t="shared" si="24"/>
        <v>816</v>
      </c>
      <c r="B818">
        <v>8160</v>
      </c>
      <c r="C818">
        <v>181500</v>
      </c>
      <c r="D818">
        <f t="shared" si="25"/>
        <v>1815</v>
      </c>
    </row>
    <row r="819" spans="1:4">
      <c r="A819">
        <f t="shared" si="24"/>
        <v>817</v>
      </c>
      <c r="B819">
        <v>8170</v>
      </c>
      <c r="C819">
        <v>181722</v>
      </c>
      <c r="D819">
        <f t="shared" si="25"/>
        <v>1817.22</v>
      </c>
    </row>
    <row r="820" spans="1:4">
      <c r="A820">
        <f t="shared" si="24"/>
        <v>818</v>
      </c>
      <c r="B820">
        <v>8180</v>
      </c>
      <c r="C820">
        <v>181944</v>
      </c>
      <c r="D820">
        <f t="shared" si="25"/>
        <v>1819.44</v>
      </c>
    </row>
    <row r="821" spans="1:4">
      <c r="A821">
        <f t="shared" si="24"/>
        <v>819</v>
      </c>
      <c r="B821">
        <v>8190</v>
      </c>
      <c r="C821">
        <v>182165</v>
      </c>
      <c r="D821">
        <f t="shared" si="25"/>
        <v>1821.65</v>
      </c>
    </row>
    <row r="822" spans="1:4">
      <c r="A822">
        <f t="shared" si="24"/>
        <v>820</v>
      </c>
      <c r="B822">
        <v>8200</v>
      </c>
      <c r="C822">
        <v>182387</v>
      </c>
      <c r="D822">
        <f t="shared" si="25"/>
        <v>1823.87</v>
      </c>
    </row>
    <row r="823" spans="1:4">
      <c r="A823">
        <f t="shared" si="24"/>
        <v>821</v>
      </c>
      <c r="B823">
        <v>8210</v>
      </c>
      <c r="C823">
        <v>182609</v>
      </c>
      <c r="D823">
        <f t="shared" si="25"/>
        <v>1826.09</v>
      </c>
    </row>
    <row r="824" spans="1:4">
      <c r="A824">
        <f t="shared" si="24"/>
        <v>822</v>
      </c>
      <c r="B824">
        <v>8220</v>
      </c>
      <c r="C824">
        <v>182831</v>
      </c>
      <c r="D824">
        <f t="shared" si="25"/>
        <v>1828.31</v>
      </c>
    </row>
    <row r="825" spans="1:4">
      <c r="A825">
        <f t="shared" si="24"/>
        <v>823</v>
      </c>
      <c r="B825">
        <v>8230</v>
      </c>
      <c r="C825">
        <v>183053</v>
      </c>
      <c r="D825">
        <f t="shared" si="25"/>
        <v>1830.53</v>
      </c>
    </row>
    <row r="826" spans="1:4">
      <c r="A826">
        <f t="shared" si="24"/>
        <v>824</v>
      </c>
      <c r="B826">
        <v>8240</v>
      </c>
      <c r="C826">
        <v>183275</v>
      </c>
      <c r="D826">
        <f t="shared" si="25"/>
        <v>1832.75</v>
      </c>
    </row>
    <row r="827" spans="1:4">
      <c r="A827">
        <f t="shared" si="24"/>
        <v>825</v>
      </c>
      <c r="B827">
        <v>8250</v>
      </c>
      <c r="C827">
        <v>183497</v>
      </c>
      <c r="D827">
        <f t="shared" si="25"/>
        <v>1834.97</v>
      </c>
    </row>
    <row r="828" spans="1:4">
      <c r="A828">
        <f t="shared" si="24"/>
        <v>826</v>
      </c>
      <c r="B828">
        <v>8260</v>
      </c>
      <c r="C828">
        <v>183719</v>
      </c>
      <c r="D828">
        <f t="shared" si="25"/>
        <v>1837.19</v>
      </c>
    </row>
    <row r="829" spans="1:4">
      <c r="A829">
        <f t="shared" si="24"/>
        <v>827</v>
      </c>
      <c r="B829">
        <v>8270</v>
      </c>
      <c r="C829">
        <v>183940</v>
      </c>
      <c r="D829">
        <f t="shared" si="25"/>
        <v>1839.4</v>
      </c>
    </row>
    <row r="830" spans="1:4">
      <c r="A830">
        <f t="shared" si="24"/>
        <v>828</v>
      </c>
      <c r="B830">
        <v>8280</v>
      </c>
      <c r="C830">
        <v>184162</v>
      </c>
      <c r="D830">
        <f t="shared" si="25"/>
        <v>1841.62</v>
      </c>
    </row>
    <row r="831" spans="1:4">
      <c r="A831">
        <f t="shared" si="24"/>
        <v>829</v>
      </c>
      <c r="B831">
        <v>8290</v>
      </c>
      <c r="C831">
        <v>184384</v>
      </c>
      <c r="D831">
        <f t="shared" si="25"/>
        <v>1843.84</v>
      </c>
    </row>
    <row r="832" spans="1:4">
      <c r="A832">
        <f t="shared" si="24"/>
        <v>830</v>
      </c>
      <c r="B832">
        <v>8300</v>
      </c>
      <c r="C832">
        <v>184606</v>
      </c>
      <c r="D832">
        <f t="shared" si="25"/>
        <v>1846.06</v>
      </c>
    </row>
    <row r="833" spans="1:4">
      <c r="A833">
        <f t="shared" si="24"/>
        <v>831</v>
      </c>
      <c r="B833">
        <v>8310</v>
      </c>
      <c r="C833">
        <v>184828</v>
      </c>
      <c r="D833">
        <f t="shared" si="25"/>
        <v>1848.28</v>
      </c>
    </row>
    <row r="834" spans="1:4">
      <c r="A834">
        <f t="shared" si="24"/>
        <v>832</v>
      </c>
      <c r="B834">
        <v>8320</v>
      </c>
      <c r="C834">
        <v>185050</v>
      </c>
      <c r="D834">
        <f t="shared" si="25"/>
        <v>1850.5</v>
      </c>
    </row>
    <row r="835" spans="1:4">
      <c r="A835">
        <f t="shared" ref="A835:A898" si="26">$B835/10</f>
        <v>833</v>
      </c>
      <c r="B835">
        <v>8330</v>
      </c>
      <c r="C835">
        <v>185272</v>
      </c>
      <c r="D835">
        <f t="shared" ref="D835:D898" si="27">$C835/100</f>
        <v>1852.72</v>
      </c>
    </row>
    <row r="836" spans="1:4">
      <c r="A836">
        <f t="shared" si="26"/>
        <v>834</v>
      </c>
      <c r="B836">
        <v>8340</v>
      </c>
      <c r="C836">
        <v>185493</v>
      </c>
      <c r="D836">
        <f t="shared" si="27"/>
        <v>1854.93</v>
      </c>
    </row>
    <row r="837" spans="1:4">
      <c r="A837">
        <f t="shared" si="26"/>
        <v>835</v>
      </c>
      <c r="B837">
        <v>8350</v>
      </c>
      <c r="C837">
        <v>185715</v>
      </c>
      <c r="D837">
        <f t="shared" si="27"/>
        <v>1857.15</v>
      </c>
    </row>
    <row r="838" spans="1:4">
      <c r="A838">
        <f t="shared" si="26"/>
        <v>836</v>
      </c>
      <c r="B838">
        <v>8360</v>
      </c>
      <c r="C838">
        <v>185937</v>
      </c>
      <c r="D838">
        <f t="shared" si="27"/>
        <v>1859.37</v>
      </c>
    </row>
    <row r="839" spans="1:4">
      <c r="A839">
        <f t="shared" si="26"/>
        <v>837</v>
      </c>
      <c r="B839">
        <v>8370</v>
      </c>
      <c r="C839">
        <v>186159</v>
      </c>
      <c r="D839">
        <f t="shared" si="27"/>
        <v>1861.59</v>
      </c>
    </row>
    <row r="840" spans="1:4">
      <c r="A840">
        <f t="shared" si="26"/>
        <v>838</v>
      </c>
      <c r="B840">
        <v>8380</v>
      </c>
      <c r="C840">
        <v>186381</v>
      </c>
      <c r="D840">
        <f t="shared" si="27"/>
        <v>1863.81</v>
      </c>
    </row>
    <row r="841" spans="1:4">
      <c r="A841">
        <f t="shared" si="26"/>
        <v>839</v>
      </c>
      <c r="B841">
        <v>8390</v>
      </c>
      <c r="C841">
        <v>186603</v>
      </c>
      <c r="D841">
        <f t="shared" si="27"/>
        <v>1866.03</v>
      </c>
    </row>
    <row r="842" spans="1:4">
      <c r="A842">
        <f t="shared" si="26"/>
        <v>840</v>
      </c>
      <c r="B842">
        <v>8400</v>
      </c>
      <c r="C842">
        <v>186825</v>
      </c>
      <c r="D842">
        <f t="shared" si="27"/>
        <v>1868.25</v>
      </c>
    </row>
    <row r="843" spans="1:4">
      <c r="A843">
        <f t="shared" si="26"/>
        <v>841</v>
      </c>
      <c r="B843">
        <v>8410</v>
      </c>
      <c r="C843">
        <v>187047</v>
      </c>
      <c r="D843">
        <f t="shared" si="27"/>
        <v>1870.47</v>
      </c>
    </row>
    <row r="844" spans="1:4">
      <c r="A844">
        <f t="shared" si="26"/>
        <v>842</v>
      </c>
      <c r="B844">
        <v>8420</v>
      </c>
      <c r="C844">
        <v>187268</v>
      </c>
      <c r="D844">
        <f t="shared" si="27"/>
        <v>1872.68</v>
      </c>
    </row>
    <row r="845" spans="1:4">
      <c r="A845">
        <f t="shared" si="26"/>
        <v>843</v>
      </c>
      <c r="B845">
        <v>8430</v>
      </c>
      <c r="C845">
        <v>187490</v>
      </c>
      <c r="D845">
        <f t="shared" si="27"/>
        <v>1874.9</v>
      </c>
    </row>
    <row r="846" spans="1:4">
      <c r="A846">
        <f t="shared" si="26"/>
        <v>844</v>
      </c>
      <c r="B846">
        <v>8440</v>
      </c>
      <c r="C846">
        <v>187712</v>
      </c>
      <c r="D846">
        <f t="shared" si="27"/>
        <v>1877.12</v>
      </c>
    </row>
    <row r="847" spans="1:4">
      <c r="A847">
        <f t="shared" si="26"/>
        <v>845</v>
      </c>
      <c r="B847">
        <v>8450</v>
      </c>
      <c r="C847">
        <v>187934</v>
      </c>
      <c r="D847">
        <f t="shared" si="27"/>
        <v>1879.34</v>
      </c>
    </row>
    <row r="848" spans="1:4">
      <c r="A848">
        <f t="shared" si="26"/>
        <v>846</v>
      </c>
      <c r="B848">
        <v>8460</v>
      </c>
      <c r="C848">
        <v>188156</v>
      </c>
      <c r="D848">
        <f t="shared" si="27"/>
        <v>1881.56</v>
      </c>
    </row>
    <row r="849" spans="1:4">
      <c r="A849">
        <f t="shared" si="26"/>
        <v>847</v>
      </c>
      <c r="B849">
        <v>8470</v>
      </c>
      <c r="C849">
        <v>188378</v>
      </c>
      <c r="D849">
        <f t="shared" si="27"/>
        <v>1883.78</v>
      </c>
    </row>
    <row r="850" spans="1:4">
      <c r="A850">
        <f t="shared" si="26"/>
        <v>848</v>
      </c>
      <c r="B850">
        <v>8480</v>
      </c>
      <c r="C850">
        <v>188600</v>
      </c>
      <c r="D850">
        <f t="shared" si="27"/>
        <v>1886</v>
      </c>
    </row>
    <row r="851" spans="1:4">
      <c r="A851">
        <f t="shared" si="26"/>
        <v>849</v>
      </c>
      <c r="B851">
        <v>8490</v>
      </c>
      <c r="C851">
        <v>188822</v>
      </c>
      <c r="D851">
        <f t="shared" si="27"/>
        <v>1888.22</v>
      </c>
    </row>
    <row r="852" spans="1:4">
      <c r="A852">
        <f t="shared" si="26"/>
        <v>850</v>
      </c>
      <c r="B852">
        <v>8500</v>
      </c>
      <c r="C852">
        <v>189043</v>
      </c>
      <c r="D852">
        <f t="shared" si="27"/>
        <v>1890.43</v>
      </c>
    </row>
    <row r="853" spans="1:4">
      <c r="A853">
        <f t="shared" si="26"/>
        <v>851</v>
      </c>
      <c r="B853">
        <v>8510</v>
      </c>
      <c r="C853">
        <v>189265</v>
      </c>
      <c r="D853">
        <f t="shared" si="27"/>
        <v>1892.65</v>
      </c>
    </row>
    <row r="854" spans="1:4">
      <c r="A854">
        <f t="shared" si="26"/>
        <v>852</v>
      </c>
      <c r="B854">
        <v>8520</v>
      </c>
      <c r="C854">
        <v>189487</v>
      </c>
      <c r="D854">
        <f t="shared" si="27"/>
        <v>1894.87</v>
      </c>
    </row>
    <row r="855" spans="1:4">
      <c r="A855">
        <f t="shared" si="26"/>
        <v>853</v>
      </c>
      <c r="B855">
        <v>8530</v>
      </c>
      <c r="C855">
        <v>189709</v>
      </c>
      <c r="D855">
        <f t="shared" si="27"/>
        <v>1897.09</v>
      </c>
    </row>
    <row r="856" spans="1:4">
      <c r="A856">
        <f t="shared" si="26"/>
        <v>854</v>
      </c>
      <c r="B856">
        <v>8540</v>
      </c>
      <c r="C856">
        <v>189931</v>
      </c>
      <c r="D856">
        <f t="shared" si="27"/>
        <v>1899.31</v>
      </c>
    </row>
    <row r="857" spans="1:4">
      <c r="A857">
        <f t="shared" si="26"/>
        <v>855</v>
      </c>
      <c r="B857">
        <v>8550</v>
      </c>
      <c r="C857">
        <v>190153</v>
      </c>
      <c r="D857">
        <f t="shared" si="27"/>
        <v>1901.53</v>
      </c>
    </row>
    <row r="858" spans="1:4">
      <c r="A858">
        <f t="shared" si="26"/>
        <v>856</v>
      </c>
      <c r="B858">
        <v>8560</v>
      </c>
      <c r="C858">
        <v>190375</v>
      </c>
      <c r="D858">
        <f t="shared" si="27"/>
        <v>1903.75</v>
      </c>
    </row>
    <row r="859" spans="1:4">
      <c r="A859">
        <f t="shared" si="26"/>
        <v>857</v>
      </c>
      <c r="B859">
        <v>8570</v>
      </c>
      <c r="C859">
        <v>190596</v>
      </c>
      <c r="D859">
        <f t="shared" si="27"/>
        <v>1905.96</v>
      </c>
    </row>
    <row r="860" spans="1:4">
      <c r="A860">
        <f t="shared" si="26"/>
        <v>858</v>
      </c>
      <c r="B860">
        <v>8580</v>
      </c>
      <c r="C860">
        <v>190818</v>
      </c>
      <c r="D860">
        <f t="shared" si="27"/>
        <v>1908.18</v>
      </c>
    </row>
    <row r="861" spans="1:4">
      <c r="A861">
        <f t="shared" si="26"/>
        <v>859</v>
      </c>
      <c r="B861">
        <v>8590</v>
      </c>
      <c r="C861">
        <v>191040</v>
      </c>
      <c r="D861">
        <f t="shared" si="27"/>
        <v>1910.4</v>
      </c>
    </row>
    <row r="862" spans="1:4">
      <c r="A862">
        <f t="shared" si="26"/>
        <v>860</v>
      </c>
      <c r="B862">
        <v>8600</v>
      </c>
      <c r="C862">
        <v>191262</v>
      </c>
      <c r="D862">
        <f t="shared" si="27"/>
        <v>1912.62</v>
      </c>
    </row>
    <row r="863" spans="1:4">
      <c r="A863">
        <f t="shared" si="26"/>
        <v>861</v>
      </c>
      <c r="B863">
        <v>8610</v>
      </c>
      <c r="C863">
        <v>191484</v>
      </c>
      <c r="D863">
        <f t="shared" si="27"/>
        <v>1914.84</v>
      </c>
    </row>
    <row r="864" spans="1:4">
      <c r="A864">
        <f t="shared" si="26"/>
        <v>862</v>
      </c>
      <c r="B864">
        <v>8620</v>
      </c>
      <c r="C864">
        <v>191706</v>
      </c>
      <c r="D864">
        <f t="shared" si="27"/>
        <v>1917.06</v>
      </c>
    </row>
    <row r="865" spans="1:4">
      <c r="A865">
        <f t="shared" si="26"/>
        <v>863</v>
      </c>
      <c r="B865">
        <v>8630</v>
      </c>
      <c r="C865">
        <v>191928</v>
      </c>
      <c r="D865">
        <f t="shared" si="27"/>
        <v>1919.28</v>
      </c>
    </row>
    <row r="866" spans="1:4">
      <c r="A866">
        <f t="shared" si="26"/>
        <v>864</v>
      </c>
      <c r="B866">
        <v>8640</v>
      </c>
      <c r="C866">
        <v>192150</v>
      </c>
      <c r="D866">
        <f t="shared" si="27"/>
        <v>1921.5</v>
      </c>
    </row>
    <row r="867" spans="1:4">
      <c r="A867">
        <f t="shared" si="26"/>
        <v>865</v>
      </c>
      <c r="B867">
        <v>8650</v>
      </c>
      <c r="C867">
        <v>192371</v>
      </c>
      <c r="D867">
        <f t="shared" si="27"/>
        <v>1923.71</v>
      </c>
    </row>
    <row r="868" spans="1:4">
      <c r="A868">
        <f t="shared" si="26"/>
        <v>866</v>
      </c>
      <c r="B868">
        <v>8660</v>
      </c>
      <c r="C868">
        <v>192593</v>
      </c>
      <c r="D868">
        <f t="shared" si="27"/>
        <v>1925.93</v>
      </c>
    </row>
    <row r="869" spans="1:4">
      <c r="A869">
        <f t="shared" si="26"/>
        <v>867</v>
      </c>
      <c r="B869">
        <v>8670</v>
      </c>
      <c r="C869">
        <v>192815</v>
      </c>
      <c r="D869">
        <f t="shared" si="27"/>
        <v>1928.15</v>
      </c>
    </row>
    <row r="870" spans="1:4">
      <c r="A870">
        <f t="shared" si="26"/>
        <v>868</v>
      </c>
      <c r="B870">
        <v>8680</v>
      </c>
      <c r="C870">
        <v>193037</v>
      </c>
      <c r="D870">
        <f t="shared" si="27"/>
        <v>1930.37</v>
      </c>
    </row>
    <row r="871" spans="1:4">
      <c r="A871">
        <f t="shared" si="26"/>
        <v>869</v>
      </c>
      <c r="B871">
        <v>8690</v>
      </c>
      <c r="C871">
        <v>193259</v>
      </c>
      <c r="D871">
        <f t="shared" si="27"/>
        <v>1932.59</v>
      </c>
    </row>
    <row r="872" spans="1:4">
      <c r="A872">
        <f t="shared" si="26"/>
        <v>870</v>
      </c>
      <c r="B872">
        <v>8700</v>
      </c>
      <c r="C872">
        <v>193481</v>
      </c>
      <c r="D872">
        <f t="shared" si="27"/>
        <v>1934.81</v>
      </c>
    </row>
    <row r="873" spans="1:4">
      <c r="A873">
        <f t="shared" si="26"/>
        <v>871</v>
      </c>
      <c r="B873">
        <v>8710</v>
      </c>
      <c r="C873">
        <v>193703</v>
      </c>
      <c r="D873">
        <f t="shared" si="27"/>
        <v>1937.03</v>
      </c>
    </row>
    <row r="874" spans="1:4">
      <c r="A874">
        <f t="shared" si="26"/>
        <v>872</v>
      </c>
      <c r="B874">
        <v>8720</v>
      </c>
      <c r="C874">
        <v>193925</v>
      </c>
      <c r="D874">
        <f t="shared" si="27"/>
        <v>1939.25</v>
      </c>
    </row>
    <row r="875" spans="1:4">
      <c r="A875">
        <f t="shared" si="26"/>
        <v>873</v>
      </c>
      <c r="B875">
        <v>8730</v>
      </c>
      <c r="C875">
        <v>194146</v>
      </c>
      <c r="D875">
        <f t="shared" si="27"/>
        <v>1941.46</v>
      </c>
    </row>
    <row r="876" spans="1:4">
      <c r="A876">
        <f t="shared" si="26"/>
        <v>874</v>
      </c>
      <c r="B876">
        <v>8740</v>
      </c>
      <c r="C876">
        <v>194368</v>
      </c>
      <c r="D876">
        <f t="shared" si="27"/>
        <v>1943.68</v>
      </c>
    </row>
    <row r="877" spans="1:4">
      <c r="A877">
        <f t="shared" si="26"/>
        <v>875</v>
      </c>
      <c r="B877">
        <v>8750</v>
      </c>
      <c r="C877">
        <v>194590</v>
      </c>
      <c r="D877">
        <f t="shared" si="27"/>
        <v>1945.9</v>
      </c>
    </row>
    <row r="878" spans="1:4">
      <c r="A878">
        <f t="shared" si="26"/>
        <v>876</v>
      </c>
      <c r="B878">
        <v>8760</v>
      </c>
      <c r="C878">
        <v>194812</v>
      </c>
      <c r="D878">
        <f t="shared" si="27"/>
        <v>1948.12</v>
      </c>
    </row>
    <row r="879" spans="1:4">
      <c r="A879">
        <f t="shared" si="26"/>
        <v>877</v>
      </c>
      <c r="B879">
        <v>8770</v>
      </c>
      <c r="C879">
        <v>195034</v>
      </c>
      <c r="D879">
        <f t="shared" si="27"/>
        <v>1950.34</v>
      </c>
    </row>
    <row r="880" spans="1:4">
      <c r="A880">
        <f t="shared" si="26"/>
        <v>878</v>
      </c>
      <c r="B880">
        <v>8780</v>
      </c>
      <c r="C880">
        <v>195256</v>
      </c>
      <c r="D880">
        <f t="shared" si="27"/>
        <v>1952.56</v>
      </c>
    </row>
    <row r="881" spans="1:4">
      <c r="A881">
        <f t="shared" si="26"/>
        <v>879</v>
      </c>
      <c r="B881">
        <v>8790</v>
      </c>
      <c r="C881">
        <v>195478</v>
      </c>
      <c r="D881">
        <f t="shared" si="27"/>
        <v>1954.78</v>
      </c>
    </row>
    <row r="882" spans="1:4">
      <c r="A882">
        <f t="shared" si="26"/>
        <v>880</v>
      </c>
      <c r="B882">
        <v>8800</v>
      </c>
      <c r="C882">
        <v>195699</v>
      </c>
      <c r="D882">
        <f t="shared" si="27"/>
        <v>1956.99</v>
      </c>
    </row>
    <row r="883" spans="1:4">
      <c r="A883">
        <f t="shared" si="26"/>
        <v>881</v>
      </c>
      <c r="B883">
        <v>8810</v>
      </c>
      <c r="C883">
        <v>195921</v>
      </c>
      <c r="D883">
        <f t="shared" si="27"/>
        <v>1959.21</v>
      </c>
    </row>
    <row r="884" spans="1:4">
      <c r="A884">
        <f t="shared" si="26"/>
        <v>882</v>
      </c>
      <c r="B884">
        <v>8820</v>
      </c>
      <c r="C884">
        <v>196143</v>
      </c>
      <c r="D884">
        <f t="shared" si="27"/>
        <v>1961.43</v>
      </c>
    </row>
    <row r="885" spans="1:4">
      <c r="A885">
        <f t="shared" si="26"/>
        <v>883</v>
      </c>
      <c r="B885">
        <v>8830</v>
      </c>
      <c r="C885">
        <v>196365</v>
      </c>
      <c r="D885">
        <f t="shared" si="27"/>
        <v>1963.65</v>
      </c>
    </row>
    <row r="886" spans="1:4">
      <c r="A886">
        <f t="shared" si="26"/>
        <v>884</v>
      </c>
      <c r="B886">
        <v>8840</v>
      </c>
      <c r="C886">
        <v>196587</v>
      </c>
      <c r="D886">
        <f t="shared" si="27"/>
        <v>1965.87</v>
      </c>
    </row>
    <row r="887" spans="1:4">
      <c r="A887">
        <f t="shared" si="26"/>
        <v>885</v>
      </c>
      <c r="B887">
        <v>8850</v>
      </c>
      <c r="C887">
        <v>196809</v>
      </c>
      <c r="D887">
        <f t="shared" si="27"/>
        <v>1968.09</v>
      </c>
    </row>
    <row r="888" spans="1:4">
      <c r="A888">
        <f t="shared" si="26"/>
        <v>886</v>
      </c>
      <c r="B888">
        <v>8860</v>
      </c>
      <c r="C888">
        <v>197031</v>
      </c>
      <c r="D888">
        <f t="shared" si="27"/>
        <v>1970.31</v>
      </c>
    </row>
    <row r="889" spans="1:4">
      <c r="A889">
        <f t="shared" si="26"/>
        <v>887</v>
      </c>
      <c r="B889">
        <v>8870</v>
      </c>
      <c r="C889">
        <v>197253</v>
      </c>
      <c r="D889">
        <f t="shared" si="27"/>
        <v>1972.53</v>
      </c>
    </row>
    <row r="890" spans="1:4">
      <c r="A890">
        <f t="shared" si="26"/>
        <v>888</v>
      </c>
      <c r="B890">
        <v>8880</v>
      </c>
      <c r="C890">
        <v>197474</v>
      </c>
      <c r="D890">
        <f t="shared" si="27"/>
        <v>1974.74</v>
      </c>
    </row>
    <row r="891" spans="1:4">
      <c r="A891">
        <f t="shared" si="26"/>
        <v>889</v>
      </c>
      <c r="B891">
        <v>8890</v>
      </c>
      <c r="C891">
        <v>197696</v>
      </c>
      <c r="D891">
        <f t="shared" si="27"/>
        <v>1976.96</v>
      </c>
    </row>
    <row r="892" spans="1:4">
      <c r="A892">
        <f t="shared" si="26"/>
        <v>890</v>
      </c>
      <c r="B892">
        <v>8900</v>
      </c>
      <c r="C892">
        <v>197918</v>
      </c>
      <c r="D892">
        <f t="shared" si="27"/>
        <v>1979.18</v>
      </c>
    </row>
    <row r="893" spans="1:4">
      <c r="A893">
        <f t="shared" si="26"/>
        <v>891</v>
      </c>
      <c r="B893">
        <v>8910</v>
      </c>
      <c r="C893">
        <v>198140</v>
      </c>
      <c r="D893">
        <f t="shared" si="27"/>
        <v>1981.4</v>
      </c>
    </row>
    <row r="894" spans="1:4">
      <c r="A894">
        <f t="shared" si="26"/>
        <v>892</v>
      </c>
      <c r="B894">
        <v>8920</v>
      </c>
      <c r="C894">
        <v>198362</v>
      </c>
      <c r="D894">
        <f t="shared" si="27"/>
        <v>1983.62</v>
      </c>
    </row>
    <row r="895" spans="1:4">
      <c r="A895">
        <f t="shared" si="26"/>
        <v>893</v>
      </c>
      <c r="B895">
        <v>8930</v>
      </c>
      <c r="C895">
        <v>198584</v>
      </c>
      <c r="D895">
        <f t="shared" si="27"/>
        <v>1985.84</v>
      </c>
    </row>
    <row r="896" spans="1:4">
      <c r="A896">
        <f t="shared" si="26"/>
        <v>894</v>
      </c>
      <c r="B896">
        <v>8940</v>
      </c>
      <c r="C896">
        <v>198806</v>
      </c>
      <c r="D896">
        <f t="shared" si="27"/>
        <v>1988.06</v>
      </c>
    </row>
    <row r="897" spans="1:4">
      <c r="A897">
        <f t="shared" si="26"/>
        <v>895</v>
      </c>
      <c r="B897">
        <v>8950</v>
      </c>
      <c r="C897">
        <v>199028</v>
      </c>
      <c r="D897">
        <f t="shared" si="27"/>
        <v>1990.28</v>
      </c>
    </row>
    <row r="898" spans="1:4">
      <c r="A898">
        <f t="shared" si="26"/>
        <v>896</v>
      </c>
      <c r="B898">
        <v>8960</v>
      </c>
      <c r="C898">
        <v>199249</v>
      </c>
      <c r="D898">
        <f t="shared" si="27"/>
        <v>1992.49</v>
      </c>
    </row>
    <row r="899" spans="1:4">
      <c r="A899">
        <f t="shared" ref="A899:A962" si="28">$B899/10</f>
        <v>897</v>
      </c>
      <c r="B899">
        <v>8970</v>
      </c>
      <c r="C899">
        <v>199471</v>
      </c>
      <c r="D899">
        <f t="shared" ref="D899:D962" si="29">$C899/100</f>
        <v>1994.71</v>
      </c>
    </row>
    <row r="900" spans="1:4">
      <c r="A900">
        <f t="shared" si="28"/>
        <v>898</v>
      </c>
      <c r="B900">
        <v>8980</v>
      </c>
      <c r="C900">
        <v>199693</v>
      </c>
      <c r="D900">
        <f t="shared" si="29"/>
        <v>1996.93</v>
      </c>
    </row>
    <row r="901" spans="1:4">
      <c r="A901">
        <f t="shared" si="28"/>
        <v>899</v>
      </c>
      <c r="B901">
        <v>8990</v>
      </c>
      <c r="C901">
        <v>199915</v>
      </c>
      <c r="D901">
        <f t="shared" si="29"/>
        <v>1999.15</v>
      </c>
    </row>
    <row r="902" spans="1:4">
      <c r="A902">
        <f t="shared" si="28"/>
        <v>900</v>
      </c>
      <c r="B902">
        <v>9000</v>
      </c>
      <c r="C902">
        <v>200137</v>
      </c>
      <c r="D902">
        <f t="shared" si="29"/>
        <v>2001.37</v>
      </c>
    </row>
    <row r="903" spans="1:4">
      <c r="A903">
        <f t="shared" si="28"/>
        <v>901</v>
      </c>
      <c r="B903">
        <v>9010</v>
      </c>
      <c r="C903">
        <v>200359</v>
      </c>
      <c r="D903">
        <f t="shared" si="29"/>
        <v>2003.59</v>
      </c>
    </row>
    <row r="904" spans="1:4">
      <c r="A904">
        <f t="shared" si="28"/>
        <v>902</v>
      </c>
      <c r="B904">
        <v>9020</v>
      </c>
      <c r="C904">
        <v>200581</v>
      </c>
      <c r="D904">
        <f t="shared" si="29"/>
        <v>2005.81</v>
      </c>
    </row>
    <row r="905" spans="1:4">
      <c r="A905">
        <f t="shared" si="28"/>
        <v>903</v>
      </c>
      <c r="B905">
        <v>9030</v>
      </c>
      <c r="C905">
        <v>200802</v>
      </c>
      <c r="D905">
        <f t="shared" si="29"/>
        <v>2008.02</v>
      </c>
    </row>
    <row r="906" spans="1:4">
      <c r="A906">
        <f t="shared" si="28"/>
        <v>904</v>
      </c>
      <c r="B906">
        <v>9040</v>
      </c>
      <c r="C906">
        <v>201024</v>
      </c>
      <c r="D906">
        <f t="shared" si="29"/>
        <v>2010.24</v>
      </c>
    </row>
    <row r="907" spans="1:4">
      <c r="A907">
        <f t="shared" si="28"/>
        <v>905</v>
      </c>
      <c r="B907">
        <v>9050</v>
      </c>
      <c r="C907">
        <v>201246</v>
      </c>
      <c r="D907">
        <f t="shared" si="29"/>
        <v>2012.46</v>
      </c>
    </row>
    <row r="908" spans="1:4">
      <c r="A908">
        <f t="shared" si="28"/>
        <v>906</v>
      </c>
      <c r="B908">
        <v>9060</v>
      </c>
      <c r="C908">
        <v>201468</v>
      </c>
      <c r="D908">
        <f t="shared" si="29"/>
        <v>2014.68</v>
      </c>
    </row>
    <row r="909" spans="1:4">
      <c r="A909">
        <f t="shared" si="28"/>
        <v>907</v>
      </c>
      <c r="B909">
        <v>9070</v>
      </c>
      <c r="C909">
        <v>201690</v>
      </c>
      <c r="D909">
        <f t="shared" si="29"/>
        <v>2016.9</v>
      </c>
    </row>
    <row r="910" spans="1:4">
      <c r="A910">
        <f t="shared" si="28"/>
        <v>908</v>
      </c>
      <c r="B910">
        <v>9080</v>
      </c>
      <c r="C910">
        <v>201912</v>
      </c>
      <c r="D910">
        <f t="shared" si="29"/>
        <v>2019.12</v>
      </c>
    </row>
    <row r="911" spans="1:4">
      <c r="A911">
        <f t="shared" si="28"/>
        <v>909</v>
      </c>
      <c r="B911">
        <v>9090</v>
      </c>
      <c r="C911">
        <v>202134</v>
      </c>
      <c r="D911">
        <f t="shared" si="29"/>
        <v>2021.34</v>
      </c>
    </row>
    <row r="912" spans="1:4">
      <c r="A912">
        <f t="shared" si="28"/>
        <v>910</v>
      </c>
      <c r="B912">
        <v>9100</v>
      </c>
      <c r="C912">
        <v>202356</v>
      </c>
      <c r="D912">
        <f t="shared" si="29"/>
        <v>2023.56</v>
      </c>
    </row>
    <row r="913" spans="1:4">
      <c r="A913">
        <f t="shared" si="28"/>
        <v>911</v>
      </c>
      <c r="B913">
        <v>9110</v>
      </c>
      <c r="C913">
        <v>202577</v>
      </c>
      <c r="D913">
        <f t="shared" si="29"/>
        <v>2025.77</v>
      </c>
    </row>
    <row r="914" spans="1:4">
      <c r="A914">
        <f t="shared" si="28"/>
        <v>912</v>
      </c>
      <c r="B914">
        <v>9120</v>
      </c>
      <c r="C914">
        <v>202799</v>
      </c>
      <c r="D914">
        <f t="shared" si="29"/>
        <v>2027.99</v>
      </c>
    </row>
    <row r="915" spans="1:4">
      <c r="A915">
        <f t="shared" si="28"/>
        <v>913</v>
      </c>
      <c r="B915">
        <v>9130</v>
      </c>
      <c r="C915">
        <v>203021</v>
      </c>
      <c r="D915">
        <f t="shared" si="29"/>
        <v>2030.21</v>
      </c>
    </row>
    <row r="916" spans="1:4">
      <c r="A916">
        <f t="shared" si="28"/>
        <v>914</v>
      </c>
      <c r="B916">
        <v>9140</v>
      </c>
      <c r="C916">
        <v>203243</v>
      </c>
      <c r="D916">
        <f t="shared" si="29"/>
        <v>2032.43</v>
      </c>
    </row>
    <row r="917" spans="1:4">
      <c r="A917">
        <f t="shared" si="28"/>
        <v>915</v>
      </c>
      <c r="B917">
        <v>9150</v>
      </c>
      <c r="C917">
        <v>203465</v>
      </c>
      <c r="D917">
        <f t="shared" si="29"/>
        <v>2034.65</v>
      </c>
    </row>
    <row r="918" spans="1:4">
      <c r="A918">
        <f t="shared" si="28"/>
        <v>916</v>
      </c>
      <c r="B918">
        <v>9160</v>
      </c>
      <c r="C918">
        <v>203687</v>
      </c>
      <c r="D918">
        <f t="shared" si="29"/>
        <v>2036.87</v>
      </c>
    </row>
    <row r="919" spans="1:4">
      <c r="A919">
        <f t="shared" si="28"/>
        <v>917</v>
      </c>
      <c r="B919">
        <v>9170</v>
      </c>
      <c r="C919">
        <v>203909</v>
      </c>
      <c r="D919">
        <f t="shared" si="29"/>
        <v>2039.09</v>
      </c>
    </row>
    <row r="920" spans="1:4">
      <c r="A920">
        <f t="shared" si="28"/>
        <v>918</v>
      </c>
      <c r="B920">
        <v>9180</v>
      </c>
      <c r="C920">
        <v>204131</v>
      </c>
      <c r="D920">
        <f t="shared" si="29"/>
        <v>2041.31</v>
      </c>
    </row>
    <row r="921" spans="1:4">
      <c r="A921">
        <f t="shared" si="28"/>
        <v>919</v>
      </c>
      <c r="B921">
        <v>9190</v>
      </c>
      <c r="C921">
        <v>204352</v>
      </c>
      <c r="D921">
        <f t="shared" si="29"/>
        <v>2043.52</v>
      </c>
    </row>
    <row r="922" spans="1:4">
      <c r="A922">
        <f t="shared" si="28"/>
        <v>920</v>
      </c>
      <c r="B922">
        <v>9200</v>
      </c>
      <c r="C922">
        <v>204574</v>
      </c>
      <c r="D922">
        <f t="shared" si="29"/>
        <v>2045.74</v>
      </c>
    </row>
    <row r="923" spans="1:4">
      <c r="A923">
        <f t="shared" si="28"/>
        <v>921</v>
      </c>
      <c r="B923">
        <v>9210</v>
      </c>
      <c r="C923">
        <v>204796</v>
      </c>
      <c r="D923">
        <f t="shared" si="29"/>
        <v>2047.96</v>
      </c>
    </row>
    <row r="924" spans="1:4">
      <c r="A924">
        <f t="shared" si="28"/>
        <v>922</v>
      </c>
      <c r="B924">
        <v>9220</v>
      </c>
      <c r="C924">
        <v>205018</v>
      </c>
      <c r="D924">
        <f t="shared" si="29"/>
        <v>2050.1799999999998</v>
      </c>
    </row>
    <row r="925" spans="1:4">
      <c r="A925">
        <f t="shared" si="28"/>
        <v>923</v>
      </c>
      <c r="B925">
        <v>9230</v>
      </c>
      <c r="C925">
        <v>205240</v>
      </c>
      <c r="D925">
        <f t="shared" si="29"/>
        <v>2052.4</v>
      </c>
    </row>
    <row r="926" spans="1:4">
      <c r="A926">
        <f t="shared" si="28"/>
        <v>924</v>
      </c>
      <c r="B926">
        <v>9240</v>
      </c>
      <c r="C926">
        <v>205462</v>
      </c>
      <c r="D926">
        <f t="shared" si="29"/>
        <v>2054.62</v>
      </c>
    </row>
    <row r="927" spans="1:4">
      <c r="A927">
        <f t="shared" si="28"/>
        <v>925</v>
      </c>
      <c r="B927">
        <v>9250</v>
      </c>
      <c r="C927">
        <v>205684</v>
      </c>
      <c r="D927">
        <f t="shared" si="29"/>
        <v>2056.84</v>
      </c>
    </row>
    <row r="928" spans="1:4">
      <c r="A928">
        <f t="shared" si="28"/>
        <v>926</v>
      </c>
      <c r="B928">
        <v>9260</v>
      </c>
      <c r="C928">
        <v>205906</v>
      </c>
      <c r="D928">
        <f t="shared" si="29"/>
        <v>2059.06</v>
      </c>
    </row>
    <row r="929" spans="1:4">
      <c r="A929">
        <f t="shared" si="28"/>
        <v>927</v>
      </c>
      <c r="B929">
        <v>9270</v>
      </c>
      <c r="C929">
        <v>206127</v>
      </c>
      <c r="D929">
        <f t="shared" si="29"/>
        <v>2061.27</v>
      </c>
    </row>
    <row r="930" spans="1:4">
      <c r="A930">
        <f t="shared" si="28"/>
        <v>928</v>
      </c>
      <c r="B930">
        <v>9280</v>
      </c>
      <c r="C930">
        <v>206349</v>
      </c>
      <c r="D930">
        <f t="shared" si="29"/>
        <v>2063.4899999999998</v>
      </c>
    </row>
    <row r="931" spans="1:4">
      <c r="A931">
        <f t="shared" si="28"/>
        <v>929</v>
      </c>
      <c r="B931">
        <v>9290</v>
      </c>
      <c r="C931">
        <v>206571</v>
      </c>
      <c r="D931">
        <f t="shared" si="29"/>
        <v>2065.71</v>
      </c>
    </row>
    <row r="932" spans="1:4">
      <c r="A932">
        <f t="shared" si="28"/>
        <v>930</v>
      </c>
      <c r="B932">
        <v>9300</v>
      </c>
      <c r="C932">
        <v>206793</v>
      </c>
      <c r="D932">
        <f t="shared" si="29"/>
        <v>2067.9299999999998</v>
      </c>
    </row>
    <row r="933" spans="1:4">
      <c r="A933">
        <f t="shared" si="28"/>
        <v>931</v>
      </c>
      <c r="B933">
        <v>9310</v>
      </c>
      <c r="C933">
        <v>207015</v>
      </c>
      <c r="D933">
        <f t="shared" si="29"/>
        <v>2070.15</v>
      </c>
    </row>
    <row r="934" spans="1:4">
      <c r="A934">
        <f t="shared" si="28"/>
        <v>932</v>
      </c>
      <c r="B934">
        <v>9320</v>
      </c>
      <c r="C934">
        <v>207237</v>
      </c>
      <c r="D934">
        <f t="shared" si="29"/>
        <v>2072.37</v>
      </c>
    </row>
    <row r="935" spans="1:4">
      <c r="A935">
        <f t="shared" si="28"/>
        <v>933</v>
      </c>
      <c r="B935">
        <v>9330</v>
      </c>
      <c r="C935">
        <v>207459</v>
      </c>
      <c r="D935">
        <f t="shared" si="29"/>
        <v>2074.59</v>
      </c>
    </row>
    <row r="936" spans="1:4">
      <c r="A936">
        <f t="shared" si="28"/>
        <v>934</v>
      </c>
      <c r="B936">
        <v>9340</v>
      </c>
      <c r="C936">
        <v>207680</v>
      </c>
      <c r="D936">
        <f t="shared" si="29"/>
        <v>2076.8000000000002</v>
      </c>
    </row>
    <row r="937" spans="1:4">
      <c r="A937">
        <f t="shared" si="28"/>
        <v>935</v>
      </c>
      <c r="B937">
        <v>9350</v>
      </c>
      <c r="C937">
        <v>207902</v>
      </c>
      <c r="D937">
        <f t="shared" si="29"/>
        <v>2079.02</v>
      </c>
    </row>
    <row r="938" spans="1:4">
      <c r="A938">
        <f t="shared" si="28"/>
        <v>936</v>
      </c>
      <c r="B938">
        <v>9360</v>
      </c>
      <c r="C938">
        <v>208124</v>
      </c>
      <c r="D938">
        <f t="shared" si="29"/>
        <v>2081.2399999999998</v>
      </c>
    </row>
    <row r="939" spans="1:4">
      <c r="A939">
        <f t="shared" si="28"/>
        <v>937</v>
      </c>
      <c r="B939">
        <v>9370</v>
      </c>
      <c r="C939">
        <v>208346</v>
      </c>
      <c r="D939">
        <f t="shared" si="29"/>
        <v>2083.46</v>
      </c>
    </row>
    <row r="940" spans="1:4">
      <c r="A940">
        <f t="shared" si="28"/>
        <v>938</v>
      </c>
      <c r="B940">
        <v>9380</v>
      </c>
      <c r="C940">
        <v>208568</v>
      </c>
      <c r="D940">
        <f t="shared" si="29"/>
        <v>2085.6799999999998</v>
      </c>
    </row>
    <row r="941" spans="1:4">
      <c r="A941">
        <f t="shared" si="28"/>
        <v>939</v>
      </c>
      <c r="B941">
        <v>9390</v>
      </c>
      <c r="C941">
        <v>208790</v>
      </c>
      <c r="D941">
        <f t="shared" si="29"/>
        <v>2087.9</v>
      </c>
    </row>
    <row r="942" spans="1:4">
      <c r="A942">
        <f t="shared" si="28"/>
        <v>940</v>
      </c>
      <c r="B942">
        <v>9400</v>
      </c>
      <c r="C942">
        <v>209012</v>
      </c>
      <c r="D942">
        <f t="shared" si="29"/>
        <v>2090.12</v>
      </c>
    </row>
    <row r="943" spans="1:4">
      <c r="A943">
        <f t="shared" si="28"/>
        <v>941</v>
      </c>
      <c r="B943">
        <v>9410</v>
      </c>
      <c r="C943">
        <v>209234</v>
      </c>
      <c r="D943">
        <f t="shared" si="29"/>
        <v>2092.34</v>
      </c>
    </row>
    <row r="944" spans="1:4">
      <c r="A944">
        <f t="shared" si="28"/>
        <v>942</v>
      </c>
      <c r="B944">
        <v>9420</v>
      </c>
      <c r="C944">
        <v>209455</v>
      </c>
      <c r="D944">
        <f t="shared" si="29"/>
        <v>2094.5500000000002</v>
      </c>
    </row>
    <row r="945" spans="1:4">
      <c r="A945">
        <f t="shared" si="28"/>
        <v>943</v>
      </c>
      <c r="B945">
        <v>9430</v>
      </c>
      <c r="C945">
        <v>209677</v>
      </c>
      <c r="D945">
        <f t="shared" si="29"/>
        <v>2096.77</v>
      </c>
    </row>
    <row r="946" spans="1:4">
      <c r="A946">
        <f t="shared" si="28"/>
        <v>944</v>
      </c>
      <c r="B946">
        <v>9440</v>
      </c>
      <c r="C946">
        <v>209899</v>
      </c>
      <c r="D946">
        <f t="shared" si="29"/>
        <v>2098.9899999999998</v>
      </c>
    </row>
    <row r="947" spans="1:4">
      <c r="A947">
        <f t="shared" si="28"/>
        <v>945</v>
      </c>
      <c r="B947">
        <v>9450</v>
      </c>
      <c r="C947">
        <v>210121</v>
      </c>
      <c r="D947">
        <f t="shared" si="29"/>
        <v>2101.21</v>
      </c>
    </row>
    <row r="948" spans="1:4">
      <c r="A948">
        <f t="shared" si="28"/>
        <v>946</v>
      </c>
      <c r="B948">
        <v>9460</v>
      </c>
      <c r="C948">
        <v>210343</v>
      </c>
      <c r="D948">
        <f t="shared" si="29"/>
        <v>2103.4299999999998</v>
      </c>
    </row>
    <row r="949" spans="1:4">
      <c r="A949">
        <f t="shared" si="28"/>
        <v>947</v>
      </c>
      <c r="B949">
        <v>9470</v>
      </c>
      <c r="C949">
        <v>210565</v>
      </c>
      <c r="D949">
        <f t="shared" si="29"/>
        <v>2105.65</v>
      </c>
    </row>
    <row r="950" spans="1:4">
      <c r="A950">
        <f t="shared" si="28"/>
        <v>948</v>
      </c>
      <c r="B950">
        <v>9480</v>
      </c>
      <c r="C950">
        <v>210787</v>
      </c>
      <c r="D950">
        <f t="shared" si="29"/>
        <v>2107.87</v>
      </c>
    </row>
    <row r="951" spans="1:4">
      <c r="A951">
        <f t="shared" si="28"/>
        <v>949</v>
      </c>
      <c r="B951">
        <v>9490</v>
      </c>
      <c r="C951">
        <v>211009</v>
      </c>
      <c r="D951">
        <f t="shared" si="29"/>
        <v>2110.09</v>
      </c>
    </row>
    <row r="952" spans="1:4">
      <c r="A952">
        <f t="shared" si="28"/>
        <v>950</v>
      </c>
      <c r="B952">
        <v>9500</v>
      </c>
      <c r="C952">
        <v>211230</v>
      </c>
      <c r="D952">
        <f t="shared" si="29"/>
        <v>2112.3000000000002</v>
      </c>
    </row>
    <row r="953" spans="1:4">
      <c r="A953">
        <f t="shared" si="28"/>
        <v>951</v>
      </c>
      <c r="B953">
        <v>9510</v>
      </c>
      <c r="C953">
        <v>211452</v>
      </c>
      <c r="D953">
        <f t="shared" si="29"/>
        <v>2114.52</v>
      </c>
    </row>
    <row r="954" spans="1:4">
      <c r="A954">
        <f t="shared" si="28"/>
        <v>952</v>
      </c>
      <c r="B954">
        <v>9520</v>
      </c>
      <c r="C954">
        <v>211674</v>
      </c>
      <c r="D954">
        <f t="shared" si="29"/>
        <v>2116.7399999999998</v>
      </c>
    </row>
    <row r="955" spans="1:4">
      <c r="A955">
        <f t="shared" si="28"/>
        <v>953</v>
      </c>
      <c r="B955">
        <v>9530</v>
      </c>
      <c r="C955">
        <v>211896</v>
      </c>
      <c r="D955">
        <f t="shared" si="29"/>
        <v>2118.96</v>
      </c>
    </row>
    <row r="956" spans="1:4">
      <c r="A956">
        <f t="shared" si="28"/>
        <v>954</v>
      </c>
      <c r="B956">
        <v>9540</v>
      </c>
      <c r="C956">
        <v>212118</v>
      </c>
      <c r="D956">
        <f t="shared" si="29"/>
        <v>2121.1799999999998</v>
      </c>
    </row>
    <row r="957" spans="1:4">
      <c r="A957">
        <f t="shared" si="28"/>
        <v>955</v>
      </c>
      <c r="B957">
        <v>9550</v>
      </c>
      <c r="C957">
        <v>212340</v>
      </c>
      <c r="D957">
        <f t="shared" si="29"/>
        <v>2123.4</v>
      </c>
    </row>
    <row r="958" spans="1:4">
      <c r="A958">
        <f t="shared" si="28"/>
        <v>956</v>
      </c>
      <c r="B958">
        <v>9560</v>
      </c>
      <c r="C958">
        <v>212562</v>
      </c>
      <c r="D958">
        <f t="shared" si="29"/>
        <v>2125.62</v>
      </c>
    </row>
    <row r="959" spans="1:4">
      <c r="A959">
        <f t="shared" si="28"/>
        <v>957</v>
      </c>
      <c r="B959">
        <v>9570</v>
      </c>
      <c r="C959">
        <v>212783</v>
      </c>
      <c r="D959">
        <f t="shared" si="29"/>
        <v>2127.83</v>
      </c>
    </row>
    <row r="960" spans="1:4">
      <c r="A960">
        <f t="shared" si="28"/>
        <v>958</v>
      </c>
      <c r="B960">
        <v>9580</v>
      </c>
      <c r="C960">
        <v>213005</v>
      </c>
      <c r="D960">
        <f t="shared" si="29"/>
        <v>2130.0500000000002</v>
      </c>
    </row>
    <row r="961" spans="1:4">
      <c r="A961">
        <f t="shared" si="28"/>
        <v>959</v>
      </c>
      <c r="B961">
        <v>9590</v>
      </c>
      <c r="C961">
        <v>213227</v>
      </c>
      <c r="D961">
        <f t="shared" si="29"/>
        <v>2132.27</v>
      </c>
    </row>
    <row r="962" spans="1:4">
      <c r="A962">
        <f t="shared" si="28"/>
        <v>960</v>
      </c>
      <c r="B962">
        <v>9600</v>
      </c>
      <c r="C962">
        <v>213449</v>
      </c>
      <c r="D962">
        <f t="shared" si="29"/>
        <v>2134.4899999999998</v>
      </c>
    </row>
    <row r="963" spans="1:4">
      <c r="A963">
        <f t="shared" ref="A963:A1026" si="30">$B963/10</f>
        <v>961</v>
      </c>
      <c r="B963">
        <v>9610</v>
      </c>
      <c r="C963">
        <v>213671</v>
      </c>
      <c r="D963">
        <f t="shared" ref="D963:D1026" si="31">$C963/100</f>
        <v>2136.71</v>
      </c>
    </row>
    <row r="964" spans="1:4">
      <c r="A964">
        <f t="shared" si="30"/>
        <v>962</v>
      </c>
      <c r="B964">
        <v>9620</v>
      </c>
      <c r="C964">
        <v>213893</v>
      </c>
      <c r="D964">
        <f t="shared" si="31"/>
        <v>2138.9299999999998</v>
      </c>
    </row>
    <row r="965" spans="1:4">
      <c r="A965">
        <f t="shared" si="30"/>
        <v>963</v>
      </c>
      <c r="B965">
        <v>9630</v>
      </c>
      <c r="C965">
        <v>214115</v>
      </c>
      <c r="D965">
        <f t="shared" si="31"/>
        <v>2141.15</v>
      </c>
    </row>
    <row r="966" spans="1:4">
      <c r="A966">
        <f t="shared" si="30"/>
        <v>964</v>
      </c>
      <c r="B966">
        <v>9640</v>
      </c>
      <c r="C966">
        <v>214337</v>
      </c>
      <c r="D966">
        <f t="shared" si="31"/>
        <v>2143.37</v>
      </c>
    </row>
    <row r="967" spans="1:4">
      <c r="A967">
        <f t="shared" si="30"/>
        <v>965</v>
      </c>
      <c r="B967">
        <v>9650</v>
      </c>
      <c r="C967">
        <v>214558</v>
      </c>
      <c r="D967">
        <f t="shared" si="31"/>
        <v>2145.58</v>
      </c>
    </row>
    <row r="968" spans="1:4">
      <c r="A968">
        <f t="shared" si="30"/>
        <v>966</v>
      </c>
      <c r="B968">
        <v>9660</v>
      </c>
      <c r="C968">
        <v>214780</v>
      </c>
      <c r="D968">
        <f t="shared" si="31"/>
        <v>2147.8000000000002</v>
      </c>
    </row>
    <row r="969" spans="1:4">
      <c r="A969">
        <f t="shared" si="30"/>
        <v>967</v>
      </c>
      <c r="B969">
        <v>9670</v>
      </c>
      <c r="C969">
        <v>215002</v>
      </c>
      <c r="D969">
        <f t="shared" si="31"/>
        <v>2150.02</v>
      </c>
    </row>
    <row r="970" spans="1:4">
      <c r="A970">
        <f t="shared" si="30"/>
        <v>968</v>
      </c>
      <c r="B970">
        <v>9680</v>
      </c>
      <c r="C970">
        <v>215224</v>
      </c>
      <c r="D970">
        <f t="shared" si="31"/>
        <v>2152.2399999999998</v>
      </c>
    </row>
    <row r="971" spans="1:4">
      <c r="A971">
        <f t="shared" si="30"/>
        <v>969</v>
      </c>
      <c r="B971">
        <v>9690</v>
      </c>
      <c r="C971">
        <v>215446</v>
      </c>
      <c r="D971">
        <f t="shared" si="31"/>
        <v>2154.46</v>
      </c>
    </row>
    <row r="972" spans="1:4">
      <c r="A972">
        <f t="shared" si="30"/>
        <v>970</v>
      </c>
      <c r="B972">
        <v>9700</v>
      </c>
      <c r="C972">
        <v>215668</v>
      </c>
      <c r="D972">
        <f t="shared" si="31"/>
        <v>2156.6799999999998</v>
      </c>
    </row>
    <row r="973" spans="1:4">
      <c r="A973">
        <f t="shared" si="30"/>
        <v>971</v>
      </c>
      <c r="B973">
        <v>9710</v>
      </c>
      <c r="C973">
        <v>215890</v>
      </c>
      <c r="D973">
        <f t="shared" si="31"/>
        <v>2158.9</v>
      </c>
    </row>
    <row r="974" spans="1:4">
      <c r="A974">
        <f t="shared" si="30"/>
        <v>972</v>
      </c>
      <c r="B974">
        <v>9720</v>
      </c>
      <c r="C974">
        <v>216112</v>
      </c>
      <c r="D974">
        <f t="shared" si="31"/>
        <v>2161.12</v>
      </c>
    </row>
    <row r="975" spans="1:4">
      <c r="A975">
        <f t="shared" si="30"/>
        <v>973</v>
      </c>
      <c r="B975">
        <v>9730</v>
      </c>
      <c r="C975">
        <v>216333</v>
      </c>
      <c r="D975">
        <f t="shared" si="31"/>
        <v>2163.33</v>
      </c>
    </row>
    <row r="976" spans="1:4">
      <c r="A976">
        <f t="shared" si="30"/>
        <v>974</v>
      </c>
      <c r="B976">
        <v>9740</v>
      </c>
      <c r="C976">
        <v>216555</v>
      </c>
      <c r="D976">
        <f t="shared" si="31"/>
        <v>2165.5500000000002</v>
      </c>
    </row>
    <row r="977" spans="1:4">
      <c r="A977">
        <f t="shared" si="30"/>
        <v>975</v>
      </c>
      <c r="B977">
        <v>9750</v>
      </c>
      <c r="C977">
        <v>216777</v>
      </c>
      <c r="D977">
        <f t="shared" si="31"/>
        <v>2167.77</v>
      </c>
    </row>
    <row r="978" spans="1:4">
      <c r="A978">
        <f t="shared" si="30"/>
        <v>976</v>
      </c>
      <c r="B978">
        <v>9760</v>
      </c>
      <c r="C978">
        <v>216999</v>
      </c>
      <c r="D978">
        <f t="shared" si="31"/>
        <v>2169.9899999999998</v>
      </c>
    </row>
    <row r="979" spans="1:4">
      <c r="A979">
        <f t="shared" si="30"/>
        <v>977</v>
      </c>
      <c r="B979">
        <v>9770</v>
      </c>
      <c r="C979">
        <v>217221</v>
      </c>
      <c r="D979">
        <f t="shared" si="31"/>
        <v>2172.21</v>
      </c>
    </row>
    <row r="980" spans="1:4">
      <c r="A980">
        <f t="shared" si="30"/>
        <v>978</v>
      </c>
      <c r="B980">
        <v>9780</v>
      </c>
      <c r="C980">
        <v>217443</v>
      </c>
      <c r="D980">
        <f t="shared" si="31"/>
        <v>2174.4299999999998</v>
      </c>
    </row>
    <row r="981" spans="1:4">
      <c r="A981">
        <f t="shared" si="30"/>
        <v>979</v>
      </c>
      <c r="B981">
        <v>9790</v>
      </c>
      <c r="C981">
        <v>217665</v>
      </c>
      <c r="D981">
        <f t="shared" si="31"/>
        <v>2176.65</v>
      </c>
    </row>
    <row r="982" spans="1:4">
      <c r="A982">
        <f t="shared" si="30"/>
        <v>980</v>
      </c>
      <c r="B982">
        <v>9800</v>
      </c>
      <c r="C982">
        <v>217886</v>
      </c>
      <c r="D982">
        <f t="shared" si="31"/>
        <v>2178.86</v>
      </c>
    </row>
    <row r="983" spans="1:4">
      <c r="A983">
        <f t="shared" si="30"/>
        <v>981</v>
      </c>
      <c r="B983">
        <v>9810</v>
      </c>
      <c r="C983">
        <v>218108</v>
      </c>
      <c r="D983">
        <f t="shared" si="31"/>
        <v>2181.08</v>
      </c>
    </row>
    <row r="984" spans="1:4">
      <c r="A984">
        <f t="shared" si="30"/>
        <v>982</v>
      </c>
      <c r="B984">
        <v>9820</v>
      </c>
      <c r="C984">
        <v>218330</v>
      </c>
      <c r="D984">
        <f t="shared" si="31"/>
        <v>2183.3000000000002</v>
      </c>
    </row>
    <row r="985" spans="1:4">
      <c r="A985">
        <f t="shared" si="30"/>
        <v>983</v>
      </c>
      <c r="B985">
        <v>9830</v>
      </c>
      <c r="C985">
        <v>218552</v>
      </c>
      <c r="D985">
        <f t="shared" si="31"/>
        <v>2185.52</v>
      </c>
    </row>
    <row r="986" spans="1:4">
      <c r="A986">
        <f t="shared" si="30"/>
        <v>984</v>
      </c>
      <c r="B986">
        <v>9840</v>
      </c>
      <c r="C986">
        <v>218774</v>
      </c>
      <c r="D986">
        <f t="shared" si="31"/>
        <v>2187.7399999999998</v>
      </c>
    </row>
    <row r="987" spans="1:4">
      <c r="A987">
        <f t="shared" si="30"/>
        <v>985</v>
      </c>
      <c r="B987">
        <v>9850</v>
      </c>
      <c r="C987">
        <v>218996</v>
      </c>
      <c r="D987">
        <f t="shared" si="31"/>
        <v>2189.96</v>
      </c>
    </row>
    <row r="988" spans="1:4">
      <c r="A988">
        <f t="shared" si="30"/>
        <v>986</v>
      </c>
      <c r="B988">
        <v>9860</v>
      </c>
      <c r="C988">
        <v>219218</v>
      </c>
      <c r="D988">
        <f t="shared" si="31"/>
        <v>2192.1799999999998</v>
      </c>
    </row>
    <row r="989" spans="1:4">
      <c r="A989">
        <f t="shared" si="30"/>
        <v>987</v>
      </c>
      <c r="B989">
        <v>9870</v>
      </c>
      <c r="C989">
        <v>219440</v>
      </c>
      <c r="D989">
        <f t="shared" si="31"/>
        <v>2194.4</v>
      </c>
    </row>
    <row r="990" spans="1:4">
      <c r="A990">
        <f t="shared" si="30"/>
        <v>988</v>
      </c>
      <c r="B990">
        <v>9880</v>
      </c>
      <c r="C990">
        <v>219661</v>
      </c>
      <c r="D990">
        <f t="shared" si="31"/>
        <v>2196.61</v>
      </c>
    </row>
    <row r="991" spans="1:4">
      <c r="A991">
        <f t="shared" si="30"/>
        <v>989</v>
      </c>
      <c r="B991">
        <v>9890</v>
      </c>
      <c r="C991">
        <v>219883</v>
      </c>
      <c r="D991">
        <f t="shared" si="31"/>
        <v>2198.83</v>
      </c>
    </row>
    <row r="992" spans="1:4">
      <c r="A992">
        <f t="shared" si="30"/>
        <v>990</v>
      </c>
      <c r="B992">
        <v>9900</v>
      </c>
      <c r="C992">
        <v>220105</v>
      </c>
      <c r="D992">
        <f t="shared" si="31"/>
        <v>2201.0500000000002</v>
      </c>
    </row>
    <row r="993" spans="1:4">
      <c r="A993">
        <f t="shared" si="30"/>
        <v>991</v>
      </c>
      <c r="B993">
        <v>9910</v>
      </c>
      <c r="C993">
        <v>220327</v>
      </c>
      <c r="D993">
        <f t="shared" si="31"/>
        <v>2203.27</v>
      </c>
    </row>
    <row r="994" spans="1:4">
      <c r="A994">
        <f t="shared" si="30"/>
        <v>992</v>
      </c>
      <c r="B994">
        <v>9920</v>
      </c>
      <c r="C994">
        <v>220549</v>
      </c>
      <c r="D994">
        <f t="shared" si="31"/>
        <v>2205.4899999999998</v>
      </c>
    </row>
    <row r="995" spans="1:4">
      <c r="A995">
        <f t="shared" si="30"/>
        <v>993</v>
      </c>
      <c r="B995">
        <v>9930</v>
      </c>
      <c r="C995">
        <v>220771</v>
      </c>
      <c r="D995">
        <f t="shared" si="31"/>
        <v>2207.71</v>
      </c>
    </row>
    <row r="996" spans="1:4">
      <c r="A996">
        <f t="shared" si="30"/>
        <v>994</v>
      </c>
      <c r="B996">
        <v>9940</v>
      </c>
      <c r="C996">
        <v>220993</v>
      </c>
      <c r="D996">
        <f t="shared" si="31"/>
        <v>2209.9299999999998</v>
      </c>
    </row>
    <row r="997" spans="1:4">
      <c r="A997">
        <f t="shared" si="30"/>
        <v>995</v>
      </c>
      <c r="B997">
        <v>9950</v>
      </c>
      <c r="C997">
        <v>221215</v>
      </c>
      <c r="D997">
        <f t="shared" si="31"/>
        <v>2212.15</v>
      </c>
    </row>
    <row r="998" spans="1:4">
      <c r="A998">
        <f t="shared" si="30"/>
        <v>996</v>
      </c>
      <c r="B998">
        <v>9960</v>
      </c>
      <c r="C998">
        <v>221436</v>
      </c>
      <c r="D998">
        <f t="shared" si="31"/>
        <v>2214.36</v>
      </c>
    </row>
    <row r="999" spans="1:4">
      <c r="A999">
        <f t="shared" si="30"/>
        <v>997</v>
      </c>
      <c r="B999">
        <v>9970</v>
      </c>
      <c r="C999">
        <v>221658</v>
      </c>
      <c r="D999">
        <f t="shared" si="31"/>
        <v>2216.58</v>
      </c>
    </row>
    <row r="1000" spans="1:4">
      <c r="A1000">
        <f t="shared" si="30"/>
        <v>998</v>
      </c>
      <c r="B1000">
        <v>9980</v>
      </c>
      <c r="C1000">
        <v>221880</v>
      </c>
      <c r="D1000">
        <f t="shared" si="31"/>
        <v>2218.8000000000002</v>
      </c>
    </row>
    <row r="1001" spans="1:4">
      <c r="A1001">
        <f t="shared" si="30"/>
        <v>999</v>
      </c>
      <c r="B1001">
        <v>9990</v>
      </c>
      <c r="C1001">
        <v>222102</v>
      </c>
      <c r="D1001">
        <f t="shared" si="31"/>
        <v>2221.02</v>
      </c>
    </row>
    <row r="1002" spans="1:4">
      <c r="A1002">
        <f t="shared" si="30"/>
        <v>1000</v>
      </c>
      <c r="B1002">
        <v>10000</v>
      </c>
      <c r="C1002">
        <v>222324</v>
      </c>
      <c r="D1002">
        <f t="shared" si="31"/>
        <v>2223.2399999999998</v>
      </c>
    </row>
    <row r="1003" spans="1:4">
      <c r="A1003">
        <f t="shared" si="30"/>
        <v>1001</v>
      </c>
      <c r="B1003">
        <v>10010</v>
      </c>
      <c r="C1003">
        <v>222546</v>
      </c>
      <c r="D1003">
        <f t="shared" si="31"/>
        <v>2225.46</v>
      </c>
    </row>
    <row r="1004" spans="1:4">
      <c r="A1004">
        <f t="shared" si="30"/>
        <v>1002</v>
      </c>
      <c r="B1004">
        <v>10020</v>
      </c>
      <c r="C1004">
        <v>222768</v>
      </c>
      <c r="D1004">
        <f t="shared" si="31"/>
        <v>2227.6799999999998</v>
      </c>
    </row>
    <row r="1005" spans="1:4">
      <c r="A1005">
        <f t="shared" si="30"/>
        <v>1003</v>
      </c>
      <c r="B1005">
        <v>10030</v>
      </c>
      <c r="C1005">
        <v>222989</v>
      </c>
      <c r="D1005">
        <f t="shared" si="31"/>
        <v>2229.89</v>
      </c>
    </row>
    <row r="1006" spans="1:4">
      <c r="A1006">
        <f t="shared" si="30"/>
        <v>1004</v>
      </c>
      <c r="B1006">
        <v>10040</v>
      </c>
      <c r="C1006">
        <v>223211</v>
      </c>
      <c r="D1006">
        <f t="shared" si="31"/>
        <v>2232.11</v>
      </c>
    </row>
    <row r="1007" spans="1:4">
      <c r="A1007">
        <f t="shared" si="30"/>
        <v>1005</v>
      </c>
      <c r="B1007">
        <v>10050</v>
      </c>
      <c r="C1007">
        <v>223433</v>
      </c>
      <c r="D1007">
        <f t="shared" si="31"/>
        <v>2234.33</v>
      </c>
    </row>
    <row r="1008" spans="1:4">
      <c r="A1008">
        <f t="shared" si="30"/>
        <v>1006</v>
      </c>
      <c r="B1008">
        <v>10060</v>
      </c>
      <c r="C1008">
        <v>223655</v>
      </c>
      <c r="D1008">
        <f t="shared" si="31"/>
        <v>2236.5500000000002</v>
      </c>
    </row>
    <row r="1009" spans="1:4">
      <c r="A1009">
        <f t="shared" si="30"/>
        <v>1007</v>
      </c>
      <c r="B1009">
        <v>10070</v>
      </c>
      <c r="C1009">
        <v>223877</v>
      </c>
      <c r="D1009">
        <f t="shared" si="31"/>
        <v>2238.77</v>
      </c>
    </row>
    <row r="1010" spans="1:4">
      <c r="A1010">
        <f t="shared" si="30"/>
        <v>1008</v>
      </c>
      <c r="B1010">
        <v>10080</v>
      </c>
      <c r="C1010">
        <v>224099</v>
      </c>
      <c r="D1010">
        <f t="shared" si="31"/>
        <v>2240.9899999999998</v>
      </c>
    </row>
    <row r="1011" spans="1:4">
      <c r="A1011">
        <f t="shared" si="30"/>
        <v>1009</v>
      </c>
      <c r="B1011">
        <v>10090</v>
      </c>
      <c r="C1011">
        <v>224321</v>
      </c>
      <c r="D1011">
        <f t="shared" si="31"/>
        <v>2243.21</v>
      </c>
    </row>
    <row r="1012" spans="1:4">
      <c r="A1012">
        <f t="shared" si="30"/>
        <v>1010</v>
      </c>
      <c r="B1012">
        <v>10100</v>
      </c>
      <c r="C1012">
        <v>224543</v>
      </c>
      <c r="D1012">
        <f t="shared" si="31"/>
        <v>2245.4299999999998</v>
      </c>
    </row>
    <row r="1013" spans="1:4">
      <c r="A1013">
        <f t="shared" si="30"/>
        <v>1011</v>
      </c>
      <c r="B1013">
        <v>10110</v>
      </c>
      <c r="C1013">
        <v>224764</v>
      </c>
      <c r="D1013">
        <f t="shared" si="31"/>
        <v>2247.64</v>
      </c>
    </row>
    <row r="1014" spans="1:4">
      <c r="A1014">
        <f t="shared" si="30"/>
        <v>1012</v>
      </c>
      <c r="B1014">
        <v>10120</v>
      </c>
      <c r="C1014">
        <v>224986</v>
      </c>
      <c r="D1014">
        <f t="shared" si="31"/>
        <v>2249.86</v>
      </c>
    </row>
    <row r="1015" spans="1:4">
      <c r="A1015">
        <f t="shared" si="30"/>
        <v>1013</v>
      </c>
      <c r="B1015">
        <v>10130</v>
      </c>
      <c r="C1015">
        <v>225208</v>
      </c>
      <c r="D1015">
        <f t="shared" si="31"/>
        <v>2252.08</v>
      </c>
    </row>
    <row r="1016" spans="1:4">
      <c r="A1016">
        <f t="shared" si="30"/>
        <v>1014</v>
      </c>
      <c r="B1016">
        <v>10140</v>
      </c>
      <c r="C1016">
        <v>225430</v>
      </c>
      <c r="D1016">
        <f t="shared" si="31"/>
        <v>2254.3000000000002</v>
      </c>
    </row>
    <row r="1017" spans="1:4">
      <c r="A1017">
        <f t="shared" si="30"/>
        <v>1015</v>
      </c>
      <c r="B1017">
        <v>10150</v>
      </c>
      <c r="C1017">
        <v>225652</v>
      </c>
      <c r="D1017">
        <f t="shared" si="31"/>
        <v>2256.52</v>
      </c>
    </row>
    <row r="1018" spans="1:4">
      <c r="A1018">
        <f t="shared" si="30"/>
        <v>1016</v>
      </c>
      <c r="B1018">
        <v>10160</v>
      </c>
      <c r="C1018">
        <v>225874</v>
      </c>
      <c r="D1018">
        <f t="shared" si="31"/>
        <v>2258.7399999999998</v>
      </c>
    </row>
    <row r="1019" spans="1:4">
      <c r="A1019">
        <f t="shared" si="30"/>
        <v>1017</v>
      </c>
      <c r="B1019">
        <v>10170</v>
      </c>
      <c r="C1019">
        <v>226096</v>
      </c>
      <c r="D1019">
        <f t="shared" si="31"/>
        <v>2260.96</v>
      </c>
    </row>
    <row r="1020" spans="1:4">
      <c r="A1020">
        <f t="shared" si="30"/>
        <v>1018</v>
      </c>
      <c r="B1020">
        <v>10180</v>
      </c>
      <c r="C1020">
        <v>226318</v>
      </c>
      <c r="D1020">
        <f t="shared" si="31"/>
        <v>2263.1799999999998</v>
      </c>
    </row>
    <row r="1021" spans="1:4">
      <c r="A1021">
        <f t="shared" si="30"/>
        <v>1019</v>
      </c>
      <c r="B1021">
        <v>10190</v>
      </c>
      <c r="C1021">
        <v>226539</v>
      </c>
      <c r="D1021">
        <f t="shared" si="31"/>
        <v>2265.39</v>
      </c>
    </row>
    <row r="1022" spans="1:4">
      <c r="A1022">
        <f t="shared" si="30"/>
        <v>1020</v>
      </c>
      <c r="B1022">
        <v>10200</v>
      </c>
      <c r="C1022">
        <v>226761</v>
      </c>
      <c r="D1022">
        <f t="shared" si="31"/>
        <v>2267.61</v>
      </c>
    </row>
    <row r="1023" spans="1:4">
      <c r="A1023">
        <f t="shared" si="30"/>
        <v>1021</v>
      </c>
      <c r="B1023">
        <v>10210</v>
      </c>
      <c r="C1023">
        <v>226983</v>
      </c>
      <c r="D1023">
        <f t="shared" si="31"/>
        <v>2269.83</v>
      </c>
    </row>
    <row r="1024" spans="1:4">
      <c r="A1024">
        <f t="shared" si="30"/>
        <v>1022</v>
      </c>
      <c r="B1024">
        <v>10220</v>
      </c>
      <c r="C1024">
        <v>227205</v>
      </c>
      <c r="D1024">
        <f t="shared" si="31"/>
        <v>2272.0500000000002</v>
      </c>
    </row>
    <row r="1025" spans="1:4">
      <c r="A1025">
        <f t="shared" si="30"/>
        <v>1023</v>
      </c>
      <c r="B1025">
        <v>10230</v>
      </c>
      <c r="C1025">
        <v>227427</v>
      </c>
      <c r="D1025">
        <f t="shared" si="31"/>
        <v>2274.27</v>
      </c>
    </row>
    <row r="1026" spans="1:4">
      <c r="A1026">
        <f t="shared" si="30"/>
        <v>1024</v>
      </c>
      <c r="B1026">
        <v>10240</v>
      </c>
      <c r="C1026">
        <v>227649</v>
      </c>
      <c r="D1026">
        <f t="shared" si="31"/>
        <v>2276.4899999999998</v>
      </c>
    </row>
    <row r="1027" spans="1:4">
      <c r="A1027">
        <f t="shared" ref="A1027:A1090" si="32">$B1027/10</f>
        <v>1025</v>
      </c>
      <c r="B1027">
        <v>10250</v>
      </c>
      <c r="C1027">
        <v>227871</v>
      </c>
      <c r="D1027">
        <f t="shared" ref="D1027:D1090" si="33">$C1027/100</f>
        <v>2278.71</v>
      </c>
    </row>
    <row r="1028" spans="1:4">
      <c r="A1028">
        <f t="shared" si="32"/>
        <v>1026</v>
      </c>
      <c r="B1028">
        <v>10260</v>
      </c>
      <c r="C1028">
        <v>228093</v>
      </c>
      <c r="D1028">
        <f t="shared" si="33"/>
        <v>2280.9299999999998</v>
      </c>
    </row>
    <row r="1029" spans="1:4">
      <c r="A1029">
        <f t="shared" si="32"/>
        <v>1027</v>
      </c>
      <c r="B1029">
        <v>10270</v>
      </c>
      <c r="C1029">
        <v>228314</v>
      </c>
      <c r="D1029">
        <f t="shared" si="33"/>
        <v>2283.14</v>
      </c>
    </row>
    <row r="1030" spans="1:4">
      <c r="A1030">
        <f t="shared" si="32"/>
        <v>1028</v>
      </c>
      <c r="B1030">
        <v>10280</v>
      </c>
      <c r="C1030">
        <v>228536</v>
      </c>
      <c r="D1030">
        <f t="shared" si="33"/>
        <v>2285.36</v>
      </c>
    </row>
    <row r="1031" spans="1:4">
      <c r="A1031">
        <f t="shared" si="32"/>
        <v>1029</v>
      </c>
      <c r="B1031">
        <v>10290</v>
      </c>
      <c r="C1031">
        <v>228758</v>
      </c>
      <c r="D1031">
        <f t="shared" si="33"/>
        <v>2287.58</v>
      </c>
    </row>
    <row r="1032" spans="1:4">
      <c r="A1032">
        <f t="shared" si="32"/>
        <v>1030</v>
      </c>
      <c r="B1032">
        <v>10300</v>
      </c>
      <c r="C1032">
        <v>228980</v>
      </c>
      <c r="D1032">
        <f t="shared" si="33"/>
        <v>2289.8000000000002</v>
      </c>
    </row>
    <row r="1033" spans="1:4">
      <c r="A1033">
        <f t="shared" si="32"/>
        <v>1031</v>
      </c>
      <c r="B1033">
        <v>10310</v>
      </c>
      <c r="C1033">
        <v>229202</v>
      </c>
      <c r="D1033">
        <f t="shared" si="33"/>
        <v>2292.02</v>
      </c>
    </row>
    <row r="1034" spans="1:4">
      <c r="A1034">
        <f t="shared" si="32"/>
        <v>1032</v>
      </c>
      <c r="B1034">
        <v>10320</v>
      </c>
      <c r="C1034">
        <v>229424</v>
      </c>
      <c r="D1034">
        <f t="shared" si="33"/>
        <v>2294.2399999999998</v>
      </c>
    </row>
    <row r="1035" spans="1:4">
      <c r="A1035">
        <f t="shared" si="32"/>
        <v>1033</v>
      </c>
      <c r="B1035">
        <v>10330</v>
      </c>
      <c r="C1035">
        <v>229646</v>
      </c>
      <c r="D1035">
        <f t="shared" si="33"/>
        <v>2296.46</v>
      </c>
    </row>
    <row r="1036" spans="1:4">
      <c r="A1036">
        <f t="shared" si="32"/>
        <v>1034</v>
      </c>
      <c r="B1036">
        <v>10340</v>
      </c>
      <c r="C1036">
        <v>229867</v>
      </c>
      <c r="D1036">
        <f t="shared" si="33"/>
        <v>2298.67</v>
      </c>
    </row>
    <row r="1037" spans="1:4">
      <c r="A1037">
        <f t="shared" si="32"/>
        <v>1035</v>
      </c>
      <c r="B1037">
        <v>10350</v>
      </c>
      <c r="C1037">
        <v>230089</v>
      </c>
      <c r="D1037">
        <f t="shared" si="33"/>
        <v>2300.89</v>
      </c>
    </row>
    <row r="1038" spans="1:4">
      <c r="A1038">
        <f t="shared" si="32"/>
        <v>1036</v>
      </c>
      <c r="B1038">
        <v>10360</v>
      </c>
      <c r="C1038">
        <v>230311</v>
      </c>
      <c r="D1038">
        <f t="shared" si="33"/>
        <v>2303.11</v>
      </c>
    </row>
    <row r="1039" spans="1:4">
      <c r="A1039">
        <f t="shared" si="32"/>
        <v>1037</v>
      </c>
      <c r="B1039">
        <v>10370</v>
      </c>
      <c r="C1039">
        <v>230533</v>
      </c>
      <c r="D1039">
        <f t="shared" si="33"/>
        <v>2305.33</v>
      </c>
    </row>
    <row r="1040" spans="1:4">
      <c r="A1040">
        <f t="shared" si="32"/>
        <v>1038</v>
      </c>
      <c r="B1040">
        <v>10380</v>
      </c>
      <c r="C1040">
        <v>230755</v>
      </c>
      <c r="D1040">
        <f t="shared" si="33"/>
        <v>2307.5500000000002</v>
      </c>
    </row>
    <row r="1041" spans="1:4">
      <c r="A1041">
        <f t="shared" si="32"/>
        <v>1039</v>
      </c>
      <c r="B1041">
        <v>10390</v>
      </c>
      <c r="C1041">
        <v>230977</v>
      </c>
      <c r="D1041">
        <f t="shared" si="33"/>
        <v>2309.77</v>
      </c>
    </row>
    <row r="1042" spans="1:4">
      <c r="A1042">
        <f t="shared" si="32"/>
        <v>1040</v>
      </c>
      <c r="B1042">
        <v>10400</v>
      </c>
      <c r="C1042">
        <v>231199</v>
      </c>
      <c r="D1042">
        <f t="shared" si="33"/>
        <v>2311.9899999999998</v>
      </c>
    </row>
    <row r="1043" spans="1:4">
      <c r="A1043">
        <f t="shared" si="32"/>
        <v>1041</v>
      </c>
      <c r="B1043">
        <v>10410</v>
      </c>
      <c r="C1043">
        <v>231421</v>
      </c>
      <c r="D1043">
        <f t="shared" si="33"/>
        <v>2314.21</v>
      </c>
    </row>
    <row r="1044" spans="1:4">
      <c r="A1044">
        <f t="shared" si="32"/>
        <v>1042</v>
      </c>
      <c r="B1044">
        <v>10420</v>
      </c>
      <c r="C1044">
        <v>231642</v>
      </c>
      <c r="D1044">
        <f t="shared" si="33"/>
        <v>2316.42</v>
      </c>
    </row>
    <row r="1045" spans="1:4">
      <c r="A1045">
        <f t="shared" si="32"/>
        <v>1043</v>
      </c>
      <c r="B1045">
        <v>10430</v>
      </c>
      <c r="C1045">
        <v>231864</v>
      </c>
      <c r="D1045">
        <f t="shared" si="33"/>
        <v>2318.64</v>
      </c>
    </row>
    <row r="1046" spans="1:4">
      <c r="A1046">
        <f t="shared" si="32"/>
        <v>1044</v>
      </c>
      <c r="B1046">
        <v>10440</v>
      </c>
      <c r="C1046">
        <v>232086</v>
      </c>
      <c r="D1046">
        <f t="shared" si="33"/>
        <v>2320.86</v>
      </c>
    </row>
    <row r="1047" spans="1:4">
      <c r="A1047">
        <f t="shared" si="32"/>
        <v>1045</v>
      </c>
      <c r="B1047">
        <v>10450</v>
      </c>
      <c r="C1047">
        <v>232308</v>
      </c>
      <c r="D1047">
        <f t="shared" si="33"/>
        <v>2323.08</v>
      </c>
    </row>
    <row r="1048" spans="1:4">
      <c r="A1048">
        <f t="shared" si="32"/>
        <v>1046</v>
      </c>
      <c r="B1048">
        <v>10460</v>
      </c>
      <c r="C1048">
        <v>232530</v>
      </c>
      <c r="D1048">
        <f t="shared" si="33"/>
        <v>2325.3000000000002</v>
      </c>
    </row>
    <row r="1049" spans="1:4">
      <c r="A1049">
        <f t="shared" si="32"/>
        <v>1047</v>
      </c>
      <c r="B1049">
        <v>10470</v>
      </c>
      <c r="C1049">
        <v>232752</v>
      </c>
      <c r="D1049">
        <f t="shared" si="33"/>
        <v>2327.52</v>
      </c>
    </row>
    <row r="1050" spans="1:4">
      <c r="A1050">
        <f t="shared" si="32"/>
        <v>1048</v>
      </c>
      <c r="B1050">
        <v>10480</v>
      </c>
      <c r="C1050">
        <v>232974</v>
      </c>
      <c r="D1050">
        <f t="shared" si="33"/>
        <v>2329.7399999999998</v>
      </c>
    </row>
    <row r="1051" spans="1:4">
      <c r="A1051">
        <f t="shared" si="32"/>
        <v>1049</v>
      </c>
      <c r="B1051">
        <v>10490</v>
      </c>
      <c r="C1051">
        <v>233196</v>
      </c>
      <c r="D1051">
        <f t="shared" si="33"/>
        <v>2331.96</v>
      </c>
    </row>
    <row r="1052" spans="1:4">
      <c r="A1052">
        <f t="shared" si="32"/>
        <v>1050</v>
      </c>
      <c r="B1052">
        <v>10500</v>
      </c>
      <c r="C1052">
        <v>233417</v>
      </c>
      <c r="D1052">
        <f t="shared" si="33"/>
        <v>2334.17</v>
      </c>
    </row>
    <row r="1053" spans="1:4">
      <c r="A1053">
        <f t="shared" si="32"/>
        <v>1051</v>
      </c>
      <c r="B1053">
        <v>10510</v>
      </c>
      <c r="C1053">
        <v>233639</v>
      </c>
      <c r="D1053">
        <f t="shared" si="33"/>
        <v>2336.39</v>
      </c>
    </row>
    <row r="1054" spans="1:4">
      <c r="A1054">
        <f t="shared" si="32"/>
        <v>1052</v>
      </c>
      <c r="B1054">
        <v>10520</v>
      </c>
      <c r="C1054">
        <v>233861</v>
      </c>
      <c r="D1054">
        <f t="shared" si="33"/>
        <v>2338.61</v>
      </c>
    </row>
    <row r="1055" spans="1:4">
      <c r="A1055">
        <f t="shared" si="32"/>
        <v>1053</v>
      </c>
      <c r="B1055">
        <v>10530</v>
      </c>
      <c r="C1055">
        <v>234083</v>
      </c>
      <c r="D1055">
        <f t="shared" si="33"/>
        <v>2340.83</v>
      </c>
    </row>
    <row r="1056" spans="1:4">
      <c r="A1056">
        <f t="shared" si="32"/>
        <v>1054</v>
      </c>
      <c r="B1056">
        <v>10540</v>
      </c>
      <c r="C1056">
        <v>234305</v>
      </c>
      <c r="D1056">
        <f t="shared" si="33"/>
        <v>2343.0500000000002</v>
      </c>
    </row>
    <row r="1057" spans="1:4">
      <c r="A1057">
        <f t="shared" si="32"/>
        <v>1055</v>
      </c>
      <c r="B1057">
        <v>10550</v>
      </c>
      <c r="C1057">
        <v>234527</v>
      </c>
      <c r="D1057">
        <f t="shared" si="33"/>
        <v>2345.27</v>
      </c>
    </row>
    <row r="1058" spans="1:4">
      <c r="A1058">
        <f t="shared" si="32"/>
        <v>1056</v>
      </c>
      <c r="B1058">
        <v>10560</v>
      </c>
      <c r="C1058">
        <v>234749</v>
      </c>
      <c r="D1058">
        <f t="shared" si="33"/>
        <v>2347.4899999999998</v>
      </c>
    </row>
    <row r="1059" spans="1:4">
      <c r="A1059">
        <f t="shared" si="32"/>
        <v>1057</v>
      </c>
      <c r="B1059">
        <v>10570</v>
      </c>
      <c r="C1059">
        <v>234970</v>
      </c>
      <c r="D1059">
        <f t="shared" si="33"/>
        <v>2349.6999999999998</v>
      </c>
    </row>
    <row r="1060" spans="1:4">
      <c r="A1060">
        <f t="shared" si="32"/>
        <v>1058</v>
      </c>
      <c r="B1060">
        <v>10580</v>
      </c>
      <c r="C1060">
        <v>235192</v>
      </c>
      <c r="D1060">
        <f t="shared" si="33"/>
        <v>2351.92</v>
      </c>
    </row>
    <row r="1061" spans="1:4">
      <c r="A1061">
        <f t="shared" si="32"/>
        <v>1059</v>
      </c>
      <c r="B1061">
        <v>10590</v>
      </c>
      <c r="C1061">
        <v>235414</v>
      </c>
      <c r="D1061">
        <f t="shared" si="33"/>
        <v>2354.14</v>
      </c>
    </row>
    <row r="1062" spans="1:4">
      <c r="A1062">
        <f t="shared" si="32"/>
        <v>1060</v>
      </c>
      <c r="B1062">
        <v>10600</v>
      </c>
      <c r="C1062">
        <v>235636</v>
      </c>
      <c r="D1062">
        <f t="shared" si="33"/>
        <v>2356.36</v>
      </c>
    </row>
    <row r="1063" spans="1:4">
      <c r="A1063">
        <f t="shared" si="32"/>
        <v>1061</v>
      </c>
      <c r="B1063">
        <v>10610</v>
      </c>
      <c r="C1063">
        <v>235858</v>
      </c>
      <c r="D1063">
        <f t="shared" si="33"/>
        <v>2358.58</v>
      </c>
    </row>
    <row r="1064" spans="1:4">
      <c r="A1064">
        <f t="shared" si="32"/>
        <v>1062</v>
      </c>
      <c r="B1064">
        <v>10620</v>
      </c>
      <c r="C1064">
        <v>236080</v>
      </c>
      <c r="D1064">
        <f t="shared" si="33"/>
        <v>2360.8000000000002</v>
      </c>
    </row>
    <row r="1065" spans="1:4">
      <c r="A1065">
        <f t="shared" si="32"/>
        <v>1063</v>
      </c>
      <c r="B1065">
        <v>10630</v>
      </c>
      <c r="C1065">
        <v>236302</v>
      </c>
      <c r="D1065">
        <f t="shared" si="33"/>
        <v>2363.02</v>
      </c>
    </row>
    <row r="1066" spans="1:4">
      <c r="A1066">
        <f t="shared" si="32"/>
        <v>1064</v>
      </c>
      <c r="B1066">
        <v>10640</v>
      </c>
      <c r="C1066">
        <v>236524</v>
      </c>
      <c r="D1066">
        <f t="shared" si="33"/>
        <v>2365.2399999999998</v>
      </c>
    </row>
    <row r="1067" spans="1:4">
      <c r="A1067">
        <f t="shared" si="32"/>
        <v>1065</v>
      </c>
      <c r="B1067">
        <v>10650</v>
      </c>
      <c r="C1067">
        <v>236745</v>
      </c>
      <c r="D1067">
        <f t="shared" si="33"/>
        <v>2367.4499999999998</v>
      </c>
    </row>
    <row r="1068" spans="1:4">
      <c r="A1068">
        <f t="shared" si="32"/>
        <v>1066</v>
      </c>
      <c r="B1068">
        <v>10660</v>
      </c>
      <c r="C1068">
        <v>236967</v>
      </c>
      <c r="D1068">
        <f t="shared" si="33"/>
        <v>2369.67</v>
      </c>
    </row>
    <row r="1069" spans="1:4">
      <c r="A1069">
        <f t="shared" si="32"/>
        <v>1067</v>
      </c>
      <c r="B1069">
        <v>10670</v>
      </c>
      <c r="C1069">
        <v>237187</v>
      </c>
      <c r="D1069">
        <f t="shared" si="33"/>
        <v>2371.87</v>
      </c>
    </row>
    <row r="1070" spans="1:4">
      <c r="A1070">
        <f t="shared" si="32"/>
        <v>1068</v>
      </c>
      <c r="B1070">
        <v>10680</v>
      </c>
      <c r="C1070">
        <v>237402</v>
      </c>
      <c r="D1070">
        <f t="shared" si="33"/>
        <v>2374.02</v>
      </c>
    </row>
    <row r="1071" spans="1:4">
      <c r="A1071">
        <f t="shared" si="32"/>
        <v>1069</v>
      </c>
      <c r="B1071">
        <v>10690</v>
      </c>
      <c r="C1071">
        <v>237624</v>
      </c>
      <c r="D1071">
        <f t="shared" si="33"/>
        <v>2376.2399999999998</v>
      </c>
    </row>
    <row r="1072" spans="1:4">
      <c r="A1072">
        <f t="shared" si="32"/>
        <v>1070</v>
      </c>
      <c r="B1072">
        <v>10700</v>
      </c>
      <c r="C1072">
        <v>237845</v>
      </c>
      <c r="D1072">
        <f t="shared" si="33"/>
        <v>2378.4499999999998</v>
      </c>
    </row>
    <row r="1073" spans="1:4">
      <c r="A1073">
        <f t="shared" si="32"/>
        <v>1071</v>
      </c>
      <c r="B1073">
        <v>10710</v>
      </c>
      <c r="C1073">
        <v>238065</v>
      </c>
      <c r="D1073">
        <f t="shared" si="33"/>
        <v>2380.65</v>
      </c>
    </row>
    <row r="1074" spans="1:4">
      <c r="A1074">
        <f t="shared" si="32"/>
        <v>1072</v>
      </c>
      <c r="B1074">
        <v>10720</v>
      </c>
      <c r="C1074">
        <v>238278</v>
      </c>
      <c r="D1074">
        <f t="shared" si="33"/>
        <v>2382.7800000000002</v>
      </c>
    </row>
    <row r="1075" spans="1:4">
      <c r="A1075">
        <f t="shared" si="32"/>
        <v>1073</v>
      </c>
      <c r="B1075">
        <v>10730</v>
      </c>
      <c r="C1075">
        <v>238483</v>
      </c>
      <c r="D1075">
        <f t="shared" si="33"/>
        <v>2384.83</v>
      </c>
    </row>
    <row r="1076" spans="1:4">
      <c r="A1076">
        <f t="shared" si="32"/>
        <v>1074</v>
      </c>
      <c r="B1076">
        <v>10740</v>
      </c>
      <c r="C1076">
        <v>238682</v>
      </c>
      <c r="D1076">
        <f t="shared" si="33"/>
        <v>2386.8200000000002</v>
      </c>
    </row>
    <row r="1077" spans="1:4">
      <c r="A1077">
        <f t="shared" si="32"/>
        <v>1075</v>
      </c>
      <c r="B1077">
        <v>10750</v>
      </c>
      <c r="C1077">
        <v>238872</v>
      </c>
      <c r="D1077">
        <f t="shared" si="33"/>
        <v>2388.7199999999998</v>
      </c>
    </row>
    <row r="1078" spans="1:4">
      <c r="A1078">
        <f t="shared" si="32"/>
        <v>1076</v>
      </c>
      <c r="B1078">
        <v>10760</v>
      </c>
      <c r="C1078">
        <v>239057</v>
      </c>
      <c r="D1078">
        <f t="shared" si="33"/>
        <v>2390.5700000000002</v>
      </c>
    </row>
    <row r="1079" spans="1:4">
      <c r="A1079">
        <f t="shared" si="32"/>
        <v>1077</v>
      </c>
      <c r="B1079">
        <v>10770</v>
      </c>
      <c r="C1079">
        <v>239230</v>
      </c>
      <c r="D1079">
        <f t="shared" si="33"/>
        <v>2392.3000000000002</v>
      </c>
    </row>
    <row r="1080" spans="1:4">
      <c r="A1080">
        <f t="shared" si="32"/>
        <v>1078</v>
      </c>
      <c r="B1080">
        <v>10780</v>
      </c>
      <c r="C1080">
        <v>239398</v>
      </c>
      <c r="D1080">
        <f t="shared" si="33"/>
        <v>2393.98</v>
      </c>
    </row>
    <row r="1081" spans="1:4">
      <c r="A1081">
        <f t="shared" si="32"/>
        <v>1079</v>
      </c>
      <c r="B1081">
        <v>10790</v>
      </c>
      <c r="C1081">
        <v>239559</v>
      </c>
      <c r="D1081">
        <f t="shared" si="33"/>
        <v>2395.59</v>
      </c>
    </row>
    <row r="1082" spans="1:4">
      <c r="A1082">
        <f t="shared" si="32"/>
        <v>1080</v>
      </c>
      <c r="B1082">
        <v>10800</v>
      </c>
      <c r="C1082">
        <v>239712</v>
      </c>
      <c r="D1082">
        <f t="shared" si="33"/>
        <v>2397.12</v>
      </c>
    </row>
    <row r="1083" spans="1:4">
      <c r="A1083">
        <f t="shared" si="32"/>
        <v>1081</v>
      </c>
      <c r="B1083">
        <v>10810</v>
      </c>
      <c r="C1083">
        <v>239860</v>
      </c>
      <c r="D1083">
        <f t="shared" si="33"/>
        <v>2398.6</v>
      </c>
    </row>
    <row r="1084" spans="1:4">
      <c r="A1084">
        <f t="shared" si="32"/>
        <v>1082</v>
      </c>
      <c r="B1084">
        <v>10820</v>
      </c>
      <c r="C1084">
        <v>239999</v>
      </c>
      <c r="D1084">
        <f t="shared" si="33"/>
        <v>2399.9899999999998</v>
      </c>
    </row>
    <row r="1085" spans="1:4">
      <c r="A1085">
        <f t="shared" si="32"/>
        <v>1083</v>
      </c>
      <c r="B1085">
        <v>10830</v>
      </c>
      <c r="C1085">
        <v>240131</v>
      </c>
      <c r="D1085">
        <f t="shared" si="33"/>
        <v>2401.31</v>
      </c>
    </row>
    <row r="1086" spans="1:4">
      <c r="A1086">
        <f t="shared" si="32"/>
        <v>1084</v>
      </c>
      <c r="B1086">
        <v>10840</v>
      </c>
      <c r="C1086">
        <v>240259</v>
      </c>
      <c r="D1086">
        <f t="shared" si="33"/>
        <v>2402.59</v>
      </c>
    </row>
    <row r="1087" spans="1:4">
      <c r="A1087">
        <f t="shared" si="32"/>
        <v>1085</v>
      </c>
      <c r="B1087">
        <v>10850</v>
      </c>
      <c r="C1087">
        <v>240380</v>
      </c>
      <c r="D1087">
        <f t="shared" si="33"/>
        <v>2403.8000000000002</v>
      </c>
    </row>
    <row r="1088" spans="1:4">
      <c r="A1088">
        <f t="shared" si="32"/>
        <v>1086</v>
      </c>
      <c r="B1088">
        <v>10860</v>
      </c>
      <c r="C1088">
        <v>240496</v>
      </c>
      <c r="D1088">
        <f t="shared" si="33"/>
        <v>2404.96</v>
      </c>
    </row>
    <row r="1089" spans="1:4">
      <c r="A1089">
        <f t="shared" si="32"/>
        <v>1087</v>
      </c>
      <c r="B1089">
        <v>10870</v>
      </c>
      <c r="C1089">
        <v>240606</v>
      </c>
      <c r="D1089">
        <f t="shared" si="33"/>
        <v>2406.06</v>
      </c>
    </row>
    <row r="1090" spans="1:4">
      <c r="A1090">
        <f t="shared" si="32"/>
        <v>1088</v>
      </c>
      <c r="B1090">
        <v>10880</v>
      </c>
      <c r="C1090">
        <v>240712</v>
      </c>
      <c r="D1090">
        <f t="shared" si="33"/>
        <v>2407.12</v>
      </c>
    </row>
    <row r="1091" spans="1:4">
      <c r="A1091">
        <f t="shared" ref="A1091:A1152" si="34">$B1091/10</f>
        <v>1089</v>
      </c>
      <c r="B1091">
        <v>10890</v>
      </c>
      <c r="C1091">
        <v>240810</v>
      </c>
      <c r="D1091">
        <f t="shared" ref="D1091:D1153" si="35">$C1091/100</f>
        <v>2408.1</v>
      </c>
    </row>
    <row r="1092" spans="1:4">
      <c r="A1092">
        <f t="shared" si="34"/>
        <v>1090</v>
      </c>
      <c r="B1092">
        <v>10900</v>
      </c>
      <c r="C1092">
        <v>240904</v>
      </c>
      <c r="D1092">
        <f t="shared" si="35"/>
        <v>2409.04</v>
      </c>
    </row>
    <row r="1093" spans="1:4">
      <c r="A1093">
        <f t="shared" si="34"/>
        <v>1091</v>
      </c>
      <c r="B1093">
        <v>10910</v>
      </c>
      <c r="C1093">
        <v>240993</v>
      </c>
      <c r="D1093">
        <f t="shared" si="35"/>
        <v>2409.9299999999998</v>
      </c>
    </row>
    <row r="1094" spans="1:4">
      <c r="A1094">
        <f t="shared" si="34"/>
        <v>1092</v>
      </c>
      <c r="B1094">
        <v>10920</v>
      </c>
      <c r="C1094">
        <v>241075</v>
      </c>
      <c r="D1094">
        <f t="shared" si="35"/>
        <v>2410.75</v>
      </c>
    </row>
    <row r="1095" spans="1:4">
      <c r="A1095">
        <f t="shared" si="34"/>
        <v>1093</v>
      </c>
      <c r="B1095">
        <v>10930</v>
      </c>
      <c r="C1095">
        <v>241153</v>
      </c>
      <c r="D1095">
        <f t="shared" si="35"/>
        <v>2411.5300000000002</v>
      </c>
    </row>
    <row r="1096" spans="1:4">
      <c r="A1096">
        <f t="shared" si="34"/>
        <v>1094</v>
      </c>
      <c r="B1096">
        <v>10940</v>
      </c>
      <c r="C1096">
        <v>241226</v>
      </c>
      <c r="D1096">
        <f t="shared" si="35"/>
        <v>2412.2600000000002</v>
      </c>
    </row>
    <row r="1097" spans="1:4">
      <c r="A1097">
        <f t="shared" si="34"/>
        <v>1095</v>
      </c>
      <c r="B1097">
        <v>10950</v>
      </c>
      <c r="C1097">
        <v>241297</v>
      </c>
      <c r="D1097">
        <f t="shared" si="35"/>
        <v>2412.9699999999998</v>
      </c>
    </row>
    <row r="1098" spans="1:4">
      <c r="A1098">
        <f t="shared" si="34"/>
        <v>1096</v>
      </c>
      <c r="B1098">
        <v>10960</v>
      </c>
      <c r="C1098">
        <v>241360</v>
      </c>
      <c r="D1098">
        <f t="shared" si="35"/>
        <v>2413.6</v>
      </c>
    </row>
    <row r="1099" spans="1:4">
      <c r="A1099">
        <f t="shared" si="34"/>
        <v>1097</v>
      </c>
      <c r="B1099">
        <v>10970</v>
      </c>
      <c r="C1099">
        <v>241420</v>
      </c>
      <c r="D1099">
        <f t="shared" si="35"/>
        <v>2414.1999999999998</v>
      </c>
    </row>
    <row r="1100" spans="1:4">
      <c r="A1100">
        <f t="shared" si="34"/>
        <v>1098</v>
      </c>
      <c r="B1100">
        <v>10980</v>
      </c>
      <c r="C1100">
        <v>241477</v>
      </c>
      <c r="D1100">
        <f t="shared" si="35"/>
        <v>2414.77</v>
      </c>
    </row>
    <row r="1101" spans="1:4">
      <c r="A1101">
        <f t="shared" si="34"/>
        <v>1099</v>
      </c>
      <c r="B1101">
        <v>10990</v>
      </c>
      <c r="C1101">
        <v>241530</v>
      </c>
      <c r="D1101">
        <f t="shared" si="35"/>
        <v>2415.3000000000002</v>
      </c>
    </row>
    <row r="1102" spans="1:4">
      <c r="A1102">
        <f t="shared" si="34"/>
        <v>1100</v>
      </c>
      <c r="B1102">
        <v>11000</v>
      </c>
      <c r="C1102">
        <v>241580</v>
      </c>
      <c r="D1102">
        <f t="shared" si="35"/>
        <v>2415.8000000000002</v>
      </c>
    </row>
    <row r="1103" spans="1:4">
      <c r="A1103">
        <f t="shared" si="34"/>
        <v>1101</v>
      </c>
      <c r="B1103">
        <v>11010</v>
      </c>
      <c r="C1103">
        <v>241628</v>
      </c>
      <c r="D1103">
        <f t="shared" si="35"/>
        <v>2416.2800000000002</v>
      </c>
    </row>
    <row r="1104" spans="1:4">
      <c r="A1104">
        <f t="shared" si="34"/>
        <v>1102</v>
      </c>
      <c r="B1104">
        <v>11020</v>
      </c>
      <c r="C1104">
        <v>241671</v>
      </c>
      <c r="D1104">
        <f t="shared" si="35"/>
        <v>2416.71</v>
      </c>
    </row>
    <row r="1105" spans="1:4">
      <c r="A1105">
        <f t="shared" si="34"/>
        <v>1103</v>
      </c>
      <c r="B1105">
        <v>11030</v>
      </c>
      <c r="C1105">
        <v>241710</v>
      </c>
      <c r="D1105">
        <f t="shared" si="35"/>
        <v>2417.1</v>
      </c>
    </row>
    <row r="1106" spans="1:4">
      <c r="A1106">
        <f t="shared" si="34"/>
        <v>1104</v>
      </c>
      <c r="B1106">
        <v>11040</v>
      </c>
      <c r="C1106">
        <v>241747</v>
      </c>
      <c r="D1106">
        <f t="shared" si="35"/>
        <v>2417.4699999999998</v>
      </c>
    </row>
    <row r="1107" spans="1:4">
      <c r="A1107">
        <f t="shared" si="34"/>
        <v>1105</v>
      </c>
      <c r="B1107">
        <v>11050</v>
      </c>
      <c r="C1107">
        <v>241780</v>
      </c>
      <c r="D1107">
        <f t="shared" si="35"/>
        <v>2417.8000000000002</v>
      </c>
    </row>
    <row r="1108" spans="1:4">
      <c r="A1108">
        <f t="shared" si="34"/>
        <v>1106</v>
      </c>
      <c r="B1108">
        <v>11060</v>
      </c>
      <c r="C1108">
        <v>241807</v>
      </c>
      <c r="D1108">
        <f t="shared" si="35"/>
        <v>2418.0700000000002</v>
      </c>
    </row>
    <row r="1109" spans="1:4">
      <c r="A1109">
        <f t="shared" si="34"/>
        <v>1107</v>
      </c>
      <c r="B1109">
        <v>11070</v>
      </c>
      <c r="C1109">
        <v>241836</v>
      </c>
      <c r="D1109">
        <f t="shared" si="35"/>
        <v>2418.36</v>
      </c>
    </row>
    <row r="1110" spans="1:4">
      <c r="A1110">
        <f t="shared" si="34"/>
        <v>1108</v>
      </c>
      <c r="B1110">
        <v>11080</v>
      </c>
      <c r="C1110">
        <v>241862</v>
      </c>
      <c r="D1110">
        <f t="shared" si="35"/>
        <v>2418.62</v>
      </c>
    </row>
    <row r="1111" spans="1:4">
      <c r="A1111">
        <f t="shared" si="34"/>
        <v>1109</v>
      </c>
      <c r="B1111">
        <v>11090</v>
      </c>
      <c r="C1111">
        <v>241884</v>
      </c>
      <c r="D1111">
        <f t="shared" si="35"/>
        <v>2418.84</v>
      </c>
    </row>
    <row r="1112" spans="1:4">
      <c r="A1112">
        <f t="shared" si="34"/>
        <v>1110</v>
      </c>
      <c r="B1112">
        <v>11100</v>
      </c>
      <c r="C1112">
        <v>241906</v>
      </c>
      <c r="D1112">
        <f t="shared" si="35"/>
        <v>2419.06</v>
      </c>
    </row>
    <row r="1113" spans="1:4">
      <c r="A1113">
        <f t="shared" si="34"/>
        <v>1111</v>
      </c>
      <c r="B1113">
        <v>11110</v>
      </c>
      <c r="C1113">
        <v>241926</v>
      </c>
      <c r="D1113">
        <f t="shared" si="35"/>
        <v>2419.2600000000002</v>
      </c>
    </row>
    <row r="1114" spans="1:4">
      <c r="A1114">
        <f t="shared" si="34"/>
        <v>1112</v>
      </c>
      <c r="B1114">
        <v>11120</v>
      </c>
      <c r="C1114">
        <v>241943</v>
      </c>
      <c r="D1114">
        <f t="shared" si="35"/>
        <v>2419.4299999999998</v>
      </c>
    </row>
    <row r="1115" spans="1:4">
      <c r="A1115">
        <f t="shared" si="34"/>
        <v>1113</v>
      </c>
      <c r="B1115">
        <v>11130</v>
      </c>
      <c r="C1115">
        <v>241959</v>
      </c>
      <c r="D1115">
        <f t="shared" si="35"/>
        <v>2419.59</v>
      </c>
    </row>
    <row r="1116" spans="1:4">
      <c r="A1116">
        <f t="shared" si="34"/>
        <v>1114</v>
      </c>
      <c r="B1116">
        <v>11140</v>
      </c>
      <c r="C1116">
        <v>241974</v>
      </c>
      <c r="D1116">
        <f t="shared" si="35"/>
        <v>2419.7399999999998</v>
      </c>
    </row>
    <row r="1117" spans="1:4">
      <c r="A1117">
        <f t="shared" si="34"/>
        <v>1115</v>
      </c>
      <c r="B1117">
        <v>11150</v>
      </c>
      <c r="C1117">
        <v>241987</v>
      </c>
      <c r="D1117">
        <f t="shared" si="35"/>
        <v>2419.87</v>
      </c>
    </row>
    <row r="1118" spans="1:4">
      <c r="A1118">
        <f t="shared" si="34"/>
        <v>1116</v>
      </c>
      <c r="B1118">
        <v>11160</v>
      </c>
      <c r="C1118">
        <v>241999</v>
      </c>
      <c r="D1118">
        <f t="shared" si="35"/>
        <v>2419.9899999999998</v>
      </c>
    </row>
    <row r="1119" spans="1:4">
      <c r="A1119">
        <f t="shared" si="34"/>
        <v>1117</v>
      </c>
      <c r="B1119">
        <v>11170</v>
      </c>
      <c r="C1119">
        <v>242010</v>
      </c>
      <c r="D1119">
        <f t="shared" si="35"/>
        <v>2420.1</v>
      </c>
    </row>
    <row r="1120" spans="1:4">
      <c r="A1120">
        <f t="shared" si="34"/>
        <v>1118</v>
      </c>
      <c r="B1120">
        <v>11180</v>
      </c>
      <c r="C1120">
        <v>242020</v>
      </c>
      <c r="D1120">
        <f t="shared" si="35"/>
        <v>2420.1999999999998</v>
      </c>
    </row>
    <row r="1121" spans="1:4">
      <c r="A1121">
        <f t="shared" si="34"/>
        <v>1119</v>
      </c>
      <c r="B1121">
        <v>11190</v>
      </c>
      <c r="C1121">
        <v>242029</v>
      </c>
      <c r="D1121">
        <f t="shared" si="35"/>
        <v>2420.29</v>
      </c>
    </row>
    <row r="1122" spans="1:4">
      <c r="A1122">
        <f t="shared" si="34"/>
        <v>1120</v>
      </c>
      <c r="B1122">
        <v>11200</v>
      </c>
      <c r="C1122">
        <v>242037</v>
      </c>
      <c r="D1122">
        <f t="shared" si="35"/>
        <v>2420.37</v>
      </c>
    </row>
    <row r="1123" spans="1:4">
      <c r="A1123">
        <f t="shared" si="34"/>
        <v>1121</v>
      </c>
      <c r="B1123">
        <v>11210</v>
      </c>
      <c r="C1123">
        <v>242046</v>
      </c>
      <c r="D1123">
        <f t="shared" si="35"/>
        <v>2420.46</v>
      </c>
    </row>
    <row r="1124" spans="1:4">
      <c r="A1124">
        <f t="shared" si="34"/>
        <v>1122</v>
      </c>
      <c r="B1124">
        <v>11220</v>
      </c>
      <c r="C1124">
        <v>242053</v>
      </c>
      <c r="D1124">
        <f t="shared" si="35"/>
        <v>2420.5300000000002</v>
      </c>
    </row>
    <row r="1125" spans="1:4">
      <c r="A1125">
        <f t="shared" si="34"/>
        <v>1123</v>
      </c>
      <c r="B1125">
        <v>11230</v>
      </c>
      <c r="C1125">
        <v>242061</v>
      </c>
      <c r="D1125">
        <f t="shared" si="35"/>
        <v>2420.61</v>
      </c>
    </row>
    <row r="1126" spans="1:4">
      <c r="A1126">
        <f t="shared" si="34"/>
        <v>1124</v>
      </c>
      <c r="B1126">
        <v>11240</v>
      </c>
      <c r="C1126">
        <v>242069</v>
      </c>
      <c r="D1126">
        <f t="shared" si="35"/>
        <v>2420.69</v>
      </c>
    </row>
    <row r="1127" spans="1:4">
      <c r="A1127">
        <f t="shared" si="34"/>
        <v>1125</v>
      </c>
      <c r="B1127">
        <v>11250</v>
      </c>
      <c r="C1127">
        <v>242077</v>
      </c>
      <c r="D1127">
        <f t="shared" si="35"/>
        <v>2420.77</v>
      </c>
    </row>
    <row r="1128" spans="1:4">
      <c r="A1128">
        <f t="shared" si="34"/>
        <v>1126</v>
      </c>
      <c r="B1128">
        <v>11260</v>
      </c>
      <c r="C1128">
        <v>242084</v>
      </c>
      <c r="D1128">
        <f t="shared" si="35"/>
        <v>2420.84</v>
      </c>
    </row>
    <row r="1129" spans="1:4">
      <c r="A1129">
        <f t="shared" si="34"/>
        <v>1127</v>
      </c>
      <c r="B1129">
        <v>11270</v>
      </c>
      <c r="C1129">
        <v>242092</v>
      </c>
      <c r="D1129">
        <f t="shared" si="35"/>
        <v>2420.92</v>
      </c>
    </row>
    <row r="1130" spans="1:4">
      <c r="A1130">
        <f t="shared" si="34"/>
        <v>1128</v>
      </c>
      <c r="B1130">
        <v>11280</v>
      </c>
      <c r="C1130">
        <v>242100</v>
      </c>
      <c r="D1130">
        <f t="shared" si="35"/>
        <v>2421</v>
      </c>
    </row>
    <row r="1131" spans="1:4">
      <c r="A1131">
        <f t="shared" si="34"/>
        <v>1129</v>
      </c>
      <c r="B1131">
        <v>11290</v>
      </c>
      <c r="C1131">
        <v>242107</v>
      </c>
      <c r="D1131">
        <f t="shared" si="35"/>
        <v>2421.0700000000002</v>
      </c>
    </row>
    <row r="1132" spans="1:4">
      <c r="A1132">
        <f t="shared" si="34"/>
        <v>1130</v>
      </c>
      <c r="B1132">
        <v>11300</v>
      </c>
      <c r="C1132">
        <v>242115</v>
      </c>
      <c r="D1132">
        <f t="shared" si="35"/>
        <v>2421.15</v>
      </c>
    </row>
    <row r="1133" spans="1:4">
      <c r="A1133">
        <f t="shared" si="34"/>
        <v>1131</v>
      </c>
      <c r="B1133">
        <v>11310</v>
      </c>
      <c r="C1133">
        <v>242123</v>
      </c>
      <c r="D1133">
        <f t="shared" si="35"/>
        <v>2421.23</v>
      </c>
    </row>
    <row r="1134" spans="1:4">
      <c r="A1134">
        <f t="shared" si="34"/>
        <v>1132</v>
      </c>
      <c r="B1134">
        <v>11320</v>
      </c>
      <c r="C1134">
        <v>242130</v>
      </c>
      <c r="D1134">
        <f t="shared" si="35"/>
        <v>2421.3000000000002</v>
      </c>
    </row>
    <row r="1135" spans="1:4">
      <c r="A1135">
        <f t="shared" si="34"/>
        <v>1133</v>
      </c>
      <c r="B1135">
        <v>11330</v>
      </c>
      <c r="C1135">
        <v>242138</v>
      </c>
      <c r="D1135">
        <f t="shared" si="35"/>
        <v>2421.38</v>
      </c>
    </row>
    <row r="1136" spans="1:4">
      <c r="A1136">
        <f t="shared" si="34"/>
        <v>1134</v>
      </c>
      <c r="B1136">
        <v>11340</v>
      </c>
      <c r="C1136">
        <v>242146</v>
      </c>
      <c r="D1136">
        <f t="shared" si="35"/>
        <v>2421.46</v>
      </c>
    </row>
    <row r="1137" spans="1:4">
      <c r="A1137">
        <f t="shared" si="34"/>
        <v>1135</v>
      </c>
      <c r="B1137">
        <v>11350</v>
      </c>
      <c r="C1137">
        <v>242154</v>
      </c>
      <c r="D1137">
        <f t="shared" si="35"/>
        <v>2421.54</v>
      </c>
    </row>
    <row r="1138" spans="1:4">
      <c r="A1138">
        <f t="shared" si="34"/>
        <v>1136</v>
      </c>
      <c r="B1138">
        <v>11360</v>
      </c>
      <c r="C1138">
        <v>242161</v>
      </c>
      <c r="D1138">
        <f t="shared" si="35"/>
        <v>2421.61</v>
      </c>
    </row>
    <row r="1139" spans="1:4">
      <c r="A1139">
        <f t="shared" si="34"/>
        <v>1137</v>
      </c>
      <c r="B1139">
        <v>11370</v>
      </c>
      <c r="C1139">
        <v>242169</v>
      </c>
      <c r="D1139">
        <f t="shared" si="35"/>
        <v>2421.69</v>
      </c>
    </row>
    <row r="1140" spans="1:4">
      <c r="A1140">
        <f t="shared" si="34"/>
        <v>1138</v>
      </c>
      <c r="B1140">
        <v>11380</v>
      </c>
      <c r="C1140">
        <v>242177</v>
      </c>
      <c r="D1140">
        <f t="shared" si="35"/>
        <v>2421.77</v>
      </c>
    </row>
    <row r="1141" spans="1:4">
      <c r="A1141">
        <f t="shared" si="34"/>
        <v>1139</v>
      </c>
      <c r="B1141">
        <v>11390</v>
      </c>
      <c r="C1141">
        <v>242184</v>
      </c>
      <c r="D1141">
        <f t="shared" si="35"/>
        <v>2421.84</v>
      </c>
    </row>
    <row r="1142" spans="1:4">
      <c r="A1142">
        <f t="shared" si="34"/>
        <v>1140</v>
      </c>
      <c r="B1142">
        <v>11400</v>
      </c>
      <c r="C1142">
        <v>242192</v>
      </c>
      <c r="D1142">
        <f t="shared" si="35"/>
        <v>2421.92</v>
      </c>
    </row>
    <row r="1143" spans="1:4">
      <c r="A1143">
        <f t="shared" si="34"/>
        <v>1141</v>
      </c>
      <c r="B1143">
        <v>11410</v>
      </c>
      <c r="C1143">
        <v>242200</v>
      </c>
      <c r="D1143">
        <f t="shared" si="35"/>
        <v>2422</v>
      </c>
    </row>
    <row r="1144" spans="1:4">
      <c r="A1144">
        <f t="shared" si="34"/>
        <v>1142</v>
      </c>
      <c r="B1144">
        <v>11420</v>
      </c>
      <c r="C1144">
        <v>242207</v>
      </c>
      <c r="D1144">
        <f t="shared" si="35"/>
        <v>2422.0700000000002</v>
      </c>
    </row>
    <row r="1145" spans="1:4">
      <c r="A1145">
        <f t="shared" si="34"/>
        <v>1143</v>
      </c>
      <c r="B1145">
        <v>11430</v>
      </c>
      <c r="C1145">
        <v>242215</v>
      </c>
      <c r="D1145">
        <f t="shared" si="35"/>
        <v>2422.15</v>
      </c>
    </row>
    <row r="1146" spans="1:4">
      <c r="A1146">
        <f t="shared" si="34"/>
        <v>1144</v>
      </c>
      <c r="B1146">
        <v>11440</v>
      </c>
      <c r="C1146">
        <v>242223</v>
      </c>
      <c r="D1146">
        <f t="shared" si="35"/>
        <v>2422.23</v>
      </c>
    </row>
    <row r="1147" spans="1:4">
      <c r="A1147">
        <f t="shared" si="34"/>
        <v>1145</v>
      </c>
      <c r="B1147">
        <v>11450</v>
      </c>
      <c r="C1147">
        <v>242231</v>
      </c>
      <c r="D1147">
        <f t="shared" si="35"/>
        <v>2422.31</v>
      </c>
    </row>
    <row r="1148" spans="1:4">
      <c r="A1148">
        <f t="shared" si="34"/>
        <v>1146</v>
      </c>
      <c r="B1148">
        <v>11460</v>
      </c>
      <c r="C1148">
        <v>242238</v>
      </c>
      <c r="D1148">
        <f t="shared" si="35"/>
        <v>2422.38</v>
      </c>
    </row>
    <row r="1149" spans="1:4">
      <c r="A1149">
        <f t="shared" si="34"/>
        <v>1147</v>
      </c>
      <c r="B1149">
        <v>11470</v>
      </c>
      <c r="C1149">
        <v>242246</v>
      </c>
      <c r="D1149">
        <f t="shared" si="35"/>
        <v>2422.46</v>
      </c>
    </row>
    <row r="1150" spans="1:4">
      <c r="A1150">
        <f t="shared" si="34"/>
        <v>1148</v>
      </c>
      <c r="B1150">
        <v>11480</v>
      </c>
      <c r="C1150">
        <v>242253</v>
      </c>
      <c r="D1150">
        <f t="shared" si="35"/>
        <v>2422.5300000000002</v>
      </c>
    </row>
    <row r="1151" spans="1:4">
      <c r="A1151">
        <f t="shared" si="34"/>
        <v>1149</v>
      </c>
      <c r="B1151">
        <v>11490</v>
      </c>
      <c r="C1151">
        <v>242255</v>
      </c>
      <c r="D1151">
        <f t="shared" si="35"/>
        <v>2422.5500000000002</v>
      </c>
    </row>
    <row r="1152" spans="1:4">
      <c r="A1152">
        <f t="shared" si="34"/>
        <v>1150</v>
      </c>
      <c r="B1152">
        <v>11500</v>
      </c>
      <c r="C1152">
        <v>242257</v>
      </c>
      <c r="D1152">
        <f t="shared" si="35"/>
        <v>2422.5700000000002</v>
      </c>
    </row>
    <row r="1153" spans="1:4">
      <c r="A1153">
        <v>1160</v>
      </c>
      <c r="B1153" t="s">
        <v>6</v>
      </c>
      <c r="C1153">
        <v>242267</v>
      </c>
      <c r="D1153">
        <f t="shared" si="35"/>
        <v>2422.67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20"/>
  <dimension ref="A1:AA672"/>
  <sheetViews>
    <sheetView topLeftCell="M1" zoomScaleNormal="100" workbookViewId="0">
      <selection activeCell="Z8" sqref="Z8"/>
    </sheetView>
  </sheetViews>
  <sheetFormatPr baseColWidth="10" defaultColWidth="11.3984375" defaultRowHeight="14.25"/>
  <cols>
    <col min="4" max="4" width="20.59765625" bestFit="1" customWidth="1"/>
    <col min="7" max="7" width="13.3984375" customWidth="1"/>
    <col min="8" max="8" width="26.3984375" bestFit="1" customWidth="1"/>
    <col min="16" max="16" width="12.59765625" bestFit="1" customWidth="1"/>
    <col min="21" max="21" width="13.3984375" bestFit="1" customWidth="1"/>
  </cols>
  <sheetData>
    <row r="1" spans="1:27">
      <c r="A1">
        <f>PI()</f>
        <v>3.1415926535897931</v>
      </c>
      <c r="B1" t="s">
        <v>7</v>
      </c>
      <c r="E1" t="s">
        <v>8</v>
      </c>
      <c r="Y1" t="s">
        <v>9</v>
      </c>
      <c r="Z1" t="s">
        <v>10</v>
      </c>
      <c r="AA1" t="s">
        <v>11</v>
      </c>
    </row>
    <row r="2" spans="1:27">
      <c r="Y2">
        <v>670</v>
      </c>
      <c r="Z2" s="30">
        <v>846.58395868276318</v>
      </c>
      <c r="AA2">
        <v>0</v>
      </c>
    </row>
    <row r="3" spans="1:27">
      <c r="Y3">
        <v>669</v>
      </c>
      <c r="Z3" s="30">
        <v>846.58395868276318</v>
      </c>
      <c r="AA3">
        <v>1</v>
      </c>
    </row>
    <row r="4" spans="1:27">
      <c r="Y4">
        <v>668</v>
      </c>
      <c r="Z4" s="30">
        <v>846.58395868276318</v>
      </c>
      <c r="AA4">
        <v>2</v>
      </c>
    </row>
    <row r="5" spans="1:27">
      <c r="Y5">
        <v>667</v>
      </c>
      <c r="Z5" s="30">
        <v>846.58395868276318</v>
      </c>
      <c r="AA5">
        <v>3</v>
      </c>
    </row>
    <row r="6" spans="1:27">
      <c r="Y6">
        <v>666</v>
      </c>
      <c r="Z6" s="30">
        <v>846.58395868276318</v>
      </c>
      <c r="AA6">
        <v>4</v>
      </c>
    </row>
    <row r="7" spans="1:27">
      <c r="Y7">
        <v>665</v>
      </c>
      <c r="Z7" s="30">
        <v>846.58395868276318</v>
      </c>
      <c r="AA7">
        <v>5</v>
      </c>
    </row>
    <row r="8" spans="1:27">
      <c r="Y8">
        <v>664</v>
      </c>
      <c r="Z8" s="30">
        <v>846.58395868276318</v>
      </c>
      <c r="AA8">
        <v>6</v>
      </c>
    </row>
    <row r="9" spans="1:27">
      <c r="Y9">
        <v>663</v>
      </c>
      <c r="Z9" s="30">
        <v>846.58395868276318</v>
      </c>
      <c r="AA9">
        <v>7</v>
      </c>
    </row>
    <row r="10" spans="1:27">
      <c r="Y10">
        <v>662</v>
      </c>
      <c r="Z10" s="30">
        <v>846.58395868276318</v>
      </c>
      <c r="AA10">
        <v>8</v>
      </c>
    </row>
    <row r="11" spans="1:27">
      <c r="Y11">
        <v>661</v>
      </c>
      <c r="Z11" s="30">
        <v>846.58395868276318</v>
      </c>
      <c r="AA11">
        <v>9</v>
      </c>
    </row>
    <row r="12" spans="1:27">
      <c r="Y12">
        <v>660</v>
      </c>
      <c r="Z12" s="30">
        <v>846.58395868276318</v>
      </c>
      <c r="AA12">
        <v>10</v>
      </c>
    </row>
    <row r="13" spans="1:27">
      <c r="Y13">
        <v>659</v>
      </c>
      <c r="Z13" s="30">
        <v>846.58395868276318</v>
      </c>
      <c r="AA13">
        <v>11</v>
      </c>
    </row>
    <row r="14" spans="1:27">
      <c r="Y14">
        <v>658</v>
      </c>
      <c r="Z14" s="30">
        <v>846.58395868276318</v>
      </c>
      <c r="AA14">
        <v>12</v>
      </c>
    </row>
    <row r="15" spans="1:27">
      <c r="Y15">
        <v>657</v>
      </c>
      <c r="Z15" s="30">
        <v>846.58395868276318</v>
      </c>
      <c r="AA15">
        <v>13</v>
      </c>
    </row>
    <row r="16" spans="1:27">
      <c r="S16" t="s">
        <v>12</v>
      </c>
      <c r="Y16">
        <v>656</v>
      </c>
      <c r="Z16" s="30">
        <v>846.58395868276318</v>
      </c>
      <c r="AA16">
        <v>14</v>
      </c>
    </row>
    <row r="17" spans="1:27">
      <c r="Y17">
        <v>655</v>
      </c>
      <c r="Z17" s="30">
        <v>846.58395868276318</v>
      </c>
      <c r="AA17">
        <v>15</v>
      </c>
    </row>
    <row r="18" spans="1:27">
      <c r="Y18">
        <v>654</v>
      </c>
      <c r="Z18" s="30">
        <v>846.58395868276318</v>
      </c>
      <c r="AA18">
        <v>16</v>
      </c>
    </row>
    <row r="19" spans="1:27">
      <c r="Y19">
        <v>653</v>
      </c>
      <c r="Z19" s="30">
        <v>846.58395868276318</v>
      </c>
      <c r="AA19">
        <v>17</v>
      </c>
    </row>
    <row r="20" spans="1:27">
      <c r="Y20">
        <v>652</v>
      </c>
      <c r="Z20" s="30">
        <v>846.58395868276318</v>
      </c>
      <c r="AA20">
        <v>18</v>
      </c>
    </row>
    <row r="21" spans="1:27">
      <c r="Y21">
        <v>651</v>
      </c>
      <c r="Z21" s="30">
        <v>846.58395868276318</v>
      </c>
      <c r="AA21">
        <v>19</v>
      </c>
    </row>
    <row r="22" spans="1:27">
      <c r="Y22">
        <v>650</v>
      </c>
      <c r="Z22" s="30">
        <v>846.58395868276318</v>
      </c>
      <c r="AA22">
        <v>20</v>
      </c>
    </row>
    <row r="23" spans="1:27">
      <c r="Y23">
        <v>649</v>
      </c>
      <c r="Z23" s="30">
        <v>846.58395868276318</v>
      </c>
      <c r="AA23">
        <v>21</v>
      </c>
    </row>
    <row r="24" spans="1:27">
      <c r="Y24">
        <v>648</v>
      </c>
      <c r="Z24" s="30">
        <v>846.58395868276318</v>
      </c>
      <c r="AA24">
        <v>22</v>
      </c>
    </row>
    <row r="25" spans="1:27">
      <c r="Y25">
        <v>647</v>
      </c>
      <c r="Z25" s="30">
        <v>846.58395868276318</v>
      </c>
      <c r="AA25">
        <v>23</v>
      </c>
    </row>
    <row r="26" spans="1:27">
      <c r="Y26">
        <v>646</v>
      </c>
      <c r="Z26" s="30">
        <v>846.58395868276318</v>
      </c>
      <c r="AA26">
        <v>24</v>
      </c>
    </row>
    <row r="27" spans="1:27">
      <c r="Y27">
        <v>645</v>
      </c>
      <c r="Z27" s="30">
        <v>846.58395868276318</v>
      </c>
      <c r="AA27">
        <v>25</v>
      </c>
    </row>
    <row r="28" spans="1:27" ht="21">
      <c r="K28" t="s">
        <v>13</v>
      </c>
      <c r="L28" t="s">
        <v>14</v>
      </c>
      <c r="Y28" s="31">
        <v>644</v>
      </c>
      <c r="Z28" s="30">
        <f>U36+$L$36+$H$36</f>
        <v>846.58395868276318</v>
      </c>
      <c r="AA28">
        <v>26</v>
      </c>
    </row>
    <row r="29" spans="1:27">
      <c r="K29">
        <f>500*$A$1*221.5^2</f>
        <v>77066802.084292904</v>
      </c>
      <c r="L29" s="23">
        <f>K29/100000</f>
        <v>770.66802084292908</v>
      </c>
      <c r="Y29">
        <v>643</v>
      </c>
      <c r="Z29" s="30">
        <f>U37+$L$36+$H$36</f>
        <v>845.07324385043887</v>
      </c>
      <c r="AA29">
        <v>27</v>
      </c>
    </row>
    <row r="30" spans="1:27">
      <c r="E30">
        <f>94^2+221.5^2</f>
        <v>57898.25</v>
      </c>
      <c r="Y30">
        <v>642</v>
      </c>
      <c r="Z30" s="30">
        <f t="shared" ref="Z30:Z79" si="0">U38+$L$36+$H$36</f>
        <v>843.62294939094852</v>
      </c>
      <c r="AA30">
        <v>28</v>
      </c>
    </row>
    <row r="31" spans="1:27">
      <c r="A31" t="s">
        <v>15</v>
      </c>
      <c r="B31">
        <f>($A$1*221.5^2*94)/3</f>
        <v>4829519.5972823557</v>
      </c>
      <c r="D31" t="s">
        <v>16</v>
      </c>
      <c r="E31">
        <f>SQRT(E30)</f>
        <v>240.62055190693914</v>
      </c>
      <c r="O31" t="s">
        <v>9</v>
      </c>
      <c r="P31">
        <v>50</v>
      </c>
      <c r="T31">
        <f>50^2+221.5^2</f>
        <v>51562.25</v>
      </c>
      <c r="V31" t="s">
        <v>17</v>
      </c>
      <c r="W31">
        <f>94+500+50</f>
        <v>644</v>
      </c>
      <c r="Y31">
        <v>641</v>
      </c>
      <c r="Z31" s="30">
        <f t="shared" si="0"/>
        <v>842.231842235459</v>
      </c>
      <c r="AA31">
        <v>29</v>
      </c>
    </row>
    <row r="32" spans="1:27">
      <c r="A32" t="s">
        <v>18</v>
      </c>
      <c r="B32">
        <v>94</v>
      </c>
      <c r="D32" t="s">
        <v>19</v>
      </c>
      <c r="E32">
        <f>(94/221.5)</f>
        <v>0.42437923250564336</v>
      </c>
      <c r="O32" t="s">
        <v>20</v>
      </c>
      <c r="P32">
        <f>($P$31*$A$1*221.5^2)/3</f>
        <v>2568893.4028097638</v>
      </c>
      <c r="S32" t="s">
        <v>16</v>
      </c>
      <c r="T32">
        <f>SQRT(T31)</f>
        <v>227.07322607476206</v>
      </c>
      <c r="Y32">
        <v>640</v>
      </c>
      <c r="Z32" s="30">
        <f t="shared" si="0"/>
        <v>840.89868931513683</v>
      </c>
      <c r="AA32">
        <v>30</v>
      </c>
    </row>
    <row r="33" spans="1:27">
      <c r="A33" t="s">
        <v>21</v>
      </c>
      <c r="B33">
        <f>B31/100000</f>
        <v>48.295195972823556</v>
      </c>
      <c r="D33" t="s">
        <v>22</v>
      </c>
      <c r="E33">
        <f>221.5/94</f>
        <v>2.3563829787234041</v>
      </c>
      <c r="O33" t="s">
        <v>14</v>
      </c>
      <c r="P33" s="30">
        <f>P32/100000</f>
        <v>25.688934028097638</v>
      </c>
      <c r="S33" t="s">
        <v>19</v>
      </c>
      <c r="T33">
        <f>(50/221.5)</f>
        <v>0.22573363431151242</v>
      </c>
      <c r="Y33">
        <v>639</v>
      </c>
      <c r="Z33" s="30">
        <f t="shared" si="0"/>
        <v>839.62225756114879</v>
      </c>
      <c r="AA33">
        <v>31</v>
      </c>
    </row>
    <row r="34" spans="1:27">
      <c r="S34" t="s">
        <v>22</v>
      </c>
      <c r="T34">
        <f>221.5/50</f>
        <v>4.43</v>
      </c>
      <c r="Y34">
        <v>638</v>
      </c>
      <c r="Z34" s="30">
        <f t="shared" si="0"/>
        <v>838.40131390466138</v>
      </c>
      <c r="AA34">
        <v>32</v>
      </c>
    </row>
    <row r="35" spans="1:27">
      <c r="C35" t="s">
        <v>9</v>
      </c>
      <c r="D35" t="s">
        <v>23</v>
      </c>
      <c r="F35" t="s">
        <v>24</v>
      </c>
      <c r="G35" t="s">
        <v>14</v>
      </c>
      <c r="H35" t="s">
        <v>25</v>
      </c>
      <c r="K35" t="s">
        <v>26</v>
      </c>
      <c r="L35" t="s">
        <v>14</v>
      </c>
      <c r="R35" t="s">
        <v>9</v>
      </c>
      <c r="S35" t="s">
        <v>23</v>
      </c>
      <c r="T35" t="s">
        <v>10</v>
      </c>
      <c r="U35" t="s">
        <v>14</v>
      </c>
      <c r="Y35">
        <v>637</v>
      </c>
      <c r="Z35" s="30">
        <f t="shared" si="0"/>
        <v>837.23462527684126</v>
      </c>
      <c r="AA35">
        <v>33</v>
      </c>
    </row>
    <row r="36" spans="1:27">
      <c r="A36">
        <f>B33</f>
        <v>48.295195972823556</v>
      </c>
      <c r="C36">
        <v>94</v>
      </c>
      <c r="D36">
        <f t="shared" ref="D36:D67" si="1">C36/$E$32</f>
        <v>221.5</v>
      </c>
      <c r="F36">
        <f>($A$1*D36^2*C36)/3</f>
        <v>4829519.5972823557</v>
      </c>
      <c r="G36" s="30">
        <f>F36/100000</f>
        <v>48.295195972823556</v>
      </c>
      <c r="H36" s="30">
        <f>G36*1.04</f>
        <v>50.227003811736502</v>
      </c>
      <c r="J36">
        <v>500</v>
      </c>
      <c r="K36">
        <f>$A$1*J36*221.5^2</f>
        <v>77066802.084292904</v>
      </c>
      <c r="L36" s="30">
        <f>K36/100000</f>
        <v>770.66802084292908</v>
      </c>
      <c r="R36">
        <v>50</v>
      </c>
      <c r="S36">
        <f>R36/$T$33</f>
        <v>221.5</v>
      </c>
      <c r="T36">
        <f>(R36*$A$1*S36^2)/3</f>
        <v>2568893.4028097638</v>
      </c>
      <c r="U36" s="30">
        <f>T36/100000</f>
        <v>25.688934028097638</v>
      </c>
      <c r="Y36">
        <v>636</v>
      </c>
      <c r="Z36" s="30">
        <f t="shared" si="0"/>
        <v>836.12095860885518</v>
      </c>
      <c r="AA36">
        <v>34</v>
      </c>
    </row>
    <row r="37" spans="1:27">
      <c r="A37">
        <v>47</v>
      </c>
      <c r="C37">
        <v>93</v>
      </c>
      <c r="D37">
        <f t="shared" si="1"/>
        <v>219.14361702127658</v>
      </c>
      <c r="F37">
        <f t="shared" ref="F37:F100" si="2">($A$1*D37^2*C37)/3</f>
        <v>4677019.8976999838</v>
      </c>
      <c r="G37" s="30">
        <f t="shared" ref="G37:G100" si="3">F37/100000</f>
        <v>46.770198976999836</v>
      </c>
      <c r="H37" s="30">
        <f t="shared" ref="H37:H100" si="4">G37*1.04</f>
        <v>48.641006936079833</v>
      </c>
      <c r="J37">
        <v>499</v>
      </c>
      <c r="K37">
        <f>$A$1*J37*221.5^2</f>
        <v>76912668.480124325</v>
      </c>
      <c r="L37" s="30">
        <f t="shared" ref="L37:L100" si="5">K37/100000</f>
        <v>769.1266848012433</v>
      </c>
      <c r="R37">
        <v>49</v>
      </c>
      <c r="S37">
        <f t="shared" ref="S37:S86" si="6">R37/$T$33</f>
        <v>217.07</v>
      </c>
      <c r="T37">
        <f t="shared" ref="T37:T86" si="7">(R37*$A$1*S37^2)/3</f>
        <v>2417821.9195773271</v>
      </c>
      <c r="U37" s="30">
        <f t="shared" ref="U37:U86" si="8">T37/100000</f>
        <v>24.17821919577327</v>
      </c>
      <c r="Y37">
        <v>635</v>
      </c>
      <c r="Z37" s="30">
        <f t="shared" si="0"/>
        <v>835.05908083186966</v>
      </c>
      <c r="AA37">
        <v>35</v>
      </c>
    </row>
    <row r="38" spans="1:27">
      <c r="A38">
        <v>46</v>
      </c>
      <c r="C38">
        <v>92</v>
      </c>
      <c r="D38">
        <f t="shared" si="1"/>
        <v>216.78723404255319</v>
      </c>
      <c r="F38">
        <f t="shared" si="2"/>
        <v>4527764.7488617683</v>
      </c>
      <c r="G38" s="30">
        <f t="shared" si="3"/>
        <v>45.277647488617681</v>
      </c>
      <c r="H38" s="30">
        <f t="shared" si="4"/>
        <v>47.088753388162388</v>
      </c>
      <c r="J38">
        <v>498</v>
      </c>
      <c r="K38">
        <f t="shared" ref="K38:K101" si="9">$A$1*J38*221.5^2</f>
        <v>76758534.875955746</v>
      </c>
      <c r="L38" s="30">
        <f t="shared" si="5"/>
        <v>767.58534875955741</v>
      </c>
      <c r="R38">
        <v>48</v>
      </c>
      <c r="S38">
        <f t="shared" si="6"/>
        <v>212.64</v>
      </c>
      <c r="T38">
        <f t="shared" si="7"/>
        <v>2272792.4736282988</v>
      </c>
      <c r="U38" s="30">
        <f t="shared" si="8"/>
        <v>22.72792473628299</v>
      </c>
      <c r="Y38">
        <v>634</v>
      </c>
      <c r="Z38" s="30">
        <f t="shared" si="0"/>
        <v>834.04775887705159</v>
      </c>
      <c r="AA38">
        <v>36</v>
      </c>
    </row>
    <row r="39" spans="1:27">
      <c r="A39">
        <v>45</v>
      </c>
      <c r="C39">
        <v>91</v>
      </c>
      <c r="D39">
        <f t="shared" si="1"/>
        <v>214.43085106382978</v>
      </c>
      <c r="F39">
        <f t="shared" si="2"/>
        <v>4381719.2631252976</v>
      </c>
      <c r="G39" s="30">
        <f t="shared" si="3"/>
        <v>43.817192631252979</v>
      </c>
      <c r="H39" s="30">
        <f t="shared" si="4"/>
        <v>45.569880336503097</v>
      </c>
      <c r="J39">
        <v>497</v>
      </c>
      <c r="K39">
        <f t="shared" si="9"/>
        <v>76604401.271787152</v>
      </c>
      <c r="L39" s="30">
        <f t="shared" si="5"/>
        <v>766.04401271787151</v>
      </c>
      <c r="R39">
        <v>47</v>
      </c>
      <c r="S39">
        <f t="shared" si="6"/>
        <v>208.21</v>
      </c>
      <c r="T39">
        <f t="shared" si="7"/>
        <v>2133681.7580793449</v>
      </c>
      <c r="U39" s="30">
        <f t="shared" si="8"/>
        <v>21.336817580793447</v>
      </c>
      <c r="Y39">
        <v>633</v>
      </c>
      <c r="Z39" s="30">
        <f t="shared" si="0"/>
        <v>833.08575967556737</v>
      </c>
      <c r="AA39">
        <v>37</v>
      </c>
    </row>
    <row r="40" spans="1:27">
      <c r="A40">
        <v>44</v>
      </c>
      <c r="C40">
        <v>90</v>
      </c>
      <c r="D40">
        <f t="shared" si="1"/>
        <v>212.07446808510639</v>
      </c>
      <c r="F40">
        <f t="shared" si="2"/>
        <v>4238848.5528481612</v>
      </c>
      <c r="G40" s="30">
        <f t="shared" si="3"/>
        <v>42.38848552848161</v>
      </c>
      <c r="H40" s="30">
        <f t="shared" si="4"/>
        <v>44.084024949620876</v>
      </c>
      <c r="J40">
        <v>496</v>
      </c>
      <c r="K40">
        <f t="shared" si="9"/>
        <v>76450267.667618573</v>
      </c>
      <c r="L40" s="30">
        <f t="shared" si="5"/>
        <v>764.50267667618573</v>
      </c>
      <c r="R40">
        <v>46</v>
      </c>
      <c r="S40">
        <f t="shared" si="6"/>
        <v>203.78</v>
      </c>
      <c r="T40">
        <f t="shared" si="7"/>
        <v>2000366.4660471294</v>
      </c>
      <c r="U40" s="30">
        <f t="shared" si="8"/>
        <v>20.003664660471294</v>
      </c>
      <c r="Y40">
        <v>632</v>
      </c>
      <c r="Z40" s="30">
        <f t="shared" si="0"/>
        <v>832.17185015858377</v>
      </c>
      <c r="AA40">
        <v>38</v>
      </c>
    </row>
    <row r="41" spans="1:27">
      <c r="A41">
        <v>43</v>
      </c>
      <c r="C41">
        <v>89</v>
      </c>
      <c r="D41">
        <f t="shared" si="1"/>
        <v>209.71808510638297</v>
      </c>
      <c r="F41">
        <f t="shared" si="2"/>
        <v>4099117.7303879503</v>
      </c>
      <c r="G41" s="30">
        <f t="shared" si="3"/>
        <v>40.991177303879503</v>
      </c>
      <c r="H41" s="30">
        <f t="shared" si="4"/>
        <v>42.630824396034683</v>
      </c>
      <c r="J41">
        <v>495</v>
      </c>
      <c r="K41">
        <f t="shared" si="9"/>
        <v>76296134.063449994</v>
      </c>
      <c r="L41" s="30">
        <f t="shared" si="5"/>
        <v>762.96134063449995</v>
      </c>
      <c r="R41">
        <v>45</v>
      </c>
      <c r="S41">
        <f t="shared" si="6"/>
        <v>199.35</v>
      </c>
      <c r="T41">
        <f t="shared" si="7"/>
        <v>1872723.2906483179</v>
      </c>
      <c r="U41" s="30">
        <f t="shared" si="8"/>
        <v>18.727232906483177</v>
      </c>
      <c r="Y41">
        <v>631</v>
      </c>
      <c r="Z41" s="30">
        <f t="shared" si="0"/>
        <v>831.30479725726741</v>
      </c>
      <c r="AA41">
        <v>39</v>
      </c>
    </row>
    <row r="42" spans="1:27">
      <c r="A42">
        <v>42</v>
      </c>
      <c r="C42">
        <v>88</v>
      </c>
      <c r="D42">
        <f t="shared" si="1"/>
        <v>207.36170212765956</v>
      </c>
      <c r="F42">
        <f t="shared" si="2"/>
        <v>3962491.9081022521</v>
      </c>
      <c r="G42" s="30">
        <f t="shared" si="3"/>
        <v>39.624919081022519</v>
      </c>
      <c r="H42" s="30">
        <f t="shared" si="4"/>
        <v>41.209915844263421</v>
      </c>
      <c r="J42">
        <v>494</v>
      </c>
      <c r="K42">
        <f t="shared" si="9"/>
        <v>76142000.4592814</v>
      </c>
      <c r="L42" s="30">
        <f t="shared" si="5"/>
        <v>761.42000459281405</v>
      </c>
      <c r="R42">
        <v>44</v>
      </c>
      <c r="S42">
        <f t="shared" si="6"/>
        <v>194.92</v>
      </c>
      <c r="T42">
        <f t="shared" si="7"/>
        <v>1750628.9249995749</v>
      </c>
      <c r="U42" s="30">
        <f t="shared" si="8"/>
        <v>17.506289249995749</v>
      </c>
      <c r="Y42">
        <v>630</v>
      </c>
      <c r="Z42" s="30">
        <f t="shared" si="0"/>
        <v>830.48336790278495</v>
      </c>
      <c r="AA42">
        <v>40</v>
      </c>
    </row>
    <row r="43" spans="1:27">
      <c r="A43">
        <v>41</v>
      </c>
      <c r="C43">
        <v>87</v>
      </c>
      <c r="D43">
        <f t="shared" si="1"/>
        <v>205.00531914893617</v>
      </c>
      <c r="F43">
        <f t="shared" si="2"/>
        <v>3828936.19834866</v>
      </c>
      <c r="G43" s="30">
        <f t="shared" si="3"/>
        <v>38.2893619834866</v>
      </c>
      <c r="H43" s="30">
        <f t="shared" si="4"/>
        <v>39.820936462826069</v>
      </c>
      <c r="J43">
        <v>493</v>
      </c>
      <c r="K43">
        <f t="shared" si="9"/>
        <v>75987866.855112821</v>
      </c>
      <c r="L43" s="30">
        <f t="shared" si="5"/>
        <v>759.87866855112816</v>
      </c>
      <c r="R43">
        <v>43</v>
      </c>
      <c r="S43">
        <f t="shared" si="6"/>
        <v>190.49</v>
      </c>
      <c r="T43">
        <f t="shared" si="7"/>
        <v>1633960.0622175673</v>
      </c>
      <c r="U43" s="30">
        <f t="shared" si="8"/>
        <v>16.339600622175674</v>
      </c>
      <c r="Y43">
        <v>629</v>
      </c>
      <c r="Z43" s="30">
        <f t="shared" si="0"/>
        <v>829.70632902630302</v>
      </c>
      <c r="AA43">
        <v>41</v>
      </c>
    </row>
    <row r="44" spans="1:27">
      <c r="A44">
        <v>40</v>
      </c>
      <c r="C44">
        <v>86</v>
      </c>
      <c r="D44">
        <f t="shared" si="1"/>
        <v>202.64893617021275</v>
      </c>
      <c r="F44">
        <f t="shared" si="2"/>
        <v>3698415.7134847599</v>
      </c>
      <c r="G44" s="30">
        <f t="shared" si="3"/>
        <v>36.984157134847599</v>
      </c>
      <c r="H44" s="30">
        <f t="shared" si="4"/>
        <v>38.463523420241508</v>
      </c>
      <c r="J44">
        <v>492</v>
      </c>
      <c r="K44">
        <f t="shared" si="9"/>
        <v>75833733.250944227</v>
      </c>
      <c r="L44" s="30">
        <f t="shared" si="5"/>
        <v>758.33733250944226</v>
      </c>
      <c r="R44">
        <v>42</v>
      </c>
      <c r="S44">
        <f t="shared" si="6"/>
        <v>186.06</v>
      </c>
      <c r="T44">
        <f t="shared" si="7"/>
        <v>1522593.3954189585</v>
      </c>
      <c r="U44" s="30">
        <f t="shared" si="8"/>
        <v>15.225933954189586</v>
      </c>
      <c r="Y44">
        <v>628</v>
      </c>
      <c r="Z44" s="30">
        <f t="shared" si="0"/>
        <v>828.97244755898839</v>
      </c>
      <c r="AA44">
        <v>42</v>
      </c>
    </row>
    <row r="45" spans="1:27">
      <c r="A45">
        <v>39</v>
      </c>
      <c r="C45">
        <v>85</v>
      </c>
      <c r="D45">
        <f t="shared" si="1"/>
        <v>200.29255319148936</v>
      </c>
      <c r="F45">
        <f t="shared" si="2"/>
        <v>3570895.5658681444</v>
      </c>
      <c r="G45" s="30">
        <f t="shared" si="3"/>
        <v>35.708955658681447</v>
      </c>
      <c r="H45" s="30">
        <f t="shared" si="4"/>
        <v>37.137313885028703</v>
      </c>
      <c r="J45">
        <v>491</v>
      </c>
      <c r="K45">
        <f t="shared" si="9"/>
        <v>75679599.646775648</v>
      </c>
      <c r="L45" s="30">
        <f t="shared" si="5"/>
        <v>756.79599646775648</v>
      </c>
      <c r="R45">
        <v>41</v>
      </c>
      <c r="S45">
        <f t="shared" si="6"/>
        <v>181.63</v>
      </c>
      <c r="T45">
        <f t="shared" si="7"/>
        <v>1416405.6177204137</v>
      </c>
      <c r="U45" s="30">
        <f t="shared" si="8"/>
        <v>14.164056177204138</v>
      </c>
      <c r="Y45">
        <v>627</v>
      </c>
      <c r="Z45" s="30">
        <f t="shared" si="0"/>
        <v>828.28049043200758</v>
      </c>
      <c r="AA45">
        <v>43</v>
      </c>
    </row>
    <row r="46" spans="1:27">
      <c r="A46">
        <v>38</v>
      </c>
      <c r="C46">
        <v>84</v>
      </c>
      <c r="D46">
        <f t="shared" si="1"/>
        <v>197.93617021276594</v>
      </c>
      <c r="F46">
        <f t="shared" si="2"/>
        <v>3446340.8678564006</v>
      </c>
      <c r="G46" s="30">
        <f t="shared" si="3"/>
        <v>34.463408678564008</v>
      </c>
      <c r="H46" s="30">
        <f t="shared" si="4"/>
        <v>35.841945025706572</v>
      </c>
      <c r="J46">
        <v>490</v>
      </c>
      <c r="K46">
        <f t="shared" si="9"/>
        <v>75525466.042607054</v>
      </c>
      <c r="L46" s="30">
        <f t="shared" si="5"/>
        <v>755.25466042607059</v>
      </c>
      <c r="R46">
        <v>40</v>
      </c>
      <c r="S46">
        <f t="shared" si="6"/>
        <v>177.2</v>
      </c>
      <c r="T46">
        <f t="shared" si="7"/>
        <v>1315273.4222385988</v>
      </c>
      <c r="U46" s="30">
        <f t="shared" si="8"/>
        <v>13.152734222385988</v>
      </c>
      <c r="Y46">
        <v>626</v>
      </c>
      <c r="Z46" s="30">
        <f t="shared" si="0"/>
        <v>827.62922457652724</v>
      </c>
      <c r="AA46">
        <v>44</v>
      </c>
    </row>
    <row r="47" spans="1:27">
      <c r="A47">
        <v>37</v>
      </c>
      <c r="C47">
        <v>83</v>
      </c>
      <c r="D47">
        <f t="shared" si="1"/>
        <v>195.57978723404256</v>
      </c>
      <c r="F47">
        <f t="shared" si="2"/>
        <v>3324716.731807122</v>
      </c>
      <c r="G47" s="30">
        <f t="shared" si="3"/>
        <v>33.24716731807122</v>
      </c>
      <c r="H47" s="30">
        <f t="shared" si="4"/>
        <v>34.577054010794072</v>
      </c>
      <c r="J47">
        <v>489</v>
      </c>
      <c r="K47">
        <f t="shared" si="9"/>
        <v>75371332.43843846</v>
      </c>
      <c r="L47" s="30">
        <f t="shared" si="5"/>
        <v>753.71332438438458</v>
      </c>
      <c r="R47">
        <v>39</v>
      </c>
      <c r="S47">
        <f t="shared" si="6"/>
        <v>172.77</v>
      </c>
      <c r="T47">
        <f t="shared" si="7"/>
        <v>1219073.5020901791</v>
      </c>
      <c r="U47" s="30">
        <f t="shared" si="8"/>
        <v>12.190735020901791</v>
      </c>
      <c r="Y47">
        <v>625</v>
      </c>
      <c r="Z47" s="30">
        <f t="shared" si="0"/>
        <v>827.01741692371399</v>
      </c>
      <c r="AA47">
        <v>45</v>
      </c>
    </row>
    <row r="48" spans="1:27">
      <c r="A48">
        <v>36</v>
      </c>
      <c r="C48">
        <v>82</v>
      </c>
      <c r="D48">
        <f t="shared" si="1"/>
        <v>193.22340425531914</v>
      </c>
      <c r="F48">
        <f t="shared" si="2"/>
        <v>3205988.270077894</v>
      </c>
      <c r="G48" s="30">
        <f t="shared" si="3"/>
        <v>32.059882700778942</v>
      </c>
      <c r="H48" s="30">
        <f t="shared" si="4"/>
        <v>33.342278008810098</v>
      </c>
      <c r="J48">
        <v>488</v>
      </c>
      <c r="K48">
        <f t="shared" si="9"/>
        <v>75217198.834269881</v>
      </c>
      <c r="L48" s="30">
        <f t="shared" si="5"/>
        <v>752.1719883426988</v>
      </c>
      <c r="R48">
        <v>38</v>
      </c>
      <c r="S48">
        <f t="shared" si="6"/>
        <v>168.34</v>
      </c>
      <c r="T48">
        <f t="shared" si="7"/>
        <v>1127682.5503918189</v>
      </c>
      <c r="U48" s="30">
        <f t="shared" si="8"/>
        <v>11.276825503918189</v>
      </c>
      <c r="Y48">
        <v>624</v>
      </c>
      <c r="Z48" s="30">
        <f t="shared" si="0"/>
        <v>826.44383440473462</v>
      </c>
      <c r="AA48">
        <v>46</v>
      </c>
    </row>
    <row r="49" spans="1:27">
      <c r="A49">
        <v>35</v>
      </c>
      <c r="C49">
        <v>81</v>
      </c>
      <c r="D49">
        <f t="shared" si="1"/>
        <v>190.86702127659575</v>
      </c>
      <c r="F49">
        <f t="shared" si="2"/>
        <v>3090120.5950263101</v>
      </c>
      <c r="G49" s="30">
        <f t="shared" si="3"/>
        <v>30.901205950263101</v>
      </c>
      <c r="H49" s="30">
        <f t="shared" si="4"/>
        <v>32.137254188273623</v>
      </c>
      <c r="J49">
        <v>487</v>
      </c>
      <c r="K49">
        <f t="shared" si="9"/>
        <v>75063065.230101287</v>
      </c>
      <c r="L49" s="30">
        <f t="shared" si="5"/>
        <v>750.6306523010129</v>
      </c>
      <c r="R49">
        <v>37</v>
      </c>
      <c r="S49">
        <f t="shared" si="6"/>
        <v>163.91</v>
      </c>
      <c r="T49">
        <f t="shared" si="7"/>
        <v>1040977.2602601837</v>
      </c>
      <c r="U49" s="30">
        <f t="shared" si="8"/>
        <v>10.409772602601837</v>
      </c>
      <c r="Y49">
        <v>623</v>
      </c>
      <c r="Z49" s="30">
        <f t="shared" si="0"/>
        <v>825.90724395075574</v>
      </c>
      <c r="AA49">
        <v>47</v>
      </c>
    </row>
    <row r="50" spans="1:27">
      <c r="A50">
        <v>34</v>
      </c>
      <c r="C50">
        <v>80</v>
      </c>
      <c r="D50">
        <f t="shared" si="1"/>
        <v>188.51063829787233</v>
      </c>
      <c r="F50">
        <f t="shared" si="2"/>
        <v>2977078.8190099574</v>
      </c>
      <c r="G50" s="30">
        <f t="shared" si="3"/>
        <v>29.770788190099573</v>
      </c>
      <c r="H50" s="30">
        <f t="shared" si="4"/>
        <v>30.961619717703556</v>
      </c>
      <c r="J50">
        <v>486</v>
      </c>
      <c r="K50">
        <f t="shared" si="9"/>
        <v>74908931.625932708</v>
      </c>
      <c r="L50" s="30">
        <f t="shared" si="5"/>
        <v>749.08931625932712</v>
      </c>
      <c r="R50">
        <v>36</v>
      </c>
      <c r="S50">
        <f t="shared" si="6"/>
        <v>159.47999999999999</v>
      </c>
      <c r="T50">
        <f t="shared" si="7"/>
        <v>958834.32481193857</v>
      </c>
      <c r="U50" s="30">
        <f t="shared" si="8"/>
        <v>9.5883432481193864</v>
      </c>
      <c r="Y50">
        <v>622</v>
      </c>
      <c r="Z50" s="30">
        <f t="shared" si="0"/>
        <v>825.40641249294401</v>
      </c>
      <c r="AA50">
        <v>48</v>
      </c>
    </row>
    <row r="51" spans="1:27">
      <c r="A51">
        <v>33</v>
      </c>
      <c r="C51">
        <v>79</v>
      </c>
      <c r="D51">
        <f t="shared" si="1"/>
        <v>186.15425531914892</v>
      </c>
      <c r="F51">
        <f t="shared" si="2"/>
        <v>2866828.0543864258</v>
      </c>
      <c r="G51" s="30">
        <f t="shared" si="3"/>
        <v>28.668280543864256</v>
      </c>
      <c r="H51" s="30">
        <f t="shared" si="4"/>
        <v>29.815011765618827</v>
      </c>
      <c r="J51">
        <v>485</v>
      </c>
      <c r="K51">
        <f t="shared" si="9"/>
        <v>74754798.021764129</v>
      </c>
      <c r="L51" s="30">
        <f t="shared" si="5"/>
        <v>747.54798021764134</v>
      </c>
      <c r="R51">
        <v>35</v>
      </c>
      <c r="S51">
        <f t="shared" si="6"/>
        <v>155.05000000000001</v>
      </c>
      <c r="T51">
        <f t="shared" si="7"/>
        <v>881130.43716374913</v>
      </c>
      <c r="U51" s="30">
        <f t="shared" si="8"/>
        <v>8.8113043716374921</v>
      </c>
      <c r="Y51">
        <v>621</v>
      </c>
      <c r="Z51" s="30">
        <f t="shared" si="0"/>
        <v>824.94010696246596</v>
      </c>
      <c r="AA51">
        <v>49</v>
      </c>
    </row>
    <row r="52" spans="1:27">
      <c r="A52">
        <v>32</v>
      </c>
      <c r="C52">
        <v>78</v>
      </c>
      <c r="D52">
        <f t="shared" si="1"/>
        <v>183.79787234042553</v>
      </c>
      <c r="F52">
        <f t="shared" si="2"/>
        <v>2759333.413513307</v>
      </c>
      <c r="G52" s="30">
        <f t="shared" si="3"/>
        <v>27.59333413513307</v>
      </c>
      <c r="H52" s="30">
        <f t="shared" si="4"/>
        <v>28.697067500538392</v>
      </c>
      <c r="J52">
        <v>484</v>
      </c>
      <c r="K52">
        <f t="shared" si="9"/>
        <v>74600664.41759555</v>
      </c>
      <c r="L52" s="30">
        <f t="shared" si="5"/>
        <v>746.00664417595556</v>
      </c>
      <c r="R52">
        <v>34</v>
      </c>
      <c r="S52">
        <f t="shared" si="6"/>
        <v>150.62</v>
      </c>
      <c r="T52">
        <f t="shared" si="7"/>
        <v>807742.29043227981</v>
      </c>
      <c r="U52" s="30">
        <f t="shared" si="8"/>
        <v>8.0774229043227983</v>
      </c>
      <c r="Y52">
        <v>620</v>
      </c>
      <c r="Z52" s="30">
        <f t="shared" si="0"/>
        <v>824.50709429048834</v>
      </c>
      <c r="AA52">
        <v>50</v>
      </c>
    </row>
    <row r="53" spans="1:27">
      <c r="A53">
        <v>31</v>
      </c>
      <c r="C53">
        <v>77</v>
      </c>
      <c r="D53">
        <f t="shared" si="1"/>
        <v>181.44148936170211</v>
      </c>
      <c r="F53">
        <f t="shared" si="2"/>
        <v>2654560.0087481886</v>
      </c>
      <c r="G53" s="30">
        <f t="shared" si="3"/>
        <v>26.545600087481887</v>
      </c>
      <c r="H53" s="30">
        <f t="shared" si="4"/>
        <v>27.607424090981162</v>
      </c>
      <c r="J53">
        <v>483</v>
      </c>
      <c r="K53">
        <f t="shared" si="9"/>
        <v>74446530.813426957</v>
      </c>
      <c r="L53" s="30">
        <f t="shared" si="5"/>
        <v>744.46530813426955</v>
      </c>
      <c r="R53">
        <v>33</v>
      </c>
      <c r="S53">
        <f t="shared" si="6"/>
        <v>146.19</v>
      </c>
      <c r="T53">
        <f t="shared" si="7"/>
        <v>738546.57773419598</v>
      </c>
      <c r="U53" s="30">
        <f t="shared" si="8"/>
        <v>7.3854657773419596</v>
      </c>
      <c r="Y53">
        <v>619</v>
      </c>
      <c r="Z53" s="30">
        <f t="shared" si="0"/>
        <v>824.10614140817779</v>
      </c>
      <c r="AA53">
        <v>51</v>
      </c>
    </row>
    <row r="54" spans="1:27">
      <c r="A54">
        <v>30</v>
      </c>
      <c r="C54">
        <v>76</v>
      </c>
      <c r="D54">
        <f t="shared" si="1"/>
        <v>179.08510638297872</v>
      </c>
      <c r="F54">
        <f t="shared" si="2"/>
        <v>2552472.9524486619</v>
      </c>
      <c r="G54" s="30">
        <f t="shared" si="3"/>
        <v>25.52472952448662</v>
      </c>
      <c r="H54" s="30">
        <f t="shared" si="4"/>
        <v>26.545718705466086</v>
      </c>
      <c r="J54">
        <v>482</v>
      </c>
      <c r="K54">
        <f t="shared" si="9"/>
        <v>74292397.209258378</v>
      </c>
      <c r="L54" s="30">
        <f t="shared" si="5"/>
        <v>742.92397209258377</v>
      </c>
      <c r="R54">
        <v>32</v>
      </c>
      <c r="S54">
        <f t="shared" si="6"/>
        <v>141.76</v>
      </c>
      <c r="T54">
        <f t="shared" si="7"/>
        <v>673419.99218616262</v>
      </c>
      <c r="U54" s="30">
        <f t="shared" si="8"/>
        <v>6.7341999218616264</v>
      </c>
      <c r="Y54">
        <v>618</v>
      </c>
      <c r="Z54" s="30">
        <f t="shared" si="0"/>
        <v>823.73601524670096</v>
      </c>
      <c r="AA54">
        <v>52</v>
      </c>
    </row>
    <row r="55" spans="1:27">
      <c r="A55">
        <v>29</v>
      </c>
      <c r="C55">
        <v>75</v>
      </c>
      <c r="D55">
        <f t="shared" si="1"/>
        <v>176.72872340425531</v>
      </c>
      <c r="F55">
        <f t="shared" si="2"/>
        <v>2453037.3569723158</v>
      </c>
      <c r="G55" s="30">
        <f t="shared" si="3"/>
        <v>24.530373569723157</v>
      </c>
      <c r="H55" s="30">
        <f t="shared" si="4"/>
        <v>25.511588512512084</v>
      </c>
      <c r="J55">
        <v>481</v>
      </c>
      <c r="K55">
        <f t="shared" si="9"/>
        <v>74138263.605089784</v>
      </c>
      <c r="L55" s="30">
        <f t="shared" si="5"/>
        <v>741.38263605089787</v>
      </c>
      <c r="R55">
        <v>31</v>
      </c>
      <c r="S55">
        <f t="shared" si="6"/>
        <v>137.33000000000001</v>
      </c>
      <c r="T55">
        <f t="shared" si="7"/>
        <v>612239.22690484545</v>
      </c>
      <c r="U55" s="30">
        <f t="shared" si="8"/>
        <v>6.1223922690484542</v>
      </c>
      <c r="Y55">
        <v>617</v>
      </c>
      <c r="Z55" s="30">
        <f t="shared" si="0"/>
        <v>823.39548273722448</v>
      </c>
      <c r="AA55">
        <v>53</v>
      </c>
    </row>
    <row r="56" spans="1:27">
      <c r="A56">
        <v>28</v>
      </c>
      <c r="C56">
        <v>74</v>
      </c>
      <c r="D56">
        <f t="shared" si="1"/>
        <v>174.37234042553192</v>
      </c>
      <c r="F56">
        <f t="shared" si="2"/>
        <v>2356218.3346767402</v>
      </c>
      <c r="G56" s="30">
        <f t="shared" si="3"/>
        <v>23.562183346767402</v>
      </c>
      <c r="H56" s="30">
        <f t="shared" si="4"/>
        <v>24.5046706806381</v>
      </c>
      <c r="J56">
        <v>480</v>
      </c>
      <c r="K56">
        <f t="shared" si="9"/>
        <v>73984130.00092119</v>
      </c>
      <c r="L56" s="30">
        <f t="shared" si="5"/>
        <v>739.84130000921186</v>
      </c>
      <c r="R56">
        <v>30</v>
      </c>
      <c r="S56">
        <f t="shared" si="6"/>
        <v>132.9</v>
      </c>
      <c r="T56">
        <f t="shared" si="7"/>
        <v>554880.97500690899</v>
      </c>
      <c r="U56" s="30">
        <f t="shared" si="8"/>
        <v>5.5488097500690898</v>
      </c>
      <c r="Y56">
        <v>616</v>
      </c>
      <c r="Z56" s="30">
        <f t="shared" si="0"/>
        <v>823.08331081091501</v>
      </c>
      <c r="AA56">
        <v>54</v>
      </c>
    </row>
    <row r="57" spans="1:27">
      <c r="A57">
        <v>27</v>
      </c>
      <c r="C57">
        <v>73</v>
      </c>
      <c r="D57">
        <f t="shared" si="1"/>
        <v>172.0159574468085</v>
      </c>
      <c r="F57">
        <f t="shared" si="2"/>
        <v>2261980.9979195241</v>
      </c>
      <c r="G57" s="30">
        <f t="shared" si="3"/>
        <v>22.619809979195242</v>
      </c>
      <c r="H57" s="30">
        <f t="shared" si="4"/>
        <v>23.524602378363053</v>
      </c>
      <c r="J57">
        <v>479</v>
      </c>
      <c r="K57">
        <f t="shared" si="9"/>
        <v>73829996.396752611</v>
      </c>
      <c r="L57" s="30">
        <f t="shared" si="5"/>
        <v>738.29996396752608</v>
      </c>
      <c r="R57">
        <v>29</v>
      </c>
      <c r="S57">
        <f t="shared" si="6"/>
        <v>128.47</v>
      </c>
      <c r="T57">
        <f t="shared" si="7"/>
        <v>501221.92960901867</v>
      </c>
      <c r="U57" s="30">
        <f t="shared" si="8"/>
        <v>5.012219296090187</v>
      </c>
      <c r="Y57">
        <v>615</v>
      </c>
      <c r="Z57" s="30">
        <f t="shared" si="0"/>
        <v>822.79826639893929</v>
      </c>
      <c r="AA57">
        <v>55</v>
      </c>
    </row>
    <row r="58" spans="1:27">
      <c r="A58">
        <v>26</v>
      </c>
      <c r="C58">
        <v>72</v>
      </c>
      <c r="D58">
        <f t="shared" si="1"/>
        <v>169.65957446808511</v>
      </c>
      <c r="F58">
        <f t="shared" si="2"/>
        <v>2170290.4590582591</v>
      </c>
      <c r="G58" s="30">
        <f t="shared" si="3"/>
        <v>21.702904590582591</v>
      </c>
      <c r="H58" s="30">
        <f t="shared" si="4"/>
        <v>22.571020774205895</v>
      </c>
      <c r="J58">
        <v>478</v>
      </c>
      <c r="K58">
        <f t="shared" si="9"/>
        <v>73675862.792584017</v>
      </c>
      <c r="L58" s="30">
        <f t="shared" si="5"/>
        <v>736.75862792584019</v>
      </c>
      <c r="R58">
        <v>28</v>
      </c>
      <c r="S58">
        <f t="shared" si="6"/>
        <v>124.04</v>
      </c>
      <c r="T58">
        <f t="shared" si="7"/>
        <v>451138.78382783948</v>
      </c>
      <c r="U58" s="30">
        <f t="shared" si="8"/>
        <v>4.5113878382783952</v>
      </c>
      <c r="Y58">
        <v>614</v>
      </c>
      <c r="Z58" s="30">
        <f t="shared" si="0"/>
        <v>822.53911643246386</v>
      </c>
      <c r="AA58">
        <v>56</v>
      </c>
    </row>
    <row r="59" spans="1:27">
      <c r="A59">
        <v>25</v>
      </c>
      <c r="C59">
        <v>71</v>
      </c>
      <c r="D59">
        <f t="shared" si="1"/>
        <v>167.30319148936169</v>
      </c>
      <c r="F59">
        <f t="shared" si="2"/>
        <v>2081111.8304505323</v>
      </c>
      <c r="G59" s="30">
        <f t="shared" si="3"/>
        <v>20.811118304505321</v>
      </c>
      <c r="H59" s="30">
        <f t="shared" si="4"/>
        <v>21.643563036685535</v>
      </c>
      <c r="J59">
        <v>477</v>
      </c>
      <c r="K59">
        <f t="shared" si="9"/>
        <v>73521729.188415438</v>
      </c>
      <c r="L59" s="30">
        <f t="shared" si="5"/>
        <v>735.21729188415441</v>
      </c>
      <c r="R59">
        <v>27</v>
      </c>
      <c r="S59">
        <f t="shared" si="6"/>
        <v>119.61</v>
      </c>
      <c r="T59">
        <f t="shared" si="7"/>
        <v>404508.2307800366</v>
      </c>
      <c r="U59" s="30">
        <f t="shared" si="8"/>
        <v>4.0450823078003664</v>
      </c>
      <c r="Y59">
        <v>613</v>
      </c>
      <c r="Z59" s="30">
        <f t="shared" si="0"/>
        <v>822.30462784265535</v>
      </c>
      <c r="AA59">
        <v>57</v>
      </c>
    </row>
    <row r="60" spans="1:27">
      <c r="A60">
        <v>24</v>
      </c>
      <c r="C60">
        <v>70</v>
      </c>
      <c r="D60">
        <f t="shared" si="1"/>
        <v>164.94680851063831</v>
      </c>
      <c r="F60">
        <f t="shared" si="2"/>
        <v>1994410.2244539361</v>
      </c>
      <c r="G60" s="30">
        <f t="shared" si="3"/>
        <v>19.944102244539362</v>
      </c>
      <c r="H60" s="30">
        <f t="shared" si="4"/>
        <v>20.741866334320939</v>
      </c>
      <c r="J60">
        <v>476</v>
      </c>
      <c r="K60">
        <f t="shared" si="9"/>
        <v>73367595.584246844</v>
      </c>
      <c r="L60" s="30">
        <f t="shared" si="5"/>
        <v>733.6759558424684</v>
      </c>
      <c r="R60">
        <v>26</v>
      </c>
      <c r="S60">
        <f t="shared" si="6"/>
        <v>115.18</v>
      </c>
      <c r="T60">
        <f t="shared" si="7"/>
        <v>361206.96358227538</v>
      </c>
      <c r="U60" s="30">
        <f t="shared" si="8"/>
        <v>3.612069635822754</v>
      </c>
      <c r="Y60">
        <v>612</v>
      </c>
      <c r="Z60" s="30">
        <f t="shared" si="0"/>
        <v>822.09356756068053</v>
      </c>
      <c r="AA60">
        <v>58</v>
      </c>
    </row>
    <row r="61" spans="1:27">
      <c r="A61">
        <v>23</v>
      </c>
      <c r="C61">
        <v>69</v>
      </c>
      <c r="D61">
        <f t="shared" si="1"/>
        <v>162.59042553191489</v>
      </c>
      <c r="F61">
        <f t="shared" si="2"/>
        <v>1910150.7534260585</v>
      </c>
      <c r="G61" s="30">
        <f t="shared" si="3"/>
        <v>19.101507534260584</v>
      </c>
      <c r="H61" s="30">
        <f t="shared" si="4"/>
        <v>19.865567835631008</v>
      </c>
      <c r="J61">
        <v>475</v>
      </c>
      <c r="K61">
        <f t="shared" si="9"/>
        <v>73213461.980078265</v>
      </c>
      <c r="L61" s="30">
        <f t="shared" si="5"/>
        <v>732.13461980078262</v>
      </c>
      <c r="R61">
        <v>25</v>
      </c>
      <c r="S61">
        <f t="shared" si="6"/>
        <v>110.75</v>
      </c>
      <c r="T61">
        <f t="shared" si="7"/>
        <v>321111.67535122047</v>
      </c>
      <c r="U61" s="30">
        <f t="shared" si="8"/>
        <v>3.2111167535122047</v>
      </c>
      <c r="Y61">
        <v>611</v>
      </c>
      <c r="Z61" s="30">
        <f t="shared" si="0"/>
        <v>821.90470251770591</v>
      </c>
      <c r="AA61">
        <v>59</v>
      </c>
    </row>
    <row r="62" spans="1:27">
      <c r="A62">
        <v>22</v>
      </c>
      <c r="C62">
        <v>68</v>
      </c>
      <c r="D62">
        <f t="shared" si="1"/>
        <v>160.23404255319147</v>
      </c>
      <c r="F62">
        <f t="shared" si="2"/>
        <v>1828298.5297244897</v>
      </c>
      <c r="G62" s="30">
        <f t="shared" si="3"/>
        <v>18.282985297244895</v>
      </c>
      <c r="H62" s="30">
        <f t="shared" si="4"/>
        <v>19.014304709134692</v>
      </c>
      <c r="J62">
        <v>474</v>
      </c>
      <c r="K62">
        <f t="shared" si="9"/>
        <v>73059328.375909686</v>
      </c>
      <c r="L62" s="30">
        <f t="shared" si="5"/>
        <v>730.59328375909683</v>
      </c>
      <c r="R62">
        <v>24</v>
      </c>
      <c r="S62">
        <f t="shared" si="6"/>
        <v>106.32</v>
      </c>
      <c r="T62">
        <f t="shared" si="7"/>
        <v>284099.05920353736</v>
      </c>
      <c r="U62" s="30">
        <f t="shared" si="8"/>
        <v>2.8409905920353737</v>
      </c>
      <c r="Y62">
        <v>610</v>
      </c>
      <c r="Z62" s="30">
        <f t="shared" si="0"/>
        <v>821.73679964489827</v>
      </c>
      <c r="AA62">
        <v>60</v>
      </c>
    </row>
    <row r="63" spans="1:27">
      <c r="A63">
        <v>21</v>
      </c>
      <c r="C63">
        <v>67</v>
      </c>
      <c r="D63">
        <f t="shared" si="1"/>
        <v>157.87765957446808</v>
      </c>
      <c r="F63">
        <f t="shared" si="2"/>
        <v>1748818.6657068199</v>
      </c>
      <c r="G63" s="30">
        <f t="shared" si="3"/>
        <v>17.488186657068198</v>
      </c>
      <c r="H63" s="30">
        <f t="shared" si="4"/>
        <v>18.187714123350926</v>
      </c>
      <c r="J63">
        <v>473</v>
      </c>
      <c r="K63">
        <f t="shared" si="9"/>
        <v>72905194.771741107</v>
      </c>
      <c r="L63" s="30">
        <f t="shared" si="5"/>
        <v>729.05194771741105</v>
      </c>
      <c r="R63">
        <v>23</v>
      </c>
      <c r="S63">
        <f t="shared" si="6"/>
        <v>101.89</v>
      </c>
      <c r="T63">
        <f t="shared" si="7"/>
        <v>250045.80825589117</v>
      </c>
      <c r="U63" s="30">
        <f t="shared" si="8"/>
        <v>2.5004580825589118</v>
      </c>
      <c r="Y63">
        <v>609</v>
      </c>
      <c r="Z63" s="30">
        <f t="shared" si="0"/>
        <v>821.58862587342423</v>
      </c>
      <c r="AA63">
        <v>61</v>
      </c>
    </row>
    <row r="64" spans="1:27">
      <c r="A64">
        <v>20</v>
      </c>
      <c r="C64">
        <v>66</v>
      </c>
      <c r="D64">
        <f t="shared" si="1"/>
        <v>155.52127659574467</v>
      </c>
      <c r="F64">
        <f t="shared" si="2"/>
        <v>1671676.2737306375</v>
      </c>
      <c r="G64" s="30">
        <f t="shared" si="3"/>
        <v>16.716762737306375</v>
      </c>
      <c r="H64" s="30">
        <f t="shared" si="4"/>
        <v>17.38543324679863</v>
      </c>
      <c r="J64">
        <v>472</v>
      </c>
      <c r="K64">
        <f t="shared" si="9"/>
        <v>72751061.167572513</v>
      </c>
      <c r="L64" s="30">
        <f t="shared" si="5"/>
        <v>727.51061167572516</v>
      </c>
      <c r="R64">
        <v>22</v>
      </c>
      <c r="S64">
        <f t="shared" si="6"/>
        <v>97.46</v>
      </c>
      <c r="T64">
        <f t="shared" si="7"/>
        <v>218828.61562494686</v>
      </c>
      <c r="U64" s="30">
        <f t="shared" si="8"/>
        <v>2.1882861562494687</v>
      </c>
      <c r="Y64">
        <v>608</v>
      </c>
      <c r="Z64" s="30">
        <f t="shared" si="0"/>
        <v>821.45894813445034</v>
      </c>
      <c r="AA64">
        <v>62</v>
      </c>
    </row>
    <row r="65" spans="1:27">
      <c r="A65">
        <v>19</v>
      </c>
      <c r="C65">
        <v>65</v>
      </c>
      <c r="D65">
        <f t="shared" si="1"/>
        <v>153.16489361702128</v>
      </c>
      <c r="F65">
        <f t="shared" si="2"/>
        <v>1596836.4661535341</v>
      </c>
      <c r="G65" s="30">
        <f t="shared" si="3"/>
        <v>15.968364661535341</v>
      </c>
      <c r="H65" s="30">
        <f t="shared" si="4"/>
        <v>16.607099247996757</v>
      </c>
      <c r="J65">
        <v>471</v>
      </c>
      <c r="K65">
        <f t="shared" si="9"/>
        <v>72596927.563403934</v>
      </c>
      <c r="L65" s="30">
        <f t="shared" si="5"/>
        <v>725.96927563403938</v>
      </c>
      <c r="R65">
        <v>21</v>
      </c>
      <c r="S65">
        <f t="shared" si="6"/>
        <v>93.03</v>
      </c>
      <c r="T65">
        <f t="shared" si="7"/>
        <v>190324.17442736981</v>
      </c>
      <c r="U65" s="30">
        <f t="shared" si="8"/>
        <v>1.9032417442736982</v>
      </c>
      <c r="Y65">
        <v>607</v>
      </c>
      <c r="Z65" s="30">
        <f t="shared" si="0"/>
        <v>821.34653335914345</v>
      </c>
      <c r="AA65">
        <v>63</v>
      </c>
    </row>
    <row r="66" spans="1:27">
      <c r="A66">
        <v>18</v>
      </c>
      <c r="C66">
        <v>64</v>
      </c>
      <c r="D66">
        <f t="shared" si="1"/>
        <v>150.80851063829786</v>
      </c>
      <c r="F66">
        <f t="shared" si="2"/>
        <v>1524264.3553330975</v>
      </c>
      <c r="G66" s="30">
        <f t="shared" si="3"/>
        <v>15.242643553330975</v>
      </c>
      <c r="H66" s="30">
        <f t="shared" si="4"/>
        <v>15.852349295464215</v>
      </c>
      <c r="J66">
        <v>470</v>
      </c>
      <c r="K66">
        <f t="shared" si="9"/>
        <v>72442793.95923534</v>
      </c>
      <c r="L66" s="30">
        <f t="shared" si="5"/>
        <v>724.42793959235337</v>
      </c>
      <c r="R66">
        <v>20</v>
      </c>
      <c r="S66">
        <f t="shared" si="6"/>
        <v>88.6</v>
      </c>
      <c r="T66">
        <f t="shared" si="7"/>
        <v>164409.17777982485</v>
      </c>
      <c r="U66" s="30">
        <f t="shared" si="8"/>
        <v>1.6440917777982484</v>
      </c>
      <c r="Y66">
        <v>606</v>
      </c>
      <c r="Z66" s="30">
        <f t="shared" si="0"/>
        <v>821.25014847866998</v>
      </c>
      <c r="AA66">
        <v>64</v>
      </c>
    </row>
    <row r="67" spans="1:27">
      <c r="A67">
        <v>17</v>
      </c>
      <c r="C67">
        <v>63</v>
      </c>
      <c r="D67">
        <f t="shared" si="1"/>
        <v>148.45212765957447</v>
      </c>
      <c r="F67">
        <f t="shared" si="2"/>
        <v>1453925.0536269194</v>
      </c>
      <c r="G67" s="30">
        <f t="shared" si="3"/>
        <v>14.539250536269194</v>
      </c>
      <c r="H67" s="30">
        <f t="shared" si="4"/>
        <v>15.120820557719961</v>
      </c>
      <c r="J67">
        <v>469</v>
      </c>
      <c r="K67">
        <f t="shared" si="9"/>
        <v>72288660.355066746</v>
      </c>
      <c r="L67" s="30">
        <f t="shared" si="5"/>
        <v>722.88660355066747</v>
      </c>
      <c r="R67">
        <v>19</v>
      </c>
      <c r="S67">
        <f t="shared" si="6"/>
        <v>84.17</v>
      </c>
      <c r="T67">
        <f t="shared" si="7"/>
        <v>140960.31879897736</v>
      </c>
      <c r="U67" s="30">
        <f t="shared" si="8"/>
        <v>1.4096031879897737</v>
      </c>
      <c r="Y67">
        <v>605</v>
      </c>
      <c r="Z67" s="30">
        <f t="shared" si="0"/>
        <v>821.16856042419681</v>
      </c>
      <c r="AA67">
        <v>65</v>
      </c>
    </row>
    <row r="68" spans="1:27">
      <c r="A68">
        <v>16</v>
      </c>
      <c r="C68">
        <v>62</v>
      </c>
      <c r="D68">
        <f t="shared" ref="D68:D99" si="10">C68/$E$32</f>
        <v>146.09574468085106</v>
      </c>
      <c r="F68">
        <f t="shared" si="2"/>
        <v>1385783.6733925876</v>
      </c>
      <c r="G68" s="30">
        <f t="shared" si="3"/>
        <v>13.857836733925875</v>
      </c>
      <c r="H68" s="30">
        <f t="shared" si="4"/>
        <v>14.412150203282911</v>
      </c>
      <c r="J68">
        <v>468</v>
      </c>
      <c r="K68">
        <f t="shared" si="9"/>
        <v>72134526.750898167</v>
      </c>
      <c r="L68" s="30">
        <f t="shared" si="5"/>
        <v>721.34526750898169</v>
      </c>
      <c r="R68">
        <v>18</v>
      </c>
      <c r="S68">
        <f t="shared" si="6"/>
        <v>79.739999999999995</v>
      </c>
      <c r="T68">
        <f t="shared" si="7"/>
        <v>119854.29060149232</v>
      </c>
      <c r="U68" s="30">
        <f t="shared" si="8"/>
        <v>1.1985429060149233</v>
      </c>
      <c r="Y68">
        <v>604</v>
      </c>
      <c r="Z68" s="30">
        <f t="shared" si="0"/>
        <v>821.10053612689035</v>
      </c>
      <c r="AA68">
        <v>66</v>
      </c>
    </row>
    <row r="69" spans="1:27">
      <c r="A69">
        <v>15</v>
      </c>
      <c r="C69">
        <v>61</v>
      </c>
      <c r="D69">
        <f t="shared" si="10"/>
        <v>143.73936170212767</v>
      </c>
      <c r="F69">
        <f t="shared" si="2"/>
        <v>1319805.3269876938</v>
      </c>
      <c r="G69" s="30">
        <f t="shared" si="3"/>
        <v>13.198053269876938</v>
      </c>
      <c r="H69" s="30">
        <f t="shared" si="4"/>
        <v>13.725975400672016</v>
      </c>
      <c r="J69">
        <v>467</v>
      </c>
      <c r="K69">
        <f t="shared" si="9"/>
        <v>71980393.146729574</v>
      </c>
      <c r="L69" s="30">
        <f t="shared" si="5"/>
        <v>719.80393146729568</v>
      </c>
      <c r="R69">
        <v>17</v>
      </c>
      <c r="S69">
        <f t="shared" si="6"/>
        <v>75.31</v>
      </c>
      <c r="T69">
        <f t="shared" si="7"/>
        <v>100967.78630403498</v>
      </c>
      <c r="U69" s="30">
        <f t="shared" si="8"/>
        <v>1.0096778630403498</v>
      </c>
      <c r="Y69">
        <v>603</v>
      </c>
      <c r="Z69" s="30">
        <f t="shared" si="0"/>
        <v>821.04484251791746</v>
      </c>
      <c r="AA69">
        <v>67</v>
      </c>
    </row>
    <row r="70" spans="1:27">
      <c r="A70">
        <v>14</v>
      </c>
      <c r="C70">
        <v>60</v>
      </c>
      <c r="D70">
        <f t="shared" si="10"/>
        <v>141.38297872340425</v>
      </c>
      <c r="F70">
        <f t="shared" si="2"/>
        <v>1255955.1267698256</v>
      </c>
      <c r="G70" s="30">
        <f t="shared" si="3"/>
        <v>12.559551267698255</v>
      </c>
      <c r="H70" s="30">
        <f t="shared" si="4"/>
        <v>13.061933318406187</v>
      </c>
      <c r="J70">
        <v>466</v>
      </c>
      <c r="K70">
        <f t="shared" si="9"/>
        <v>71826259.542560995</v>
      </c>
      <c r="L70" s="30">
        <f t="shared" si="5"/>
        <v>718.2625954256099</v>
      </c>
      <c r="R70">
        <v>16</v>
      </c>
      <c r="S70">
        <f t="shared" si="6"/>
        <v>70.88</v>
      </c>
      <c r="T70">
        <f t="shared" si="7"/>
        <v>84177.499023270328</v>
      </c>
      <c r="U70" s="30">
        <f t="shared" si="8"/>
        <v>0.8417749902327033</v>
      </c>
      <c r="Y70">
        <v>602</v>
      </c>
      <c r="Z70" s="30">
        <f t="shared" si="0"/>
        <v>821.00024652844468</v>
      </c>
      <c r="AA70">
        <v>68</v>
      </c>
    </row>
    <row r="71" spans="1:27">
      <c r="A71">
        <v>13</v>
      </c>
      <c r="C71">
        <v>59</v>
      </c>
      <c r="D71">
        <f t="shared" si="10"/>
        <v>139.02659574468083</v>
      </c>
      <c r="F71">
        <f t="shared" si="2"/>
        <v>1194198.185096574</v>
      </c>
      <c r="G71" s="30">
        <f t="shared" si="3"/>
        <v>11.941981850965741</v>
      </c>
      <c r="H71" s="30">
        <f t="shared" si="4"/>
        <v>12.419661125004371</v>
      </c>
      <c r="J71">
        <v>465</v>
      </c>
      <c r="K71">
        <f t="shared" si="9"/>
        <v>71672125.938392401</v>
      </c>
      <c r="L71" s="30">
        <f t="shared" si="5"/>
        <v>716.72125938392401</v>
      </c>
      <c r="R71">
        <v>15</v>
      </c>
      <c r="S71">
        <f t="shared" si="6"/>
        <v>66.45</v>
      </c>
      <c r="T71">
        <f t="shared" si="7"/>
        <v>69360.121875863624</v>
      </c>
      <c r="U71" s="30">
        <f t="shared" si="8"/>
        <v>0.69360121875863623</v>
      </c>
      <c r="Y71">
        <v>601</v>
      </c>
      <c r="Z71" s="30">
        <f t="shared" si="0"/>
        <v>820.96551508963864</v>
      </c>
      <c r="AA71">
        <v>69</v>
      </c>
    </row>
    <row r="72" spans="1:27">
      <c r="A72">
        <v>12</v>
      </c>
      <c r="C72">
        <v>58</v>
      </c>
      <c r="D72">
        <f t="shared" si="10"/>
        <v>136.67021276595744</v>
      </c>
      <c r="F72">
        <f t="shared" si="2"/>
        <v>1134499.6143255287</v>
      </c>
      <c r="G72" s="30">
        <f t="shared" si="3"/>
        <v>11.344996143255287</v>
      </c>
      <c r="H72" s="30">
        <f t="shared" si="4"/>
        <v>11.798795988985498</v>
      </c>
      <c r="J72">
        <v>464</v>
      </c>
      <c r="K72">
        <f t="shared" si="9"/>
        <v>71517992.334223822</v>
      </c>
      <c r="L72" s="30">
        <f t="shared" si="5"/>
        <v>715.17992334223823</v>
      </c>
      <c r="R72">
        <v>14</v>
      </c>
      <c r="S72">
        <f t="shared" si="6"/>
        <v>62.02</v>
      </c>
      <c r="T72">
        <f t="shared" si="7"/>
        <v>56392.347978479935</v>
      </c>
      <c r="U72" s="30">
        <f t="shared" si="8"/>
        <v>0.5639234797847994</v>
      </c>
      <c r="Y72">
        <v>600</v>
      </c>
      <c r="Z72" s="30">
        <f t="shared" si="0"/>
        <v>820.93941513266611</v>
      </c>
      <c r="AA72">
        <v>70</v>
      </c>
    </row>
    <row r="73" spans="1:27">
      <c r="A73">
        <v>11</v>
      </c>
      <c r="C73">
        <v>57</v>
      </c>
      <c r="D73">
        <f t="shared" si="10"/>
        <v>134.31382978723403</v>
      </c>
      <c r="F73">
        <f t="shared" si="2"/>
        <v>1076824.5268142789</v>
      </c>
      <c r="G73" s="30">
        <f t="shared" si="3"/>
        <v>10.768245268142788</v>
      </c>
      <c r="H73" s="30">
        <f t="shared" si="4"/>
        <v>11.1989750788685</v>
      </c>
      <c r="J73">
        <v>463</v>
      </c>
      <c r="K73">
        <f t="shared" si="9"/>
        <v>71363858.730055243</v>
      </c>
      <c r="L73" s="30">
        <f t="shared" si="5"/>
        <v>713.63858730055244</v>
      </c>
      <c r="R73">
        <v>13</v>
      </c>
      <c r="S73">
        <f t="shared" si="6"/>
        <v>57.59</v>
      </c>
      <c r="T73">
        <f t="shared" si="7"/>
        <v>45150.870447784422</v>
      </c>
      <c r="U73" s="30">
        <f t="shared" si="8"/>
        <v>0.45150870447784425</v>
      </c>
      <c r="Y73">
        <v>599</v>
      </c>
      <c r="Z73" s="30">
        <f t="shared" si="0"/>
        <v>820.92071358869373</v>
      </c>
      <c r="AA73">
        <v>71</v>
      </c>
    </row>
    <row r="74" spans="1:27">
      <c r="A74">
        <v>10</v>
      </c>
      <c r="C74">
        <v>56</v>
      </c>
      <c r="D74">
        <f t="shared" si="10"/>
        <v>131.95744680851064</v>
      </c>
      <c r="F74">
        <f t="shared" si="2"/>
        <v>1021138.0349204153</v>
      </c>
      <c r="G74" s="30">
        <f t="shared" si="3"/>
        <v>10.211380349204152</v>
      </c>
      <c r="H74" s="30">
        <f t="shared" si="4"/>
        <v>10.619835563172318</v>
      </c>
      <c r="J74">
        <v>462</v>
      </c>
      <c r="K74">
        <f t="shared" si="9"/>
        <v>71209725.125886649</v>
      </c>
      <c r="L74" s="30">
        <f t="shared" si="5"/>
        <v>712.09725125886644</v>
      </c>
      <c r="R74">
        <v>12</v>
      </c>
      <c r="S74">
        <f t="shared" si="6"/>
        <v>53.16</v>
      </c>
      <c r="T74">
        <f t="shared" si="7"/>
        <v>35512.382400442169</v>
      </c>
      <c r="U74" s="30">
        <f t="shared" si="8"/>
        <v>0.35512382400442172</v>
      </c>
      <c r="Y74">
        <v>598</v>
      </c>
      <c r="Z74" s="30">
        <f t="shared" si="0"/>
        <v>820.90817738888791</v>
      </c>
      <c r="AA74">
        <v>72</v>
      </c>
    </row>
    <row r="75" spans="1:27">
      <c r="A75">
        <v>9</v>
      </c>
      <c r="C75">
        <v>55</v>
      </c>
      <c r="D75">
        <f t="shared" si="10"/>
        <v>129.60106382978722</v>
      </c>
      <c r="F75">
        <f t="shared" si="2"/>
        <v>967405.25100152625</v>
      </c>
      <c r="G75" s="30">
        <f t="shared" si="3"/>
        <v>9.6740525100152617</v>
      </c>
      <c r="H75" s="30">
        <f t="shared" si="4"/>
        <v>10.061014610415873</v>
      </c>
      <c r="J75">
        <v>461</v>
      </c>
      <c r="K75">
        <f t="shared" si="9"/>
        <v>71055591.52171807</v>
      </c>
      <c r="L75" s="30">
        <f t="shared" si="5"/>
        <v>710.55591521718065</v>
      </c>
      <c r="R75">
        <v>11</v>
      </c>
      <c r="S75">
        <f t="shared" si="6"/>
        <v>48.73</v>
      </c>
      <c r="T75">
        <f t="shared" si="7"/>
        <v>27353.576953118358</v>
      </c>
      <c r="U75" s="30">
        <f t="shared" si="8"/>
        <v>0.27353576953118358</v>
      </c>
      <c r="Y75">
        <v>597</v>
      </c>
      <c r="Z75" s="30">
        <f t="shared" si="0"/>
        <v>820.90057346441563</v>
      </c>
      <c r="AA75">
        <v>73</v>
      </c>
    </row>
    <row r="76" spans="1:27">
      <c r="A76">
        <v>8</v>
      </c>
      <c r="C76">
        <v>54</v>
      </c>
      <c r="D76">
        <f t="shared" si="10"/>
        <v>127.24468085106382</v>
      </c>
      <c r="F76">
        <f t="shared" si="2"/>
        <v>915591.28741520271</v>
      </c>
      <c r="G76" s="30">
        <f t="shared" si="3"/>
        <v>9.1559128741520279</v>
      </c>
      <c r="H76" s="30">
        <f t="shared" si="4"/>
        <v>9.522149389118109</v>
      </c>
      <c r="J76">
        <v>460</v>
      </c>
      <c r="K76">
        <f t="shared" si="9"/>
        <v>70901457.917549491</v>
      </c>
      <c r="L76" s="30">
        <f t="shared" si="5"/>
        <v>709.01457917549487</v>
      </c>
      <c r="R76">
        <v>10</v>
      </c>
      <c r="S76">
        <f t="shared" si="6"/>
        <v>44.3</v>
      </c>
      <c r="T76">
        <f t="shared" si="7"/>
        <v>20551.147222478106</v>
      </c>
      <c r="U76" s="30">
        <f t="shared" si="8"/>
        <v>0.20551147222478106</v>
      </c>
      <c r="Y76">
        <v>596</v>
      </c>
      <c r="Z76" s="30">
        <f t="shared" si="0"/>
        <v>820.89666874644342</v>
      </c>
      <c r="AA76">
        <v>74</v>
      </c>
    </row>
    <row r="77" spans="1:27">
      <c r="A77">
        <v>7</v>
      </c>
      <c r="C77">
        <v>53</v>
      </c>
      <c r="D77">
        <f t="shared" si="10"/>
        <v>124.88829787234042</v>
      </c>
      <c r="F77">
        <f t="shared" si="2"/>
        <v>865661.25651903392</v>
      </c>
      <c r="G77" s="30">
        <f t="shared" si="3"/>
        <v>8.6566125651903398</v>
      </c>
      <c r="H77" s="30">
        <f t="shared" si="4"/>
        <v>9.0028770677979537</v>
      </c>
      <c r="J77">
        <v>459</v>
      </c>
      <c r="K77">
        <f t="shared" si="9"/>
        <v>70747324.313380897</v>
      </c>
      <c r="L77" s="30">
        <f t="shared" si="5"/>
        <v>707.47324313380898</v>
      </c>
      <c r="R77">
        <v>9</v>
      </c>
      <c r="S77">
        <f t="shared" si="6"/>
        <v>39.869999999999997</v>
      </c>
      <c r="T77">
        <f t="shared" si="7"/>
        <v>14981.78632518654</v>
      </c>
      <c r="U77" s="30">
        <f t="shared" si="8"/>
        <v>0.14981786325186541</v>
      </c>
      <c r="Y77">
        <v>595</v>
      </c>
      <c r="Z77" s="30">
        <f t="shared" si="0"/>
        <v>820.89523016613782</v>
      </c>
      <c r="AA77">
        <v>75</v>
      </c>
    </row>
    <row r="78" spans="1:27">
      <c r="A78">
        <v>6</v>
      </c>
      <c r="C78">
        <v>52</v>
      </c>
      <c r="D78">
        <f t="shared" si="10"/>
        <v>122.53191489361701</v>
      </c>
      <c r="F78">
        <f t="shared" si="2"/>
        <v>817580.27067060943</v>
      </c>
      <c r="G78" s="30">
        <f t="shared" si="3"/>
        <v>8.1758027067060937</v>
      </c>
      <c r="H78" s="30">
        <f t="shared" si="4"/>
        <v>8.5028348149743369</v>
      </c>
      <c r="J78">
        <v>458</v>
      </c>
      <c r="K78">
        <f t="shared" si="9"/>
        <v>70593190.709212303</v>
      </c>
      <c r="L78" s="30">
        <f t="shared" si="5"/>
        <v>705.93190709212308</v>
      </c>
      <c r="R78">
        <v>8</v>
      </c>
      <c r="S78">
        <f t="shared" si="6"/>
        <v>35.44</v>
      </c>
      <c r="T78">
        <f t="shared" si="7"/>
        <v>10522.187377908791</v>
      </c>
      <c r="U78" s="30">
        <f t="shared" si="8"/>
        <v>0.10522187377908791</v>
      </c>
      <c r="Y78">
        <v>594</v>
      </c>
      <c r="Z78" s="30">
        <f t="shared" si="0"/>
        <v>820.89502465466558</v>
      </c>
      <c r="AA78">
        <v>76</v>
      </c>
    </row>
    <row r="79" spans="1:27">
      <c r="A79">
        <v>5</v>
      </c>
      <c r="C79">
        <v>51</v>
      </c>
      <c r="D79">
        <f t="shared" si="10"/>
        <v>120.17553191489361</v>
      </c>
      <c r="F79">
        <f t="shared" si="2"/>
        <v>771313.44222751912</v>
      </c>
      <c r="G79" s="30">
        <f t="shared" si="3"/>
        <v>7.713134422275191</v>
      </c>
      <c r="H79" s="30">
        <f t="shared" si="4"/>
        <v>8.0216597991661995</v>
      </c>
      <c r="J79">
        <v>457</v>
      </c>
      <c r="K79">
        <f t="shared" si="9"/>
        <v>70439057.105043724</v>
      </c>
      <c r="L79" s="30">
        <f t="shared" si="5"/>
        <v>704.39057105043719</v>
      </c>
      <c r="R79">
        <v>7</v>
      </c>
      <c r="S79">
        <f t="shared" si="6"/>
        <v>31.01</v>
      </c>
      <c r="T79">
        <f t="shared" si="7"/>
        <v>7049.0434973099918</v>
      </c>
      <c r="U79" s="30">
        <f t="shared" si="8"/>
        <v>7.0490434973099925E-2</v>
      </c>
      <c r="Y79">
        <v>593</v>
      </c>
      <c r="Z79" s="30">
        <f t="shared" si="0"/>
        <v>820.89502465466558</v>
      </c>
      <c r="AA79">
        <v>77</v>
      </c>
    </row>
    <row r="80" spans="1:27">
      <c r="A80">
        <v>4</v>
      </c>
      <c r="C80">
        <v>50</v>
      </c>
      <c r="D80">
        <f t="shared" si="10"/>
        <v>117.81914893617021</v>
      </c>
      <c r="F80">
        <f t="shared" si="2"/>
        <v>726825.88354735274</v>
      </c>
      <c r="G80" s="30">
        <f t="shared" si="3"/>
        <v>7.2682588354735271</v>
      </c>
      <c r="H80" s="30">
        <f t="shared" si="4"/>
        <v>7.5589891888924683</v>
      </c>
      <c r="J80">
        <v>456</v>
      </c>
      <c r="K80">
        <f t="shared" si="9"/>
        <v>70284923.50087513</v>
      </c>
      <c r="L80" s="30">
        <f t="shared" si="5"/>
        <v>702.84923500875129</v>
      </c>
      <c r="R80">
        <v>6</v>
      </c>
      <c r="S80">
        <f t="shared" si="6"/>
        <v>26.58</v>
      </c>
      <c r="T80">
        <f t="shared" si="7"/>
        <v>4439.0478000552712</v>
      </c>
      <c r="U80" s="30">
        <f t="shared" si="8"/>
        <v>4.4390478000552715E-2</v>
      </c>
      <c r="Y80">
        <v>592</v>
      </c>
      <c r="Z80" s="30">
        <f>L36+$H$36</f>
        <v>820.89502465466558</v>
      </c>
      <c r="AA80">
        <v>78</v>
      </c>
    </row>
    <row r="81" spans="1:27">
      <c r="A81">
        <v>3</v>
      </c>
      <c r="C81">
        <v>49</v>
      </c>
      <c r="D81">
        <f t="shared" si="10"/>
        <v>115.46276595744681</v>
      </c>
      <c r="F81">
        <f t="shared" si="2"/>
        <v>684082.70698770008</v>
      </c>
      <c r="G81" s="30">
        <f t="shared" si="3"/>
        <v>6.8408270698770011</v>
      </c>
      <c r="H81" s="30">
        <f t="shared" si="4"/>
        <v>7.1144601526720814</v>
      </c>
      <c r="J81">
        <v>455</v>
      </c>
      <c r="K81">
        <f t="shared" si="9"/>
        <v>70130789.896706551</v>
      </c>
      <c r="L81" s="30">
        <f t="shared" si="5"/>
        <v>701.30789896706551</v>
      </c>
      <c r="R81">
        <v>5</v>
      </c>
      <c r="S81">
        <f t="shared" si="6"/>
        <v>22.15</v>
      </c>
      <c r="T81">
        <f t="shared" si="7"/>
        <v>2568.8934028097633</v>
      </c>
      <c r="U81" s="30">
        <f t="shared" si="8"/>
        <v>2.5688934028097632E-2</v>
      </c>
      <c r="Y81">
        <v>591</v>
      </c>
      <c r="Z81" s="30">
        <f t="shared" ref="Z81:Z144" si="11">L37+$H$36</f>
        <v>819.35368861297979</v>
      </c>
      <c r="AA81">
        <v>79</v>
      </c>
    </row>
    <row r="82" spans="1:27">
      <c r="A82">
        <v>2</v>
      </c>
      <c r="C82">
        <v>48</v>
      </c>
      <c r="D82">
        <f t="shared" si="10"/>
        <v>113.1063829787234</v>
      </c>
      <c r="F82">
        <f t="shared" si="2"/>
        <v>643049.02490615076</v>
      </c>
      <c r="G82" s="30">
        <f t="shared" si="3"/>
        <v>6.4304902490615072</v>
      </c>
      <c r="H82" s="30">
        <f t="shared" si="4"/>
        <v>6.6877098590239674</v>
      </c>
      <c r="J82">
        <v>454</v>
      </c>
      <c r="K82">
        <f t="shared" si="9"/>
        <v>69976656.292537957</v>
      </c>
      <c r="L82" s="30">
        <f t="shared" si="5"/>
        <v>699.76656292537962</v>
      </c>
      <c r="R82">
        <v>4</v>
      </c>
      <c r="S82">
        <f t="shared" si="6"/>
        <v>17.72</v>
      </c>
      <c r="T82">
        <f t="shared" si="7"/>
        <v>1315.2734222385989</v>
      </c>
      <c r="U82" s="30">
        <f t="shared" si="8"/>
        <v>1.3152734222385989E-2</v>
      </c>
      <c r="Y82">
        <v>590</v>
      </c>
      <c r="Z82" s="30">
        <f t="shared" si="11"/>
        <v>817.8123525712939</v>
      </c>
      <c r="AA82">
        <v>80</v>
      </c>
    </row>
    <row r="83" spans="1:27">
      <c r="A83">
        <v>1</v>
      </c>
      <c r="C83">
        <v>47</v>
      </c>
      <c r="D83">
        <f t="shared" si="10"/>
        <v>110.75</v>
      </c>
      <c r="F83">
        <f t="shared" si="2"/>
        <v>603689.94966029446</v>
      </c>
      <c r="G83" s="30">
        <f t="shared" si="3"/>
        <v>6.0368994966029446</v>
      </c>
      <c r="H83" s="30">
        <f t="shared" si="4"/>
        <v>6.2783754764670627</v>
      </c>
      <c r="J83">
        <v>453</v>
      </c>
      <c r="K83">
        <f t="shared" si="9"/>
        <v>69822522.688369378</v>
      </c>
      <c r="L83" s="30">
        <f t="shared" si="5"/>
        <v>698.22522688369384</v>
      </c>
      <c r="R83">
        <v>3</v>
      </c>
      <c r="S83">
        <f t="shared" si="6"/>
        <v>13.29</v>
      </c>
      <c r="T83">
        <f t="shared" si="7"/>
        <v>554.8809750069089</v>
      </c>
      <c r="U83" s="30">
        <f t="shared" si="8"/>
        <v>5.5488097500690893E-3</v>
      </c>
      <c r="Y83">
        <v>589</v>
      </c>
      <c r="Z83" s="30">
        <f t="shared" si="11"/>
        <v>816.271016529608</v>
      </c>
      <c r="AA83">
        <v>81</v>
      </c>
    </row>
    <row r="84" spans="1:27">
      <c r="A84">
        <v>0</v>
      </c>
      <c r="C84">
        <v>46</v>
      </c>
      <c r="D84">
        <f t="shared" si="10"/>
        <v>108.3936170212766</v>
      </c>
      <c r="F84">
        <f t="shared" si="2"/>
        <v>565970.59360772104</v>
      </c>
      <c r="G84" s="30">
        <f t="shared" si="3"/>
        <v>5.6597059360772102</v>
      </c>
      <c r="H84" s="30">
        <f t="shared" si="4"/>
        <v>5.8860941735202985</v>
      </c>
      <c r="J84">
        <v>452</v>
      </c>
      <c r="K84">
        <f t="shared" si="9"/>
        <v>69668389.084200785</v>
      </c>
      <c r="L84" s="30">
        <f t="shared" si="5"/>
        <v>696.68389084200783</v>
      </c>
      <c r="R84">
        <v>2</v>
      </c>
      <c r="S84">
        <f t="shared" si="6"/>
        <v>8.86</v>
      </c>
      <c r="T84">
        <f t="shared" si="7"/>
        <v>164.40917777982486</v>
      </c>
      <c r="U84" s="30">
        <f t="shared" si="8"/>
        <v>1.6440917777982486E-3</v>
      </c>
      <c r="Y84">
        <v>588</v>
      </c>
      <c r="Z84" s="30">
        <f t="shared" si="11"/>
        <v>814.72968048792222</v>
      </c>
      <c r="AA84">
        <v>82</v>
      </c>
    </row>
    <row r="85" spans="1:27">
      <c r="C85">
        <v>45</v>
      </c>
      <c r="D85">
        <f t="shared" si="10"/>
        <v>106.03723404255319</v>
      </c>
      <c r="F85">
        <f t="shared" si="2"/>
        <v>529856.06910602015</v>
      </c>
      <c r="G85" s="30">
        <f t="shared" si="3"/>
        <v>5.2985606910602012</v>
      </c>
      <c r="H85" s="30">
        <f t="shared" si="4"/>
        <v>5.5105031187026094</v>
      </c>
      <c r="J85">
        <v>451</v>
      </c>
      <c r="K85">
        <f t="shared" si="9"/>
        <v>69514255.480032206</v>
      </c>
      <c r="L85" s="30">
        <f t="shared" si="5"/>
        <v>695.14255480032205</v>
      </c>
      <c r="R85">
        <v>1</v>
      </c>
      <c r="S85">
        <f t="shared" si="6"/>
        <v>4.43</v>
      </c>
      <c r="T85">
        <f t="shared" si="7"/>
        <v>20.551147222478107</v>
      </c>
      <c r="U85" s="30">
        <f t="shared" si="8"/>
        <v>2.0551147222478108E-4</v>
      </c>
      <c r="Y85">
        <v>587</v>
      </c>
      <c r="Z85" s="30">
        <f t="shared" si="11"/>
        <v>813.18834444623644</v>
      </c>
      <c r="AA85">
        <v>83</v>
      </c>
    </row>
    <row r="86" spans="1:27">
      <c r="C86">
        <v>44</v>
      </c>
      <c r="D86">
        <f t="shared" si="10"/>
        <v>103.68085106382978</v>
      </c>
      <c r="F86">
        <f t="shared" si="2"/>
        <v>495311.48851278151</v>
      </c>
      <c r="G86" s="30">
        <f t="shared" si="3"/>
        <v>4.9531148851278148</v>
      </c>
      <c r="H86" s="30">
        <f t="shared" si="4"/>
        <v>5.1512394805329276</v>
      </c>
      <c r="J86">
        <v>450</v>
      </c>
      <c r="K86">
        <f t="shared" si="9"/>
        <v>69360121.875863627</v>
      </c>
      <c r="L86" s="30">
        <f t="shared" si="5"/>
        <v>693.60121875863626</v>
      </c>
      <c r="R86">
        <v>0</v>
      </c>
      <c r="S86">
        <f t="shared" si="6"/>
        <v>0</v>
      </c>
      <c r="T86">
        <f t="shared" si="7"/>
        <v>0</v>
      </c>
      <c r="U86" s="30">
        <f t="shared" si="8"/>
        <v>0</v>
      </c>
      <c r="Y86">
        <v>586</v>
      </c>
      <c r="Z86" s="30">
        <f t="shared" si="11"/>
        <v>811.64700840455055</v>
      </c>
      <c r="AA86">
        <v>84</v>
      </c>
    </row>
    <row r="87" spans="1:27">
      <c r="C87">
        <v>43</v>
      </c>
      <c r="D87">
        <f t="shared" si="10"/>
        <v>101.32446808510637</v>
      </c>
      <c r="F87">
        <f t="shared" si="2"/>
        <v>462301.96418559499</v>
      </c>
      <c r="G87" s="30">
        <f t="shared" si="3"/>
        <v>4.6230196418559499</v>
      </c>
      <c r="H87" s="30">
        <f t="shared" si="4"/>
        <v>4.8079404275301885</v>
      </c>
      <c r="J87">
        <v>449</v>
      </c>
      <c r="K87">
        <f t="shared" si="9"/>
        <v>69205988.271695048</v>
      </c>
      <c r="L87" s="30">
        <f t="shared" si="5"/>
        <v>692.05988271695048</v>
      </c>
      <c r="Y87">
        <v>585</v>
      </c>
      <c r="Z87" s="30">
        <f t="shared" si="11"/>
        <v>810.10567236286465</v>
      </c>
      <c r="AA87">
        <v>85</v>
      </c>
    </row>
    <row r="88" spans="1:27">
      <c r="C88">
        <v>42</v>
      </c>
      <c r="D88">
        <f t="shared" si="10"/>
        <v>98.968085106382972</v>
      </c>
      <c r="F88">
        <f t="shared" si="2"/>
        <v>430792.60848205007</v>
      </c>
      <c r="G88" s="30">
        <f t="shared" si="3"/>
        <v>4.307926084820501</v>
      </c>
      <c r="H88" s="30">
        <f t="shared" si="4"/>
        <v>4.4802431282133215</v>
      </c>
      <c r="J88">
        <v>448</v>
      </c>
      <c r="K88">
        <f t="shared" si="9"/>
        <v>69051854.667526454</v>
      </c>
      <c r="L88" s="30">
        <f t="shared" si="5"/>
        <v>690.51854667526459</v>
      </c>
      <c r="Y88">
        <v>584</v>
      </c>
      <c r="Z88" s="30">
        <f t="shared" si="11"/>
        <v>808.56433632117876</v>
      </c>
      <c r="AA88">
        <v>86</v>
      </c>
    </row>
    <row r="89" spans="1:27">
      <c r="C89">
        <v>41</v>
      </c>
      <c r="D89">
        <f t="shared" si="10"/>
        <v>96.611702127659569</v>
      </c>
      <c r="F89">
        <f t="shared" si="2"/>
        <v>400748.53375973675</v>
      </c>
      <c r="G89" s="30">
        <f t="shared" si="3"/>
        <v>4.0074853375973678</v>
      </c>
      <c r="H89" s="30">
        <f t="shared" si="4"/>
        <v>4.1677847511012622</v>
      </c>
      <c r="J89">
        <v>447</v>
      </c>
      <c r="K89">
        <f t="shared" si="9"/>
        <v>68897721.06335786</v>
      </c>
      <c r="L89" s="30">
        <f t="shared" si="5"/>
        <v>688.97721063357858</v>
      </c>
      <c r="Y89">
        <v>583</v>
      </c>
      <c r="Z89" s="30">
        <f t="shared" si="11"/>
        <v>807.02300027949298</v>
      </c>
      <c r="AA89">
        <v>87</v>
      </c>
    </row>
    <row r="90" spans="1:27">
      <c r="C90">
        <v>40</v>
      </c>
      <c r="D90">
        <f t="shared" si="10"/>
        <v>94.255319148936167</v>
      </c>
      <c r="F90">
        <f t="shared" si="2"/>
        <v>372134.85237624467</v>
      </c>
      <c r="G90" s="30">
        <f t="shared" si="3"/>
        <v>3.7213485237624466</v>
      </c>
      <c r="H90" s="30">
        <f t="shared" si="4"/>
        <v>3.8702024647129445</v>
      </c>
      <c r="J90">
        <v>446</v>
      </c>
      <c r="K90">
        <f t="shared" si="9"/>
        <v>68743587.459189281</v>
      </c>
      <c r="L90" s="30">
        <f t="shared" si="5"/>
        <v>687.4358745918928</v>
      </c>
      <c r="Y90">
        <v>582</v>
      </c>
      <c r="Z90" s="30">
        <f t="shared" si="11"/>
        <v>805.48166423780708</v>
      </c>
      <c r="AA90">
        <v>88</v>
      </c>
    </row>
    <row r="91" spans="1:27">
      <c r="C91">
        <v>39</v>
      </c>
      <c r="D91">
        <f t="shared" si="10"/>
        <v>91.898936170212764</v>
      </c>
      <c r="F91">
        <f t="shared" si="2"/>
        <v>344916.67668916337</v>
      </c>
      <c r="G91" s="30">
        <f t="shared" si="3"/>
        <v>3.4491667668916337</v>
      </c>
      <c r="H91" s="30">
        <f t="shared" si="4"/>
        <v>3.587133437567299</v>
      </c>
      <c r="J91">
        <v>445</v>
      </c>
      <c r="K91">
        <f t="shared" si="9"/>
        <v>68589453.855020687</v>
      </c>
      <c r="L91" s="30">
        <f t="shared" si="5"/>
        <v>685.8945385502069</v>
      </c>
      <c r="Y91">
        <v>581</v>
      </c>
      <c r="Z91" s="30">
        <f t="shared" si="11"/>
        <v>803.94032819612107</v>
      </c>
      <c r="AA91">
        <v>89</v>
      </c>
    </row>
    <row r="92" spans="1:27">
      <c r="C92">
        <v>38</v>
      </c>
      <c r="D92">
        <f t="shared" si="10"/>
        <v>89.542553191489361</v>
      </c>
      <c r="F92">
        <f t="shared" si="2"/>
        <v>319059.11905608274</v>
      </c>
      <c r="G92" s="30">
        <f t="shared" si="3"/>
        <v>3.1905911905608275</v>
      </c>
      <c r="H92" s="30">
        <f t="shared" si="4"/>
        <v>3.3182148381832608</v>
      </c>
      <c r="J92">
        <v>444</v>
      </c>
      <c r="K92">
        <f t="shared" si="9"/>
        <v>68435320.250852108</v>
      </c>
      <c r="L92" s="30">
        <f t="shared" si="5"/>
        <v>684.35320250852112</v>
      </c>
      <c r="Y92">
        <v>580</v>
      </c>
      <c r="Z92" s="30">
        <f t="shared" si="11"/>
        <v>802.39899215443529</v>
      </c>
      <c r="AA92">
        <v>90</v>
      </c>
    </row>
    <row r="93" spans="1:27">
      <c r="C93">
        <v>37</v>
      </c>
      <c r="D93">
        <f t="shared" si="10"/>
        <v>87.186170212765958</v>
      </c>
      <c r="F93">
        <f t="shared" si="2"/>
        <v>294527.29183459253</v>
      </c>
      <c r="G93" s="30">
        <f t="shared" si="3"/>
        <v>2.9452729183459252</v>
      </c>
      <c r="H93" s="30">
        <f t="shared" si="4"/>
        <v>3.0630838350797625</v>
      </c>
      <c r="J93">
        <v>443</v>
      </c>
      <c r="K93">
        <f t="shared" si="9"/>
        <v>68281186.646683514</v>
      </c>
      <c r="L93" s="30">
        <f t="shared" si="5"/>
        <v>682.81186646683511</v>
      </c>
      <c r="Y93">
        <v>579</v>
      </c>
      <c r="Z93" s="30">
        <f t="shared" si="11"/>
        <v>800.8576561127494</v>
      </c>
      <c r="AA93">
        <v>91</v>
      </c>
    </row>
    <row r="94" spans="1:27">
      <c r="C94">
        <v>36</v>
      </c>
      <c r="D94">
        <f t="shared" si="10"/>
        <v>84.829787234042556</v>
      </c>
      <c r="F94">
        <f t="shared" si="2"/>
        <v>271286.30738228239</v>
      </c>
      <c r="G94" s="30">
        <f t="shared" si="3"/>
        <v>2.7128630738228239</v>
      </c>
      <c r="H94" s="30">
        <f t="shared" si="4"/>
        <v>2.8213775967757369</v>
      </c>
      <c r="J94">
        <v>442</v>
      </c>
      <c r="K94">
        <f t="shared" si="9"/>
        <v>68127053.042514935</v>
      </c>
      <c r="L94" s="30">
        <f t="shared" si="5"/>
        <v>681.27053042514933</v>
      </c>
      <c r="Y94">
        <v>578</v>
      </c>
      <c r="Z94" s="30">
        <f t="shared" si="11"/>
        <v>799.31632007106361</v>
      </c>
      <c r="AA94">
        <v>92</v>
      </c>
    </row>
    <row r="95" spans="1:27">
      <c r="C95">
        <v>35</v>
      </c>
      <c r="D95">
        <f t="shared" si="10"/>
        <v>82.473404255319153</v>
      </c>
      <c r="F95">
        <f t="shared" si="2"/>
        <v>249301.27805674201</v>
      </c>
      <c r="G95" s="30">
        <f t="shared" si="3"/>
        <v>2.4930127805674203</v>
      </c>
      <c r="H95" s="30">
        <f t="shared" si="4"/>
        <v>2.5927332917901174</v>
      </c>
      <c r="J95">
        <v>441</v>
      </c>
      <c r="K95">
        <f t="shared" si="9"/>
        <v>67972919.438346341</v>
      </c>
      <c r="L95" s="30">
        <f t="shared" si="5"/>
        <v>679.72919438346344</v>
      </c>
      <c r="Y95">
        <v>577</v>
      </c>
      <c r="Z95" s="30">
        <f t="shared" si="11"/>
        <v>797.77498402937783</v>
      </c>
      <c r="AA95">
        <v>93</v>
      </c>
    </row>
    <row r="96" spans="1:27">
      <c r="C96">
        <v>34</v>
      </c>
      <c r="D96">
        <f t="shared" si="10"/>
        <v>80.117021276595736</v>
      </c>
      <c r="F96">
        <f t="shared" si="2"/>
        <v>228537.31621556121</v>
      </c>
      <c r="G96" s="30">
        <f t="shared" si="3"/>
        <v>2.2853731621556119</v>
      </c>
      <c r="H96" s="30">
        <f t="shared" si="4"/>
        <v>2.3767880886418364</v>
      </c>
      <c r="J96">
        <v>440</v>
      </c>
      <c r="K96">
        <f t="shared" si="9"/>
        <v>67818785.834177762</v>
      </c>
      <c r="L96" s="30">
        <f t="shared" si="5"/>
        <v>678.18785834177766</v>
      </c>
      <c r="Y96">
        <v>576</v>
      </c>
      <c r="Z96" s="30">
        <f t="shared" si="11"/>
        <v>796.23364798769205</v>
      </c>
      <c r="AA96">
        <v>94</v>
      </c>
    </row>
    <row r="97" spans="3:27">
      <c r="C97">
        <v>33</v>
      </c>
      <c r="D97">
        <f t="shared" si="10"/>
        <v>77.760638297872333</v>
      </c>
      <c r="F97">
        <f t="shared" si="2"/>
        <v>208959.53421632969</v>
      </c>
      <c r="G97" s="30">
        <f t="shared" si="3"/>
        <v>2.0895953421632969</v>
      </c>
      <c r="H97" s="30">
        <f t="shared" si="4"/>
        <v>2.1731791558498288</v>
      </c>
      <c r="J97">
        <v>439</v>
      </c>
      <c r="K97">
        <f t="shared" si="9"/>
        <v>67664652.230009183</v>
      </c>
      <c r="L97" s="30">
        <f t="shared" si="5"/>
        <v>676.64652230009187</v>
      </c>
      <c r="Y97">
        <v>575</v>
      </c>
      <c r="Z97" s="30">
        <f t="shared" si="11"/>
        <v>794.69231194600604</v>
      </c>
      <c r="AA97">
        <v>95</v>
      </c>
    </row>
    <row r="98" spans="3:27">
      <c r="C98">
        <v>32</v>
      </c>
      <c r="D98">
        <f t="shared" si="10"/>
        <v>75.40425531914893</v>
      </c>
      <c r="F98">
        <f t="shared" si="2"/>
        <v>190533.04441663719</v>
      </c>
      <c r="G98" s="30">
        <f t="shared" si="3"/>
        <v>1.9053304441663719</v>
      </c>
      <c r="H98" s="30">
        <f t="shared" si="4"/>
        <v>1.9815436619330269</v>
      </c>
      <c r="J98">
        <v>438</v>
      </c>
      <c r="K98">
        <f t="shared" si="9"/>
        <v>67510518.625840604</v>
      </c>
      <c r="L98" s="30">
        <f t="shared" si="5"/>
        <v>675.10518625840609</v>
      </c>
      <c r="Y98">
        <v>574</v>
      </c>
      <c r="Z98" s="30">
        <f t="shared" si="11"/>
        <v>793.15097590432026</v>
      </c>
      <c r="AA98">
        <v>96</v>
      </c>
    </row>
    <row r="99" spans="3:27">
      <c r="C99">
        <v>31</v>
      </c>
      <c r="D99">
        <f t="shared" si="10"/>
        <v>73.047872340425528</v>
      </c>
      <c r="F99">
        <f t="shared" si="2"/>
        <v>173222.95917407345</v>
      </c>
      <c r="G99" s="30">
        <f t="shared" si="3"/>
        <v>1.7322295917407344</v>
      </c>
      <c r="H99" s="30">
        <f t="shared" si="4"/>
        <v>1.8015187754103639</v>
      </c>
      <c r="J99">
        <v>437</v>
      </c>
      <c r="K99">
        <f t="shared" si="9"/>
        <v>67356385.02167201</v>
      </c>
      <c r="L99" s="30">
        <f t="shared" si="5"/>
        <v>673.56385021672008</v>
      </c>
      <c r="Y99">
        <v>573</v>
      </c>
      <c r="Z99" s="30">
        <f t="shared" si="11"/>
        <v>791.60963986263437</v>
      </c>
      <c r="AA99">
        <v>97</v>
      </c>
    </row>
    <row r="100" spans="3:27">
      <c r="C100">
        <v>30</v>
      </c>
      <c r="D100">
        <f t="shared" ref="D100" si="12">C100/$E$32</f>
        <v>70.691489361702125</v>
      </c>
      <c r="F100">
        <f t="shared" si="2"/>
        <v>156994.3908462282</v>
      </c>
      <c r="G100" s="30">
        <f t="shared" si="3"/>
        <v>1.5699439084622819</v>
      </c>
      <c r="H100" s="30">
        <f t="shared" si="4"/>
        <v>1.6327416648007733</v>
      </c>
      <c r="J100">
        <v>436</v>
      </c>
      <c r="K100">
        <f t="shared" si="9"/>
        <v>67202251.417503417</v>
      </c>
      <c r="L100" s="30">
        <f t="shared" si="5"/>
        <v>672.02251417503419</v>
      </c>
      <c r="Y100">
        <v>572</v>
      </c>
      <c r="Z100" s="30">
        <f t="shared" si="11"/>
        <v>790.06830382094836</v>
      </c>
      <c r="AA100">
        <v>98</v>
      </c>
    </row>
    <row r="101" spans="3:27">
      <c r="C101">
        <v>29</v>
      </c>
      <c r="D101">
        <f t="shared" ref="D101:D130" si="13">C101/$E$32</f>
        <v>68.335106382978722</v>
      </c>
      <c r="F101">
        <f t="shared" ref="F101:F129" si="14">($A$1*D101^2*C101)/3</f>
        <v>141812.45179069109</v>
      </c>
      <c r="G101" s="30">
        <f t="shared" ref="G101:G129" si="15">F101/100000</f>
        <v>1.4181245179069109</v>
      </c>
      <c r="H101" s="30">
        <f t="shared" ref="H101:H129" si="16">G101*1.04</f>
        <v>1.4748494986231873</v>
      </c>
      <c r="J101">
        <v>435</v>
      </c>
      <c r="K101">
        <f t="shared" si="9"/>
        <v>67048117.813334838</v>
      </c>
      <c r="L101" s="30">
        <f t="shared" ref="L101:L164" si="17">K101/100000</f>
        <v>670.48117813334841</v>
      </c>
      <c r="Y101">
        <v>571</v>
      </c>
      <c r="Z101" s="30">
        <f t="shared" si="11"/>
        <v>788.52696777926258</v>
      </c>
      <c r="AA101">
        <v>99</v>
      </c>
    </row>
    <row r="102" spans="3:27">
      <c r="C102">
        <v>28</v>
      </c>
      <c r="D102">
        <f t="shared" si="13"/>
        <v>65.978723404255319</v>
      </c>
      <c r="F102">
        <f t="shared" si="14"/>
        <v>127642.25436505191</v>
      </c>
      <c r="G102" s="30">
        <f t="shared" si="15"/>
        <v>1.276422543650519</v>
      </c>
      <c r="H102" s="30">
        <f t="shared" si="16"/>
        <v>1.3274794453965397</v>
      </c>
      <c r="J102">
        <v>434</v>
      </c>
      <c r="K102">
        <f t="shared" ref="K102:K165" si="18">$A$1*J102*221.5^2</f>
        <v>66893984.209166244</v>
      </c>
      <c r="L102" s="30">
        <f t="shared" si="17"/>
        <v>668.9398420916624</v>
      </c>
      <c r="Y102">
        <v>570</v>
      </c>
      <c r="Z102" s="30">
        <f t="shared" si="11"/>
        <v>786.98563173757668</v>
      </c>
      <c r="AA102">
        <v>100</v>
      </c>
    </row>
    <row r="103" spans="3:27">
      <c r="C103">
        <v>27</v>
      </c>
      <c r="D103">
        <f t="shared" si="13"/>
        <v>63.62234042553191</v>
      </c>
      <c r="F103">
        <f t="shared" si="14"/>
        <v>114448.91092690034</v>
      </c>
      <c r="G103" s="30">
        <f t="shared" si="15"/>
        <v>1.1444891092690035</v>
      </c>
      <c r="H103" s="30">
        <f t="shared" si="16"/>
        <v>1.1902686736397636</v>
      </c>
      <c r="J103">
        <v>433</v>
      </c>
      <c r="K103">
        <f t="shared" si="18"/>
        <v>66739850.604997665</v>
      </c>
      <c r="L103" s="30">
        <f t="shared" si="17"/>
        <v>667.39850604997662</v>
      </c>
      <c r="Y103">
        <v>569</v>
      </c>
      <c r="Z103" s="30">
        <f t="shared" si="11"/>
        <v>785.4442956958909</v>
      </c>
      <c r="AA103">
        <v>101</v>
      </c>
    </row>
    <row r="104" spans="3:27">
      <c r="C104">
        <v>26</v>
      </c>
      <c r="D104">
        <f t="shared" si="13"/>
        <v>61.265957446808507</v>
      </c>
      <c r="F104">
        <f t="shared" si="14"/>
        <v>102197.53383382618</v>
      </c>
      <c r="G104" s="30">
        <f t="shared" si="15"/>
        <v>1.0219753383382617</v>
      </c>
      <c r="H104" s="30">
        <f t="shared" si="16"/>
        <v>1.0628543518717921</v>
      </c>
      <c r="J104">
        <v>432</v>
      </c>
      <c r="K104">
        <f t="shared" si="18"/>
        <v>66585717.000829078</v>
      </c>
      <c r="L104" s="30">
        <f t="shared" si="17"/>
        <v>665.85717000829084</v>
      </c>
      <c r="Y104">
        <v>568</v>
      </c>
      <c r="Z104" s="30">
        <f t="shared" si="11"/>
        <v>783.90295965420489</v>
      </c>
      <c r="AA104">
        <v>102</v>
      </c>
    </row>
    <row r="105" spans="3:27">
      <c r="C105">
        <v>25</v>
      </c>
      <c r="D105">
        <f t="shared" si="13"/>
        <v>58.909574468085104</v>
      </c>
      <c r="F105">
        <f t="shared" si="14"/>
        <v>90853.235443419093</v>
      </c>
      <c r="G105" s="30">
        <f t="shared" si="15"/>
        <v>0.90853235443419089</v>
      </c>
      <c r="H105" s="30">
        <f t="shared" si="16"/>
        <v>0.94487364861155854</v>
      </c>
      <c r="J105">
        <v>431</v>
      </c>
      <c r="K105">
        <f t="shared" si="18"/>
        <v>66431583.396660492</v>
      </c>
      <c r="L105" s="30">
        <f t="shared" si="17"/>
        <v>664.31583396660494</v>
      </c>
      <c r="Y105">
        <v>567</v>
      </c>
      <c r="Z105" s="30">
        <f t="shared" si="11"/>
        <v>782.36162361251911</v>
      </c>
      <c r="AA105">
        <v>103</v>
      </c>
    </row>
    <row r="106" spans="3:27">
      <c r="C106">
        <v>24</v>
      </c>
      <c r="D106">
        <f t="shared" si="13"/>
        <v>56.553191489361701</v>
      </c>
      <c r="F106">
        <f t="shared" si="14"/>
        <v>80381.128113268845</v>
      </c>
      <c r="G106" s="30">
        <f t="shared" si="15"/>
        <v>0.8038112811326884</v>
      </c>
      <c r="H106" s="30">
        <f t="shared" si="16"/>
        <v>0.83596373237799593</v>
      </c>
      <c r="J106">
        <v>430</v>
      </c>
      <c r="K106">
        <f t="shared" si="18"/>
        <v>66277449.792491905</v>
      </c>
      <c r="L106" s="30">
        <f t="shared" si="17"/>
        <v>662.77449792491905</v>
      </c>
      <c r="Y106">
        <v>566</v>
      </c>
      <c r="Z106" s="30">
        <f t="shared" si="11"/>
        <v>780.82028757083333</v>
      </c>
      <c r="AA106">
        <v>104</v>
      </c>
    </row>
    <row r="107" spans="3:27">
      <c r="C107">
        <v>23</v>
      </c>
      <c r="D107">
        <f t="shared" si="13"/>
        <v>54.196808510638299</v>
      </c>
      <c r="F107">
        <f t="shared" si="14"/>
        <v>70746.324200965129</v>
      </c>
      <c r="G107" s="30">
        <f t="shared" si="15"/>
        <v>0.70746324200965127</v>
      </c>
      <c r="H107" s="30">
        <f t="shared" si="16"/>
        <v>0.73576177169003731</v>
      </c>
      <c r="J107">
        <v>429</v>
      </c>
      <c r="K107">
        <f t="shared" si="18"/>
        <v>66123316.188323326</v>
      </c>
      <c r="L107" s="30">
        <f t="shared" si="17"/>
        <v>661.23316188323327</v>
      </c>
      <c r="Y107">
        <v>565</v>
      </c>
      <c r="Z107" s="30">
        <f t="shared" si="11"/>
        <v>779.27895152914755</v>
      </c>
      <c r="AA107">
        <v>105</v>
      </c>
    </row>
    <row r="108" spans="3:27">
      <c r="C108">
        <v>22</v>
      </c>
      <c r="D108">
        <f t="shared" si="13"/>
        <v>51.840425531914889</v>
      </c>
      <c r="F108">
        <f t="shared" si="14"/>
        <v>61913.936064097688</v>
      </c>
      <c r="G108" s="30">
        <f t="shared" si="15"/>
        <v>0.61913936064097685</v>
      </c>
      <c r="H108" s="30">
        <f t="shared" si="16"/>
        <v>0.64390493506661595</v>
      </c>
      <c r="J108">
        <v>428</v>
      </c>
      <c r="K108">
        <f t="shared" si="18"/>
        <v>65969182.584154733</v>
      </c>
      <c r="L108" s="30">
        <f t="shared" si="17"/>
        <v>659.69182584154737</v>
      </c>
      <c r="Y108">
        <v>564</v>
      </c>
      <c r="Z108" s="30">
        <f t="shared" si="11"/>
        <v>777.73761548746165</v>
      </c>
      <c r="AA108">
        <v>106</v>
      </c>
    </row>
    <row r="109" spans="3:27">
      <c r="C109">
        <v>21</v>
      </c>
      <c r="D109">
        <f t="shared" si="13"/>
        <v>49.484042553191486</v>
      </c>
      <c r="F109">
        <f t="shared" si="14"/>
        <v>53849.076060256259</v>
      </c>
      <c r="G109" s="30">
        <f t="shared" si="15"/>
        <v>0.53849076060256262</v>
      </c>
      <c r="H109" s="30">
        <f t="shared" si="16"/>
        <v>0.56003039102666519</v>
      </c>
      <c r="J109">
        <v>427</v>
      </c>
      <c r="K109">
        <f t="shared" si="18"/>
        <v>65815048.979986154</v>
      </c>
      <c r="L109" s="30">
        <f t="shared" si="17"/>
        <v>658.15048979986159</v>
      </c>
      <c r="Y109">
        <v>563</v>
      </c>
      <c r="Z109" s="30">
        <f t="shared" si="11"/>
        <v>776.19627944577587</v>
      </c>
      <c r="AA109">
        <v>107</v>
      </c>
    </row>
    <row r="110" spans="3:27">
      <c r="C110">
        <v>20</v>
      </c>
      <c r="D110">
        <f t="shared" si="13"/>
        <v>47.127659574468083</v>
      </c>
      <c r="F110">
        <f t="shared" si="14"/>
        <v>46516.856547030584</v>
      </c>
      <c r="G110" s="30">
        <f t="shared" si="15"/>
        <v>0.46516856547030583</v>
      </c>
      <c r="H110" s="30">
        <f t="shared" si="16"/>
        <v>0.48377530808911806</v>
      </c>
      <c r="J110">
        <v>426</v>
      </c>
      <c r="K110">
        <f t="shared" si="18"/>
        <v>65660915.37581756</v>
      </c>
      <c r="L110" s="30">
        <f t="shared" si="17"/>
        <v>656.60915375817558</v>
      </c>
      <c r="Y110">
        <v>562</v>
      </c>
      <c r="Z110" s="30">
        <f t="shared" si="11"/>
        <v>774.65494340408986</v>
      </c>
      <c r="AA110">
        <v>108</v>
      </c>
    </row>
    <row r="111" spans="3:27">
      <c r="C111">
        <v>19</v>
      </c>
      <c r="D111">
        <f t="shared" si="13"/>
        <v>44.771276595744681</v>
      </c>
      <c r="F111">
        <f t="shared" si="14"/>
        <v>39882.389882010342</v>
      </c>
      <c r="G111" s="30">
        <f t="shared" si="15"/>
        <v>0.39882389882010344</v>
      </c>
      <c r="H111" s="30">
        <f t="shared" si="16"/>
        <v>0.4147768547729076</v>
      </c>
      <c r="J111">
        <v>425</v>
      </c>
      <c r="K111">
        <f t="shared" si="18"/>
        <v>65506781.771648973</v>
      </c>
      <c r="L111" s="30">
        <f t="shared" si="17"/>
        <v>655.06781771648969</v>
      </c>
      <c r="Y111">
        <v>561</v>
      </c>
      <c r="Z111" s="30">
        <f t="shared" si="11"/>
        <v>773.11360736240397</v>
      </c>
      <c r="AA111">
        <v>109</v>
      </c>
    </row>
    <row r="112" spans="3:27">
      <c r="C112">
        <v>18</v>
      </c>
      <c r="D112">
        <f t="shared" si="13"/>
        <v>42.414893617021278</v>
      </c>
      <c r="F112">
        <f t="shared" si="14"/>
        <v>33910.788422785299</v>
      </c>
      <c r="G112" s="30">
        <f t="shared" si="15"/>
        <v>0.33910788422785298</v>
      </c>
      <c r="H112" s="30">
        <f t="shared" si="16"/>
        <v>0.35267219959696711</v>
      </c>
      <c r="J112">
        <v>424</v>
      </c>
      <c r="K112">
        <f t="shared" si="18"/>
        <v>65352648.167480394</v>
      </c>
      <c r="L112" s="30">
        <f t="shared" si="17"/>
        <v>653.5264816748039</v>
      </c>
      <c r="Y112">
        <v>560</v>
      </c>
      <c r="Z112" s="30">
        <f t="shared" si="11"/>
        <v>771.57227132071819</v>
      </c>
      <c r="AA112">
        <v>110</v>
      </c>
    </row>
    <row r="113" spans="3:27">
      <c r="C113">
        <v>17</v>
      </c>
      <c r="D113">
        <f t="shared" si="13"/>
        <v>40.058510638297868</v>
      </c>
      <c r="F113">
        <f t="shared" si="14"/>
        <v>28567.164526945151</v>
      </c>
      <c r="G113" s="30">
        <f t="shared" si="15"/>
        <v>0.28567164526945149</v>
      </c>
      <c r="H113" s="30">
        <f t="shared" si="16"/>
        <v>0.29709851108022955</v>
      </c>
      <c r="J113">
        <v>423</v>
      </c>
      <c r="K113">
        <f t="shared" si="18"/>
        <v>65198514.5633118</v>
      </c>
      <c r="L113" s="30">
        <f t="shared" si="17"/>
        <v>651.98514563311801</v>
      </c>
      <c r="Y113">
        <v>559</v>
      </c>
      <c r="Z113" s="30">
        <f t="shared" si="11"/>
        <v>770.03093527903218</v>
      </c>
      <c r="AA113">
        <v>111</v>
      </c>
    </row>
    <row r="114" spans="3:27">
      <c r="C114">
        <v>16</v>
      </c>
      <c r="D114">
        <f t="shared" si="13"/>
        <v>37.702127659574465</v>
      </c>
      <c r="F114">
        <f t="shared" si="14"/>
        <v>23816.630552079649</v>
      </c>
      <c r="G114" s="30">
        <f t="shared" si="15"/>
        <v>0.23816630552079648</v>
      </c>
      <c r="H114" s="30">
        <f t="shared" si="16"/>
        <v>0.24769295774162836</v>
      </c>
      <c r="J114">
        <v>422</v>
      </c>
      <c r="K114">
        <f t="shared" si="18"/>
        <v>65044380.959143221</v>
      </c>
      <c r="L114" s="30">
        <f t="shared" si="17"/>
        <v>650.44380959143223</v>
      </c>
      <c r="Y114">
        <v>558</v>
      </c>
      <c r="Z114" s="30">
        <f t="shared" si="11"/>
        <v>768.4895992373464</v>
      </c>
      <c r="AA114">
        <v>112</v>
      </c>
    </row>
    <row r="115" spans="3:27">
      <c r="C115">
        <v>15</v>
      </c>
      <c r="D115">
        <f t="shared" si="13"/>
        <v>35.345744680851062</v>
      </c>
      <c r="F115">
        <f t="shared" si="14"/>
        <v>19624.298855778525</v>
      </c>
      <c r="G115" s="30">
        <f t="shared" si="15"/>
        <v>0.19624298855778524</v>
      </c>
      <c r="H115" s="30">
        <f t="shared" si="16"/>
        <v>0.20409270810009666</v>
      </c>
      <c r="J115">
        <v>421</v>
      </c>
      <c r="K115">
        <f t="shared" si="18"/>
        <v>64890247.354974627</v>
      </c>
      <c r="L115" s="30">
        <f t="shared" si="17"/>
        <v>648.90247354974622</v>
      </c>
      <c r="Y115">
        <v>557</v>
      </c>
      <c r="Z115" s="30">
        <f t="shared" si="11"/>
        <v>766.9482631956605</v>
      </c>
      <c r="AA115">
        <v>113</v>
      </c>
    </row>
    <row r="116" spans="3:27">
      <c r="C116">
        <v>14</v>
      </c>
      <c r="D116">
        <f t="shared" si="13"/>
        <v>32.98936170212766</v>
      </c>
      <c r="F116">
        <f t="shared" si="14"/>
        <v>15955.281795631488</v>
      </c>
      <c r="G116" s="30">
        <f t="shared" si="15"/>
        <v>0.15955281795631487</v>
      </c>
      <c r="H116" s="30">
        <f t="shared" si="16"/>
        <v>0.16593493067456747</v>
      </c>
      <c r="J116">
        <v>420</v>
      </c>
      <c r="K116">
        <f t="shared" si="18"/>
        <v>64736113.750806049</v>
      </c>
      <c r="L116" s="30">
        <f t="shared" si="17"/>
        <v>647.36113750806044</v>
      </c>
      <c r="Y116">
        <v>556</v>
      </c>
      <c r="Z116" s="30">
        <f t="shared" si="11"/>
        <v>765.40692715397472</v>
      </c>
      <c r="AA116">
        <v>114</v>
      </c>
    </row>
    <row r="117" spans="3:27">
      <c r="C117">
        <v>13</v>
      </c>
      <c r="D117">
        <f t="shared" si="13"/>
        <v>30.632978723404253</v>
      </c>
      <c r="F117">
        <f t="shared" si="14"/>
        <v>12774.691729228272</v>
      </c>
      <c r="G117" s="30">
        <f t="shared" si="15"/>
        <v>0.12774691729228271</v>
      </c>
      <c r="H117" s="30">
        <f t="shared" si="16"/>
        <v>0.13285679398397401</v>
      </c>
      <c r="J117">
        <v>419</v>
      </c>
      <c r="K117">
        <f t="shared" si="18"/>
        <v>64581980.146637462</v>
      </c>
      <c r="L117" s="30">
        <f t="shared" si="17"/>
        <v>645.81980146637466</v>
      </c>
      <c r="Y117">
        <v>555</v>
      </c>
      <c r="Z117" s="30">
        <f t="shared" si="11"/>
        <v>763.86559111228894</v>
      </c>
      <c r="AA117">
        <v>115</v>
      </c>
    </row>
    <row r="118" spans="3:27">
      <c r="C118">
        <v>12</v>
      </c>
      <c r="D118">
        <f t="shared" si="13"/>
        <v>28.276595744680851</v>
      </c>
      <c r="F118">
        <f t="shared" si="14"/>
        <v>10047.641014158606</v>
      </c>
      <c r="G118" s="30">
        <f t="shared" si="15"/>
        <v>0.10047641014158605</v>
      </c>
      <c r="H118" s="30">
        <f t="shared" si="16"/>
        <v>0.10449546654724949</v>
      </c>
      <c r="J118">
        <v>418</v>
      </c>
      <c r="K118">
        <f t="shared" si="18"/>
        <v>64427846.542468883</v>
      </c>
      <c r="L118" s="30">
        <f t="shared" si="17"/>
        <v>644.27846542468887</v>
      </c>
      <c r="Y118">
        <v>554</v>
      </c>
      <c r="Z118" s="30">
        <f t="shared" si="11"/>
        <v>762.32425507060293</v>
      </c>
      <c r="AA118">
        <v>116</v>
      </c>
    </row>
    <row r="119" spans="3:27">
      <c r="C119">
        <v>11</v>
      </c>
      <c r="D119">
        <f t="shared" si="13"/>
        <v>25.920212765957444</v>
      </c>
      <c r="F119">
        <f t="shared" si="14"/>
        <v>7739.242008012211</v>
      </c>
      <c r="G119" s="30">
        <f t="shared" si="15"/>
        <v>7.7392420080122107E-2</v>
      </c>
      <c r="H119" s="30">
        <f t="shared" si="16"/>
        <v>8.0488116883326993E-2</v>
      </c>
      <c r="J119">
        <v>417</v>
      </c>
      <c r="K119">
        <f t="shared" si="18"/>
        <v>64273712.938300289</v>
      </c>
      <c r="L119" s="30">
        <f t="shared" si="17"/>
        <v>642.73712938300287</v>
      </c>
      <c r="Y119">
        <v>553</v>
      </c>
      <c r="Z119" s="30">
        <f t="shared" si="11"/>
        <v>760.78291902891715</v>
      </c>
      <c r="AA119">
        <v>117</v>
      </c>
    </row>
    <row r="120" spans="3:27">
      <c r="C120">
        <v>10</v>
      </c>
      <c r="D120">
        <f t="shared" si="13"/>
        <v>23.563829787234042</v>
      </c>
      <c r="F120">
        <f t="shared" si="14"/>
        <v>5814.607068378823</v>
      </c>
      <c r="G120" s="30">
        <f t="shared" si="15"/>
        <v>5.8146070683788229E-2</v>
      </c>
      <c r="H120" s="30">
        <f t="shared" si="16"/>
        <v>6.0471913511139758E-2</v>
      </c>
      <c r="J120">
        <v>416</v>
      </c>
      <c r="K120">
        <f t="shared" si="18"/>
        <v>64119579.33413171</v>
      </c>
      <c r="L120" s="30">
        <f t="shared" si="17"/>
        <v>641.19579334131708</v>
      </c>
      <c r="Y120">
        <v>552</v>
      </c>
      <c r="Z120" s="30">
        <f t="shared" si="11"/>
        <v>759.24158298723137</v>
      </c>
      <c r="AA120">
        <v>118</v>
      </c>
    </row>
    <row r="121" spans="3:27">
      <c r="C121">
        <v>9</v>
      </c>
      <c r="D121">
        <f t="shared" si="13"/>
        <v>21.207446808510639</v>
      </c>
      <c r="F121">
        <f t="shared" si="14"/>
        <v>4238.8485528481624</v>
      </c>
      <c r="G121" s="30">
        <f t="shared" si="15"/>
        <v>4.2388485528481623E-2</v>
      </c>
      <c r="H121" s="30">
        <f t="shared" si="16"/>
        <v>4.4084024949620888E-2</v>
      </c>
      <c r="J121">
        <v>415</v>
      </c>
      <c r="K121">
        <f t="shared" si="18"/>
        <v>63965445.729963116</v>
      </c>
      <c r="L121" s="30">
        <f t="shared" si="17"/>
        <v>639.65445729963119</v>
      </c>
      <c r="Y121">
        <v>551</v>
      </c>
      <c r="Z121" s="30">
        <f t="shared" si="11"/>
        <v>757.70024694554547</v>
      </c>
      <c r="AA121">
        <v>119</v>
      </c>
    </row>
    <row r="122" spans="3:27">
      <c r="C122">
        <v>8</v>
      </c>
      <c r="D122">
        <f t="shared" si="13"/>
        <v>18.851063829787233</v>
      </c>
      <c r="F122">
        <f t="shared" si="14"/>
        <v>2977.0788190099561</v>
      </c>
      <c r="G122" s="30">
        <f t="shared" si="15"/>
        <v>2.9770788190099561E-2</v>
      </c>
      <c r="H122" s="30">
        <f t="shared" si="16"/>
        <v>3.0961619717703545E-2</v>
      </c>
      <c r="J122">
        <v>414</v>
      </c>
      <c r="K122">
        <f t="shared" si="18"/>
        <v>63811312.12579453</v>
      </c>
      <c r="L122" s="30">
        <f t="shared" si="17"/>
        <v>638.11312125794529</v>
      </c>
      <c r="Y122">
        <v>550</v>
      </c>
      <c r="Z122" s="30">
        <f t="shared" si="11"/>
        <v>756.15891090385958</v>
      </c>
      <c r="AA122">
        <v>120</v>
      </c>
    </row>
    <row r="123" spans="3:27">
      <c r="C123">
        <v>7</v>
      </c>
      <c r="D123">
        <f t="shared" si="13"/>
        <v>16.49468085106383</v>
      </c>
      <c r="F123">
        <f t="shared" si="14"/>
        <v>1994.4102244539361</v>
      </c>
      <c r="G123" s="30">
        <f t="shared" si="15"/>
        <v>1.9944102244539359E-2</v>
      </c>
      <c r="H123" s="30">
        <f t="shared" si="16"/>
        <v>2.0741866334320933E-2</v>
      </c>
      <c r="J123">
        <v>413</v>
      </c>
      <c r="K123">
        <f t="shared" si="18"/>
        <v>63657178.521625951</v>
      </c>
      <c r="L123" s="30">
        <f t="shared" si="17"/>
        <v>636.57178521625951</v>
      </c>
      <c r="Y123">
        <v>549</v>
      </c>
      <c r="Z123" s="30">
        <f t="shared" si="11"/>
        <v>754.61757486217368</v>
      </c>
      <c r="AA123">
        <v>121</v>
      </c>
    </row>
    <row r="124" spans="3:27">
      <c r="C124">
        <v>6</v>
      </c>
      <c r="D124">
        <f t="shared" si="13"/>
        <v>14.138297872340425</v>
      </c>
      <c r="F124">
        <f t="shared" si="14"/>
        <v>1255.9551267698257</v>
      </c>
      <c r="G124" s="30">
        <f t="shared" si="15"/>
        <v>1.2559551267698256E-2</v>
      </c>
      <c r="H124" s="30">
        <f t="shared" si="16"/>
        <v>1.3061933318406186E-2</v>
      </c>
      <c r="J124">
        <v>412</v>
      </c>
      <c r="K124">
        <f t="shared" si="18"/>
        <v>63503044.917457357</v>
      </c>
      <c r="L124" s="30">
        <f t="shared" si="17"/>
        <v>635.03044917457362</v>
      </c>
      <c r="Y124">
        <v>548</v>
      </c>
      <c r="Z124" s="30">
        <f t="shared" si="11"/>
        <v>753.07623882048779</v>
      </c>
      <c r="AA124">
        <v>122</v>
      </c>
    </row>
    <row r="125" spans="3:27">
      <c r="C125">
        <v>5</v>
      </c>
      <c r="D125">
        <f t="shared" si="13"/>
        <v>11.781914893617021</v>
      </c>
      <c r="F125">
        <f t="shared" si="14"/>
        <v>726.82588354735287</v>
      </c>
      <c r="G125" s="30">
        <f t="shared" si="15"/>
        <v>7.2682588354735286E-3</v>
      </c>
      <c r="H125" s="30">
        <f t="shared" si="16"/>
        <v>7.5589891888924697E-3</v>
      </c>
      <c r="J125">
        <v>411</v>
      </c>
      <c r="K125">
        <f t="shared" si="18"/>
        <v>63348911.313288778</v>
      </c>
      <c r="L125" s="30">
        <f t="shared" si="17"/>
        <v>633.48911313288784</v>
      </c>
      <c r="Y125">
        <v>547</v>
      </c>
      <c r="Z125" s="30">
        <f t="shared" si="11"/>
        <v>751.53490277880201</v>
      </c>
      <c r="AA125">
        <v>123</v>
      </c>
    </row>
    <row r="126" spans="3:27">
      <c r="C126">
        <v>4</v>
      </c>
      <c r="D126">
        <f t="shared" si="13"/>
        <v>9.4255319148936163</v>
      </c>
      <c r="F126">
        <f t="shared" si="14"/>
        <v>372.13485237624451</v>
      </c>
      <c r="G126" s="30">
        <f t="shared" si="15"/>
        <v>3.7213485237624451E-3</v>
      </c>
      <c r="H126" s="30">
        <f t="shared" si="16"/>
        <v>3.8702024647129431E-3</v>
      </c>
      <c r="J126">
        <v>410</v>
      </c>
      <c r="K126">
        <f t="shared" si="18"/>
        <v>63194777.709120184</v>
      </c>
      <c r="L126" s="30">
        <f t="shared" si="17"/>
        <v>631.94777709120183</v>
      </c>
      <c r="Y126">
        <v>546</v>
      </c>
      <c r="Z126" s="30">
        <f t="shared" si="11"/>
        <v>749.99356673711611</v>
      </c>
      <c r="AA126">
        <v>124</v>
      </c>
    </row>
    <row r="127" spans="3:27">
      <c r="C127">
        <v>3</v>
      </c>
      <c r="D127">
        <f t="shared" si="13"/>
        <v>7.0691489361702127</v>
      </c>
      <c r="F127">
        <f t="shared" si="14"/>
        <v>156.99439084622821</v>
      </c>
      <c r="G127" s="30">
        <f t="shared" si="15"/>
        <v>1.569943908462282E-3</v>
      </c>
      <c r="H127" s="30">
        <f t="shared" si="16"/>
        <v>1.6327416648007733E-3</v>
      </c>
      <c r="J127">
        <v>409</v>
      </c>
      <c r="K127">
        <f t="shared" si="18"/>
        <v>63040644.104951605</v>
      </c>
      <c r="L127" s="30">
        <f t="shared" si="17"/>
        <v>630.40644104951605</v>
      </c>
      <c r="Y127">
        <v>545</v>
      </c>
      <c r="Z127" s="30">
        <f t="shared" si="11"/>
        <v>748.45223069543033</v>
      </c>
      <c r="AA127">
        <v>125</v>
      </c>
    </row>
    <row r="128" spans="3:27">
      <c r="C128">
        <v>2</v>
      </c>
      <c r="D128">
        <f t="shared" si="13"/>
        <v>4.7127659574468082</v>
      </c>
      <c r="F128">
        <f t="shared" si="14"/>
        <v>46.516856547030564</v>
      </c>
      <c r="G128" s="30">
        <f t="shared" si="15"/>
        <v>4.6516856547030563E-4</v>
      </c>
      <c r="H128" s="30">
        <f t="shared" si="16"/>
        <v>4.8377530808911789E-4</v>
      </c>
      <c r="J128">
        <v>408</v>
      </c>
      <c r="K128">
        <f t="shared" si="18"/>
        <v>62886510.500783019</v>
      </c>
      <c r="L128" s="30">
        <f t="shared" si="17"/>
        <v>628.86510500783015</v>
      </c>
      <c r="Y128">
        <v>544</v>
      </c>
      <c r="Z128" s="30">
        <f t="shared" si="11"/>
        <v>746.91089465374432</v>
      </c>
      <c r="AA128">
        <v>126</v>
      </c>
    </row>
    <row r="129" spans="3:27">
      <c r="C129">
        <v>1</v>
      </c>
      <c r="D129">
        <f t="shared" si="13"/>
        <v>2.3563829787234041</v>
      </c>
      <c r="F129">
        <f t="shared" si="14"/>
        <v>5.8146070683788205</v>
      </c>
      <c r="G129" s="30">
        <f t="shared" si="15"/>
        <v>5.8146070683788204E-5</v>
      </c>
      <c r="H129" s="30">
        <f t="shared" si="16"/>
        <v>6.0471913511139737E-5</v>
      </c>
      <c r="J129">
        <v>407</v>
      </c>
      <c r="K129">
        <f t="shared" si="18"/>
        <v>62732376.89661444</v>
      </c>
      <c r="L129" s="30">
        <f t="shared" si="17"/>
        <v>627.32376896614437</v>
      </c>
      <c r="Y129">
        <v>543</v>
      </c>
      <c r="Z129" s="30">
        <f t="shared" si="11"/>
        <v>745.36955861205854</v>
      </c>
      <c r="AA129">
        <v>127</v>
      </c>
    </row>
    <row r="130" spans="3:27">
      <c r="C130">
        <v>0</v>
      </c>
      <c r="D130">
        <f t="shared" si="13"/>
        <v>0</v>
      </c>
      <c r="J130">
        <v>406</v>
      </c>
      <c r="K130">
        <f t="shared" si="18"/>
        <v>62578243.292445846</v>
      </c>
      <c r="L130" s="30">
        <f t="shared" si="17"/>
        <v>625.78243292445848</v>
      </c>
      <c r="Y130">
        <v>542</v>
      </c>
      <c r="Z130" s="30">
        <f t="shared" si="11"/>
        <v>743.82822257037276</v>
      </c>
      <c r="AA130">
        <v>128</v>
      </c>
    </row>
    <row r="131" spans="3:27">
      <c r="J131">
        <v>405</v>
      </c>
      <c r="K131">
        <f t="shared" si="18"/>
        <v>62424109.688277252</v>
      </c>
      <c r="L131" s="30">
        <f t="shared" si="17"/>
        <v>624.24109688277247</v>
      </c>
      <c r="Y131">
        <v>541</v>
      </c>
      <c r="Z131" s="30">
        <f t="shared" si="11"/>
        <v>742.28688652868698</v>
      </c>
      <c r="AA131">
        <v>129</v>
      </c>
    </row>
    <row r="132" spans="3:27">
      <c r="J132">
        <v>404</v>
      </c>
      <c r="K132">
        <f t="shared" si="18"/>
        <v>62269976.084108673</v>
      </c>
      <c r="L132" s="30">
        <f t="shared" si="17"/>
        <v>622.69976084108669</v>
      </c>
      <c r="Y132">
        <v>540</v>
      </c>
      <c r="Z132" s="30">
        <f t="shared" si="11"/>
        <v>740.74555048700108</v>
      </c>
      <c r="AA132">
        <v>130</v>
      </c>
    </row>
    <row r="133" spans="3:27">
      <c r="J133">
        <v>403</v>
      </c>
      <c r="K133">
        <f t="shared" si="18"/>
        <v>62115842.479940087</v>
      </c>
      <c r="L133" s="30">
        <f t="shared" si="17"/>
        <v>621.1584247994009</v>
      </c>
      <c r="Y133">
        <v>539</v>
      </c>
      <c r="Z133" s="30">
        <f t="shared" si="11"/>
        <v>739.20421444531507</v>
      </c>
      <c r="AA133">
        <v>131</v>
      </c>
    </row>
    <row r="134" spans="3:27">
      <c r="J134">
        <v>402</v>
      </c>
      <c r="K134">
        <f t="shared" si="18"/>
        <v>61961708.875771508</v>
      </c>
      <c r="L134" s="30">
        <f t="shared" si="17"/>
        <v>619.61708875771512</v>
      </c>
      <c r="Y134">
        <v>538</v>
      </c>
      <c r="Z134" s="30">
        <f t="shared" si="11"/>
        <v>737.66287840362929</v>
      </c>
      <c r="AA134">
        <v>132</v>
      </c>
    </row>
    <row r="135" spans="3:27">
      <c r="J135">
        <v>401</v>
      </c>
      <c r="K135">
        <f t="shared" si="18"/>
        <v>61807575.271602914</v>
      </c>
      <c r="L135" s="30">
        <f t="shared" si="17"/>
        <v>618.07575271602911</v>
      </c>
      <c r="Y135">
        <v>537</v>
      </c>
      <c r="Z135" s="30">
        <f t="shared" si="11"/>
        <v>736.1215423619434</v>
      </c>
      <c r="AA135">
        <v>133</v>
      </c>
    </row>
    <row r="136" spans="3:27">
      <c r="J136">
        <v>400</v>
      </c>
      <c r="K136">
        <f t="shared" si="18"/>
        <v>61653441.667434335</v>
      </c>
      <c r="L136" s="30">
        <f t="shared" si="17"/>
        <v>616.53441667434333</v>
      </c>
      <c r="Y136">
        <v>536</v>
      </c>
      <c r="Z136" s="30">
        <f t="shared" si="11"/>
        <v>734.58020632025762</v>
      </c>
      <c r="AA136">
        <v>134</v>
      </c>
    </row>
    <row r="137" spans="3:27">
      <c r="J137">
        <v>399</v>
      </c>
      <c r="K137">
        <f t="shared" si="18"/>
        <v>61499308.063265741</v>
      </c>
      <c r="L137" s="30">
        <f t="shared" si="17"/>
        <v>614.99308063265744</v>
      </c>
      <c r="Y137">
        <v>535</v>
      </c>
      <c r="Z137" s="30">
        <f t="shared" si="11"/>
        <v>733.03887027857161</v>
      </c>
      <c r="AA137">
        <v>135</v>
      </c>
    </row>
    <row r="138" spans="3:27">
      <c r="J138">
        <v>398</v>
      </c>
      <c r="K138">
        <f t="shared" si="18"/>
        <v>61345174.459097162</v>
      </c>
      <c r="L138" s="30">
        <f t="shared" si="17"/>
        <v>613.45174459097166</v>
      </c>
      <c r="Y138">
        <v>534</v>
      </c>
      <c r="Z138" s="30">
        <f t="shared" si="11"/>
        <v>731.49753423688583</v>
      </c>
      <c r="AA138">
        <v>136</v>
      </c>
    </row>
    <row r="139" spans="3:27">
      <c r="J139">
        <v>397</v>
      </c>
      <c r="K139">
        <f t="shared" si="18"/>
        <v>61191040.854928575</v>
      </c>
      <c r="L139" s="30">
        <f t="shared" si="17"/>
        <v>611.91040854928576</v>
      </c>
      <c r="Y139">
        <v>533</v>
      </c>
      <c r="Z139" s="30">
        <f t="shared" si="11"/>
        <v>729.95619819519993</v>
      </c>
      <c r="AA139">
        <v>137</v>
      </c>
    </row>
    <row r="140" spans="3:27">
      <c r="J140">
        <v>396</v>
      </c>
      <c r="K140">
        <f t="shared" si="18"/>
        <v>61036907.250759989</v>
      </c>
      <c r="L140" s="30">
        <f t="shared" si="17"/>
        <v>610.36907250759987</v>
      </c>
      <c r="Y140">
        <v>532</v>
      </c>
      <c r="Z140" s="30">
        <f t="shared" si="11"/>
        <v>728.41486215351415</v>
      </c>
      <c r="AA140">
        <v>138</v>
      </c>
    </row>
    <row r="141" spans="3:27">
      <c r="J141">
        <v>395</v>
      </c>
      <c r="K141">
        <f t="shared" si="18"/>
        <v>60882773.646591403</v>
      </c>
      <c r="L141" s="30">
        <f t="shared" si="17"/>
        <v>608.82773646591397</v>
      </c>
      <c r="Y141">
        <v>531</v>
      </c>
      <c r="Z141" s="30">
        <f t="shared" si="11"/>
        <v>726.87352611182837</v>
      </c>
      <c r="AA141">
        <v>139</v>
      </c>
    </row>
    <row r="142" spans="3:27">
      <c r="J142">
        <v>394</v>
      </c>
      <c r="K142">
        <f t="shared" si="18"/>
        <v>60728640.042422809</v>
      </c>
      <c r="L142" s="30">
        <f t="shared" si="17"/>
        <v>607.28640042422808</v>
      </c>
      <c r="Y142">
        <v>530</v>
      </c>
      <c r="Z142" s="30">
        <f t="shared" si="11"/>
        <v>725.33219007014259</v>
      </c>
      <c r="AA142">
        <v>140</v>
      </c>
    </row>
    <row r="143" spans="3:27">
      <c r="J143">
        <v>393</v>
      </c>
      <c r="K143">
        <f t="shared" si="18"/>
        <v>60574506.43825423</v>
      </c>
      <c r="L143" s="30">
        <f t="shared" si="17"/>
        <v>605.7450643825423</v>
      </c>
      <c r="Y143">
        <v>529</v>
      </c>
      <c r="Z143" s="30">
        <f t="shared" si="11"/>
        <v>723.79085402845658</v>
      </c>
      <c r="AA143">
        <v>141</v>
      </c>
    </row>
    <row r="144" spans="3:27">
      <c r="J144">
        <v>392</v>
      </c>
      <c r="K144">
        <f t="shared" si="18"/>
        <v>60420372.834085643</v>
      </c>
      <c r="L144" s="30">
        <f t="shared" si="17"/>
        <v>604.2037283408564</v>
      </c>
      <c r="Y144">
        <v>528</v>
      </c>
      <c r="Z144" s="30">
        <f t="shared" si="11"/>
        <v>722.24951798677068</v>
      </c>
      <c r="AA144">
        <v>142</v>
      </c>
    </row>
    <row r="145" spans="10:27">
      <c r="J145">
        <v>391</v>
      </c>
      <c r="K145">
        <f t="shared" si="18"/>
        <v>60266239.229917057</v>
      </c>
      <c r="L145" s="30">
        <f t="shared" si="17"/>
        <v>602.66239229917062</v>
      </c>
      <c r="Y145">
        <v>527</v>
      </c>
      <c r="Z145" s="30">
        <f t="shared" ref="Z145:Z208" si="19">L101+$H$36</f>
        <v>720.7081819450849</v>
      </c>
      <c r="AA145">
        <v>143</v>
      </c>
    </row>
    <row r="146" spans="10:27">
      <c r="J146">
        <v>390</v>
      </c>
      <c r="K146">
        <f t="shared" si="18"/>
        <v>60112105.62574847</v>
      </c>
      <c r="L146" s="30">
        <f t="shared" si="17"/>
        <v>601.12105625748472</v>
      </c>
      <c r="Y146">
        <v>526</v>
      </c>
      <c r="Z146" s="30">
        <f t="shared" si="19"/>
        <v>719.16684590339889</v>
      </c>
      <c r="AA146">
        <v>144</v>
      </c>
    </row>
    <row r="147" spans="10:27">
      <c r="J147">
        <v>389</v>
      </c>
      <c r="K147">
        <f t="shared" si="18"/>
        <v>59957972.021579891</v>
      </c>
      <c r="L147" s="30">
        <f t="shared" si="17"/>
        <v>599.57972021579894</v>
      </c>
      <c r="Y147">
        <v>525</v>
      </c>
      <c r="Z147" s="30">
        <f t="shared" si="19"/>
        <v>717.62550986171311</v>
      </c>
      <c r="AA147">
        <v>145</v>
      </c>
    </row>
    <row r="148" spans="10:27">
      <c r="J148">
        <v>388</v>
      </c>
      <c r="K148">
        <f t="shared" si="18"/>
        <v>59803838.417411298</v>
      </c>
      <c r="L148" s="30">
        <f t="shared" si="17"/>
        <v>598.03838417411293</v>
      </c>
      <c r="Y148">
        <v>524</v>
      </c>
      <c r="Z148" s="30">
        <f t="shared" si="19"/>
        <v>716.08417382002733</v>
      </c>
      <c r="AA148">
        <v>146</v>
      </c>
    </row>
    <row r="149" spans="10:27">
      <c r="J149">
        <v>387</v>
      </c>
      <c r="K149">
        <f t="shared" si="18"/>
        <v>59649704.813242719</v>
      </c>
      <c r="L149" s="30">
        <f t="shared" si="17"/>
        <v>596.49704813242715</v>
      </c>
      <c r="Y149">
        <v>523</v>
      </c>
      <c r="Z149" s="30">
        <f t="shared" si="19"/>
        <v>714.54283777834144</v>
      </c>
      <c r="AA149">
        <v>147</v>
      </c>
    </row>
    <row r="150" spans="10:27">
      <c r="J150">
        <v>386</v>
      </c>
      <c r="K150">
        <f t="shared" si="18"/>
        <v>59495571.209074125</v>
      </c>
      <c r="L150" s="30">
        <f t="shared" si="17"/>
        <v>594.95571209074126</v>
      </c>
      <c r="Y150">
        <v>522</v>
      </c>
      <c r="Z150" s="30">
        <f t="shared" si="19"/>
        <v>713.00150173665554</v>
      </c>
      <c r="AA150">
        <v>148</v>
      </c>
    </row>
    <row r="151" spans="10:27">
      <c r="J151">
        <v>385</v>
      </c>
      <c r="K151">
        <f t="shared" si="18"/>
        <v>59341437.604905546</v>
      </c>
      <c r="L151" s="30">
        <f t="shared" si="17"/>
        <v>593.41437604905548</v>
      </c>
      <c r="Y151">
        <v>521</v>
      </c>
      <c r="Z151" s="30">
        <f t="shared" si="19"/>
        <v>711.46016569496976</v>
      </c>
      <c r="AA151">
        <v>149</v>
      </c>
    </row>
    <row r="152" spans="10:27">
      <c r="J152">
        <v>384</v>
      </c>
      <c r="K152">
        <f t="shared" si="18"/>
        <v>59187304.000736959</v>
      </c>
      <c r="L152" s="30">
        <f t="shared" si="17"/>
        <v>591.87304000736958</v>
      </c>
      <c r="Y152">
        <v>520</v>
      </c>
      <c r="Z152" s="30">
        <f t="shared" si="19"/>
        <v>709.91882965328386</v>
      </c>
      <c r="AA152">
        <v>150</v>
      </c>
    </row>
    <row r="153" spans="10:27">
      <c r="J153">
        <v>383</v>
      </c>
      <c r="K153">
        <f t="shared" si="18"/>
        <v>59033170.396568365</v>
      </c>
      <c r="L153" s="30">
        <f t="shared" si="17"/>
        <v>590.33170396568369</v>
      </c>
      <c r="Y153">
        <v>519</v>
      </c>
      <c r="Z153" s="30">
        <f t="shared" si="19"/>
        <v>708.37749361159808</v>
      </c>
      <c r="AA153">
        <v>151</v>
      </c>
    </row>
    <row r="154" spans="10:27">
      <c r="J154">
        <v>382</v>
      </c>
      <c r="K154">
        <f t="shared" si="18"/>
        <v>58879036.792399786</v>
      </c>
      <c r="L154" s="30">
        <f t="shared" si="17"/>
        <v>588.79036792399791</v>
      </c>
      <c r="Y154">
        <v>518</v>
      </c>
      <c r="Z154" s="30">
        <f t="shared" si="19"/>
        <v>706.83615756991207</v>
      </c>
      <c r="AA154">
        <v>152</v>
      </c>
    </row>
    <row r="155" spans="10:27">
      <c r="J155">
        <v>381</v>
      </c>
      <c r="K155">
        <f t="shared" si="18"/>
        <v>58724903.188231193</v>
      </c>
      <c r="L155" s="30">
        <f t="shared" si="17"/>
        <v>587.2490318823119</v>
      </c>
      <c r="Y155">
        <v>517</v>
      </c>
      <c r="Z155" s="30">
        <f t="shared" si="19"/>
        <v>705.29482152822618</v>
      </c>
      <c r="AA155">
        <v>153</v>
      </c>
    </row>
    <row r="156" spans="10:27">
      <c r="J156">
        <v>380</v>
      </c>
      <c r="K156">
        <f t="shared" si="18"/>
        <v>58570769.584062614</v>
      </c>
      <c r="L156" s="30">
        <f t="shared" si="17"/>
        <v>585.70769584062612</v>
      </c>
      <c r="Y156">
        <v>516</v>
      </c>
      <c r="Z156" s="30">
        <f t="shared" si="19"/>
        <v>703.7534854865404</v>
      </c>
      <c r="AA156">
        <v>154</v>
      </c>
    </row>
    <row r="157" spans="10:27">
      <c r="J157">
        <v>379</v>
      </c>
      <c r="K157">
        <f t="shared" si="18"/>
        <v>58416635.979894027</v>
      </c>
      <c r="L157" s="30">
        <f t="shared" si="17"/>
        <v>584.16635979894022</v>
      </c>
      <c r="Y157">
        <v>515</v>
      </c>
      <c r="Z157" s="30">
        <f t="shared" si="19"/>
        <v>702.2121494448545</v>
      </c>
      <c r="AA157">
        <v>155</v>
      </c>
    </row>
    <row r="158" spans="10:27">
      <c r="J158">
        <v>378</v>
      </c>
      <c r="K158">
        <f t="shared" si="18"/>
        <v>58262502.375725448</v>
      </c>
      <c r="L158" s="30">
        <f t="shared" si="17"/>
        <v>582.62502375725444</v>
      </c>
      <c r="Y158">
        <v>514</v>
      </c>
      <c r="Z158" s="30">
        <f t="shared" si="19"/>
        <v>700.67081340316872</v>
      </c>
      <c r="AA158">
        <v>156</v>
      </c>
    </row>
    <row r="159" spans="10:27">
      <c r="J159">
        <v>377</v>
      </c>
      <c r="K159">
        <f t="shared" si="18"/>
        <v>58108368.771556854</v>
      </c>
      <c r="L159" s="30">
        <f t="shared" si="17"/>
        <v>581.08368771556854</v>
      </c>
      <c r="Y159">
        <v>513</v>
      </c>
      <c r="Z159" s="30">
        <f t="shared" si="19"/>
        <v>699.12947736148271</v>
      </c>
      <c r="AA159">
        <v>157</v>
      </c>
    </row>
    <row r="160" spans="10:27">
      <c r="J160">
        <v>376</v>
      </c>
      <c r="K160">
        <f t="shared" si="18"/>
        <v>57954235.167388275</v>
      </c>
      <c r="L160" s="30">
        <f t="shared" si="17"/>
        <v>579.54235167388276</v>
      </c>
      <c r="Y160">
        <v>512</v>
      </c>
      <c r="Z160" s="30">
        <f t="shared" si="19"/>
        <v>697.58814131979693</v>
      </c>
      <c r="AA160">
        <v>158</v>
      </c>
    </row>
    <row r="161" spans="10:27">
      <c r="J161">
        <v>375</v>
      </c>
      <c r="K161">
        <f t="shared" si="18"/>
        <v>57800101.563219681</v>
      </c>
      <c r="L161" s="30">
        <f t="shared" si="17"/>
        <v>578.00101563219687</v>
      </c>
      <c r="Y161">
        <v>511</v>
      </c>
      <c r="Z161" s="30">
        <f t="shared" si="19"/>
        <v>696.04680527811115</v>
      </c>
      <c r="AA161">
        <v>159</v>
      </c>
    </row>
    <row r="162" spans="10:27">
      <c r="J162">
        <v>374</v>
      </c>
      <c r="K162">
        <f t="shared" si="18"/>
        <v>57645967.959051102</v>
      </c>
      <c r="L162" s="30">
        <f t="shared" si="17"/>
        <v>576.45967959051097</v>
      </c>
      <c r="Y162">
        <v>510</v>
      </c>
      <c r="Z162" s="30">
        <f t="shared" si="19"/>
        <v>694.50546923642537</v>
      </c>
      <c r="AA162">
        <v>160</v>
      </c>
    </row>
    <row r="163" spans="10:27">
      <c r="J163">
        <v>373</v>
      </c>
      <c r="K163">
        <f t="shared" si="18"/>
        <v>57491834.354882516</v>
      </c>
      <c r="L163" s="30">
        <f t="shared" si="17"/>
        <v>574.91834354882519</v>
      </c>
      <c r="Y163">
        <v>509</v>
      </c>
      <c r="Z163" s="30">
        <f t="shared" si="19"/>
        <v>692.96413319473936</v>
      </c>
      <c r="AA163">
        <v>161</v>
      </c>
    </row>
    <row r="164" spans="10:27">
      <c r="J164">
        <v>372</v>
      </c>
      <c r="K164">
        <f t="shared" si="18"/>
        <v>57337700.750713922</v>
      </c>
      <c r="L164" s="30">
        <f t="shared" si="17"/>
        <v>573.37700750713918</v>
      </c>
      <c r="Y164">
        <v>508</v>
      </c>
      <c r="Z164" s="30">
        <f t="shared" si="19"/>
        <v>691.42279715305358</v>
      </c>
      <c r="AA164">
        <v>162</v>
      </c>
    </row>
    <row r="165" spans="10:27">
      <c r="J165">
        <v>371</v>
      </c>
      <c r="K165">
        <f t="shared" si="18"/>
        <v>57183567.146545343</v>
      </c>
      <c r="L165" s="30">
        <f t="shared" ref="L165:L228" si="20">K165/100000</f>
        <v>571.8356714654534</v>
      </c>
      <c r="Y165">
        <v>507</v>
      </c>
      <c r="Z165" s="30">
        <f t="shared" si="19"/>
        <v>689.88146111136768</v>
      </c>
      <c r="AA165">
        <v>163</v>
      </c>
    </row>
    <row r="166" spans="10:27">
      <c r="J166">
        <v>370</v>
      </c>
      <c r="K166">
        <f t="shared" ref="K166:K229" si="21">$A$1*J166*221.5^2</f>
        <v>57029433.542376749</v>
      </c>
      <c r="L166" s="30">
        <f t="shared" si="20"/>
        <v>570.29433542376751</v>
      </c>
      <c r="Y166">
        <v>506</v>
      </c>
      <c r="Z166" s="30">
        <f t="shared" si="19"/>
        <v>688.34012506968179</v>
      </c>
      <c r="AA166">
        <v>164</v>
      </c>
    </row>
    <row r="167" spans="10:27">
      <c r="J167">
        <v>369</v>
      </c>
      <c r="K167">
        <f t="shared" si="21"/>
        <v>56875299.93820817</v>
      </c>
      <c r="L167" s="30">
        <f t="shared" si="20"/>
        <v>568.75299938208173</v>
      </c>
      <c r="Y167">
        <v>505</v>
      </c>
      <c r="Z167" s="30">
        <f t="shared" si="19"/>
        <v>686.79878902799601</v>
      </c>
      <c r="AA167">
        <v>165</v>
      </c>
    </row>
    <row r="168" spans="10:27">
      <c r="J168">
        <v>368</v>
      </c>
      <c r="K168">
        <f t="shared" si="21"/>
        <v>56721166.334039584</v>
      </c>
      <c r="L168" s="30">
        <f t="shared" si="20"/>
        <v>567.21166334039583</v>
      </c>
      <c r="Y168">
        <v>504</v>
      </c>
      <c r="Z168" s="30">
        <f t="shared" si="19"/>
        <v>685.25745298631011</v>
      </c>
      <c r="AA168">
        <v>166</v>
      </c>
    </row>
    <row r="169" spans="10:27">
      <c r="J169">
        <v>367</v>
      </c>
      <c r="K169">
        <f t="shared" si="21"/>
        <v>56567032.729871005</v>
      </c>
      <c r="L169" s="30">
        <f t="shared" si="20"/>
        <v>565.67032729871005</v>
      </c>
      <c r="Y169">
        <v>503</v>
      </c>
      <c r="Z169" s="30">
        <f t="shared" si="19"/>
        <v>683.71611694462433</v>
      </c>
      <c r="AA169">
        <v>167</v>
      </c>
    </row>
    <row r="170" spans="10:27">
      <c r="J170">
        <v>366</v>
      </c>
      <c r="K170">
        <f t="shared" si="21"/>
        <v>56412899.125702411</v>
      </c>
      <c r="L170" s="30">
        <f t="shared" si="20"/>
        <v>564.12899125702415</v>
      </c>
      <c r="Y170">
        <v>502</v>
      </c>
      <c r="Z170" s="30">
        <f t="shared" si="19"/>
        <v>682.17478090293832</v>
      </c>
      <c r="AA170">
        <v>168</v>
      </c>
    </row>
    <row r="171" spans="10:27">
      <c r="J171">
        <v>365</v>
      </c>
      <c r="K171">
        <f t="shared" si="21"/>
        <v>56258765.521533832</v>
      </c>
      <c r="L171" s="30">
        <f t="shared" si="20"/>
        <v>562.58765521533837</v>
      </c>
      <c r="Y171">
        <v>501</v>
      </c>
      <c r="Z171" s="30">
        <f t="shared" si="19"/>
        <v>680.63344486125254</v>
      </c>
      <c r="AA171">
        <v>169</v>
      </c>
    </row>
    <row r="172" spans="10:27">
      <c r="J172">
        <v>364</v>
      </c>
      <c r="K172">
        <f t="shared" si="21"/>
        <v>56104631.917365238</v>
      </c>
      <c r="L172" s="30">
        <f t="shared" si="20"/>
        <v>561.04631917365236</v>
      </c>
      <c r="Y172">
        <v>500</v>
      </c>
      <c r="Z172" s="30">
        <f t="shared" si="19"/>
        <v>679.09210881956665</v>
      </c>
      <c r="AA172">
        <v>170</v>
      </c>
    </row>
    <row r="173" spans="10:27">
      <c r="J173">
        <v>363</v>
      </c>
      <c r="K173">
        <f t="shared" si="21"/>
        <v>55950498.313196659</v>
      </c>
      <c r="L173" s="30">
        <f t="shared" si="20"/>
        <v>559.50498313196658</v>
      </c>
      <c r="Y173">
        <v>499</v>
      </c>
      <c r="Z173" s="30">
        <f t="shared" si="19"/>
        <v>677.55077277788087</v>
      </c>
      <c r="AA173">
        <v>171</v>
      </c>
    </row>
    <row r="174" spans="10:27">
      <c r="J174">
        <v>362</v>
      </c>
      <c r="K174">
        <f t="shared" si="21"/>
        <v>55796364.709028073</v>
      </c>
      <c r="L174" s="30">
        <f t="shared" si="20"/>
        <v>557.96364709028069</v>
      </c>
      <c r="Y174">
        <v>498</v>
      </c>
      <c r="Z174" s="30">
        <f t="shared" si="19"/>
        <v>676.00943673619497</v>
      </c>
      <c r="AA174">
        <v>172</v>
      </c>
    </row>
    <row r="175" spans="10:27">
      <c r="J175">
        <v>361</v>
      </c>
      <c r="K175">
        <f t="shared" si="21"/>
        <v>55642231.104859479</v>
      </c>
      <c r="L175" s="30">
        <f t="shared" si="20"/>
        <v>556.42231104859479</v>
      </c>
      <c r="Y175">
        <v>497</v>
      </c>
      <c r="Z175" s="30">
        <f t="shared" si="19"/>
        <v>674.46810069450896</v>
      </c>
      <c r="AA175">
        <v>173</v>
      </c>
    </row>
    <row r="176" spans="10:27">
      <c r="J176">
        <v>360</v>
      </c>
      <c r="K176">
        <f t="shared" si="21"/>
        <v>55488097.5006909</v>
      </c>
      <c r="L176" s="30">
        <f t="shared" si="20"/>
        <v>554.88097500690901</v>
      </c>
      <c r="Y176">
        <v>496</v>
      </c>
      <c r="Z176" s="30">
        <f t="shared" si="19"/>
        <v>672.92676465282318</v>
      </c>
      <c r="AA176">
        <v>174</v>
      </c>
    </row>
    <row r="177" spans="10:27">
      <c r="J177">
        <v>359</v>
      </c>
      <c r="K177">
        <f t="shared" si="21"/>
        <v>55333963.896522306</v>
      </c>
      <c r="L177" s="30">
        <f t="shared" si="20"/>
        <v>553.339638965223</v>
      </c>
      <c r="Y177">
        <v>495</v>
      </c>
      <c r="Z177" s="30">
        <f t="shared" si="19"/>
        <v>671.3854286111374</v>
      </c>
      <c r="AA177">
        <v>175</v>
      </c>
    </row>
    <row r="178" spans="10:27">
      <c r="J178">
        <v>358</v>
      </c>
      <c r="K178">
        <f t="shared" si="21"/>
        <v>55179830.292353727</v>
      </c>
      <c r="L178" s="30">
        <f t="shared" si="20"/>
        <v>551.79830292353722</v>
      </c>
      <c r="Y178">
        <v>494</v>
      </c>
      <c r="Z178" s="30">
        <f t="shared" si="19"/>
        <v>669.84409256945162</v>
      </c>
      <c r="AA178">
        <v>176</v>
      </c>
    </row>
    <row r="179" spans="10:27">
      <c r="J179">
        <v>357</v>
      </c>
      <c r="K179">
        <f t="shared" si="21"/>
        <v>55025696.68818514</v>
      </c>
      <c r="L179" s="30">
        <f t="shared" si="20"/>
        <v>550.25696688185144</v>
      </c>
      <c r="Y179">
        <v>493</v>
      </c>
      <c r="Z179" s="30">
        <f t="shared" si="19"/>
        <v>668.30275652776561</v>
      </c>
      <c r="AA179">
        <v>177</v>
      </c>
    </row>
    <row r="180" spans="10:27">
      <c r="J180">
        <v>356</v>
      </c>
      <c r="K180">
        <f t="shared" si="21"/>
        <v>54871563.084016562</v>
      </c>
      <c r="L180" s="30">
        <f t="shared" si="20"/>
        <v>548.71563084016566</v>
      </c>
      <c r="Y180">
        <v>492</v>
      </c>
      <c r="Z180" s="30">
        <f t="shared" si="19"/>
        <v>666.76142048607983</v>
      </c>
      <c r="AA180">
        <v>178</v>
      </c>
    </row>
    <row r="181" spans="10:27">
      <c r="J181">
        <v>355</v>
      </c>
      <c r="K181">
        <f t="shared" si="21"/>
        <v>54717429.479847968</v>
      </c>
      <c r="L181" s="30">
        <f t="shared" si="20"/>
        <v>547.17429479847965</v>
      </c>
      <c r="Y181">
        <v>491</v>
      </c>
      <c r="Z181" s="30">
        <f t="shared" si="19"/>
        <v>665.22008444439393</v>
      </c>
      <c r="AA181">
        <v>179</v>
      </c>
    </row>
    <row r="182" spans="10:27">
      <c r="J182">
        <v>354</v>
      </c>
      <c r="K182">
        <f t="shared" si="21"/>
        <v>54563295.875679389</v>
      </c>
      <c r="L182" s="30">
        <f t="shared" si="20"/>
        <v>545.63295875679387</v>
      </c>
      <c r="Y182">
        <v>490</v>
      </c>
      <c r="Z182" s="30">
        <f t="shared" si="19"/>
        <v>663.67874840270815</v>
      </c>
      <c r="AA182">
        <v>180</v>
      </c>
    </row>
    <row r="183" spans="10:27">
      <c r="J183">
        <v>353</v>
      </c>
      <c r="K183">
        <f t="shared" si="21"/>
        <v>54409162.271510795</v>
      </c>
      <c r="L183" s="30">
        <f t="shared" si="20"/>
        <v>544.09162271510797</v>
      </c>
      <c r="Y183">
        <v>489</v>
      </c>
      <c r="Z183" s="30">
        <f t="shared" si="19"/>
        <v>662.13741236102226</v>
      </c>
      <c r="AA183">
        <v>181</v>
      </c>
    </row>
    <row r="184" spans="10:27">
      <c r="J184">
        <v>352</v>
      </c>
      <c r="K184">
        <f t="shared" si="21"/>
        <v>54255028.667342208</v>
      </c>
      <c r="L184" s="30">
        <f t="shared" si="20"/>
        <v>542.55028667342208</v>
      </c>
      <c r="Y184">
        <v>488</v>
      </c>
      <c r="Z184" s="30">
        <f t="shared" si="19"/>
        <v>660.59607631933636</v>
      </c>
      <c r="AA184">
        <v>182</v>
      </c>
    </row>
    <row r="185" spans="10:27">
      <c r="J185">
        <v>351</v>
      </c>
      <c r="K185">
        <f t="shared" si="21"/>
        <v>54100895.063173629</v>
      </c>
      <c r="L185" s="30">
        <f t="shared" si="20"/>
        <v>541.0089506317363</v>
      </c>
      <c r="Y185">
        <v>487</v>
      </c>
      <c r="Z185" s="30">
        <f t="shared" si="19"/>
        <v>659.05474027765047</v>
      </c>
      <c r="AA185">
        <v>183</v>
      </c>
    </row>
    <row r="186" spans="10:27">
      <c r="J186">
        <v>350</v>
      </c>
      <c r="K186">
        <f t="shared" si="21"/>
        <v>53946761.459005035</v>
      </c>
      <c r="L186" s="30">
        <f t="shared" si="20"/>
        <v>539.4676145900504</v>
      </c>
      <c r="Y186">
        <v>486</v>
      </c>
      <c r="Z186" s="30">
        <f t="shared" si="19"/>
        <v>657.51340423596457</v>
      </c>
      <c r="AA186">
        <v>184</v>
      </c>
    </row>
    <row r="187" spans="10:27">
      <c r="J187">
        <v>349</v>
      </c>
      <c r="K187">
        <f t="shared" si="21"/>
        <v>53792627.854836456</v>
      </c>
      <c r="L187" s="30">
        <f t="shared" si="20"/>
        <v>537.92627854836462</v>
      </c>
      <c r="Y187">
        <v>485</v>
      </c>
      <c r="Z187" s="30">
        <f t="shared" si="19"/>
        <v>655.97206819427879</v>
      </c>
      <c r="AA187">
        <v>185</v>
      </c>
    </row>
    <row r="188" spans="10:27">
      <c r="J188">
        <v>348</v>
      </c>
      <c r="K188">
        <f t="shared" si="21"/>
        <v>53638494.250667863</v>
      </c>
      <c r="L188" s="30">
        <f t="shared" si="20"/>
        <v>536.38494250667861</v>
      </c>
      <c r="Y188">
        <v>484</v>
      </c>
      <c r="Z188" s="30">
        <f t="shared" si="19"/>
        <v>654.4307321525929</v>
      </c>
      <c r="AA188">
        <v>186</v>
      </c>
    </row>
    <row r="189" spans="10:27">
      <c r="J189">
        <v>347</v>
      </c>
      <c r="K189">
        <f t="shared" si="21"/>
        <v>53484360.646499284</v>
      </c>
      <c r="L189" s="30">
        <f t="shared" si="20"/>
        <v>534.84360646499283</v>
      </c>
      <c r="Y189">
        <v>483</v>
      </c>
      <c r="Z189" s="30">
        <f t="shared" si="19"/>
        <v>652.88939611090711</v>
      </c>
      <c r="AA189">
        <v>187</v>
      </c>
    </row>
    <row r="190" spans="10:27">
      <c r="J190">
        <v>346</v>
      </c>
      <c r="K190">
        <f t="shared" si="21"/>
        <v>53330227.042330697</v>
      </c>
      <c r="L190" s="30">
        <f t="shared" si="20"/>
        <v>533.30227042330694</v>
      </c>
      <c r="Y190">
        <v>482</v>
      </c>
      <c r="Z190" s="30">
        <f t="shared" si="19"/>
        <v>651.34806006922122</v>
      </c>
      <c r="AA190">
        <v>188</v>
      </c>
    </row>
    <row r="191" spans="10:27">
      <c r="J191">
        <v>345</v>
      </c>
      <c r="K191">
        <f t="shared" si="21"/>
        <v>53176093.438162111</v>
      </c>
      <c r="L191" s="30">
        <f t="shared" si="20"/>
        <v>531.76093438162115</v>
      </c>
      <c r="Y191">
        <v>481</v>
      </c>
      <c r="Z191" s="30">
        <f t="shared" si="19"/>
        <v>649.80672402753544</v>
      </c>
      <c r="AA191">
        <v>189</v>
      </c>
    </row>
    <row r="192" spans="10:27">
      <c r="J192">
        <v>344</v>
      </c>
      <c r="K192">
        <f t="shared" si="21"/>
        <v>53021959.833993524</v>
      </c>
      <c r="L192" s="30">
        <f t="shared" si="20"/>
        <v>530.21959833993526</v>
      </c>
      <c r="Y192">
        <v>480</v>
      </c>
      <c r="Z192" s="30">
        <f t="shared" si="19"/>
        <v>648.26538798584943</v>
      </c>
      <c r="AA192">
        <v>190</v>
      </c>
    </row>
    <row r="193" spans="10:27">
      <c r="J193">
        <v>343</v>
      </c>
      <c r="K193">
        <f t="shared" si="21"/>
        <v>52867826.229824945</v>
      </c>
      <c r="L193" s="30">
        <f t="shared" si="20"/>
        <v>528.67826229824948</v>
      </c>
      <c r="Y193">
        <v>479</v>
      </c>
      <c r="Z193" s="30">
        <f t="shared" si="19"/>
        <v>646.72405194416365</v>
      </c>
      <c r="AA193">
        <v>191</v>
      </c>
    </row>
    <row r="194" spans="10:27">
      <c r="J194">
        <v>342</v>
      </c>
      <c r="K194">
        <f t="shared" si="21"/>
        <v>52713692.625656351</v>
      </c>
      <c r="L194" s="30">
        <f t="shared" si="20"/>
        <v>527.13692625656347</v>
      </c>
      <c r="Y194">
        <v>478</v>
      </c>
      <c r="Z194" s="30">
        <f t="shared" si="19"/>
        <v>645.18271590247775</v>
      </c>
      <c r="AA194">
        <v>192</v>
      </c>
    </row>
    <row r="195" spans="10:27">
      <c r="J195">
        <v>341</v>
      </c>
      <c r="K195">
        <f t="shared" si="21"/>
        <v>52559559.021487765</v>
      </c>
      <c r="L195" s="30">
        <f t="shared" si="20"/>
        <v>525.59559021487769</v>
      </c>
      <c r="Y195">
        <v>477</v>
      </c>
      <c r="Z195" s="30">
        <f t="shared" si="19"/>
        <v>643.64137986079197</v>
      </c>
      <c r="AA195">
        <v>193</v>
      </c>
    </row>
    <row r="196" spans="10:27">
      <c r="J196">
        <v>340</v>
      </c>
      <c r="K196">
        <f t="shared" si="21"/>
        <v>52405425.417319179</v>
      </c>
      <c r="L196" s="30">
        <f t="shared" si="20"/>
        <v>524.05425417319179</v>
      </c>
      <c r="Y196">
        <v>476</v>
      </c>
      <c r="Z196" s="30">
        <f t="shared" si="19"/>
        <v>642.10004381910608</v>
      </c>
      <c r="AA196">
        <v>194</v>
      </c>
    </row>
    <row r="197" spans="10:27">
      <c r="J197">
        <v>339</v>
      </c>
      <c r="K197">
        <f t="shared" si="21"/>
        <v>52251291.813150592</v>
      </c>
      <c r="L197" s="30">
        <f t="shared" si="20"/>
        <v>522.5129181315059</v>
      </c>
      <c r="Y197">
        <v>475</v>
      </c>
      <c r="Z197" s="30">
        <f t="shared" si="19"/>
        <v>640.55870777742018</v>
      </c>
      <c r="AA197">
        <v>195</v>
      </c>
    </row>
    <row r="198" spans="10:27">
      <c r="J198">
        <v>338</v>
      </c>
      <c r="K198">
        <f t="shared" si="21"/>
        <v>52097158.208982013</v>
      </c>
      <c r="L198" s="30">
        <f t="shared" si="20"/>
        <v>520.97158208982012</v>
      </c>
      <c r="Y198">
        <v>474</v>
      </c>
      <c r="Z198" s="30">
        <f t="shared" si="19"/>
        <v>639.0173717357344</v>
      </c>
      <c r="AA198">
        <v>196</v>
      </c>
    </row>
    <row r="199" spans="10:27">
      <c r="J199">
        <v>337</v>
      </c>
      <c r="K199">
        <f t="shared" si="21"/>
        <v>51943024.604813419</v>
      </c>
      <c r="L199" s="30">
        <f t="shared" si="20"/>
        <v>519.43024604813422</v>
      </c>
      <c r="Y199">
        <v>473</v>
      </c>
      <c r="Z199" s="30">
        <f t="shared" si="19"/>
        <v>637.47603569404839</v>
      </c>
      <c r="AA199">
        <v>197</v>
      </c>
    </row>
    <row r="200" spans="10:27">
      <c r="J200">
        <v>336</v>
      </c>
      <c r="K200">
        <f t="shared" si="21"/>
        <v>51788891.00064484</v>
      </c>
      <c r="L200" s="30">
        <f t="shared" si="20"/>
        <v>517.88891000644844</v>
      </c>
      <c r="Y200">
        <v>472</v>
      </c>
      <c r="Z200" s="30">
        <f t="shared" si="19"/>
        <v>635.93469965236261</v>
      </c>
      <c r="AA200">
        <v>198</v>
      </c>
    </row>
    <row r="201" spans="10:27">
      <c r="J201">
        <v>335</v>
      </c>
      <c r="K201">
        <f t="shared" si="21"/>
        <v>51634757.396476246</v>
      </c>
      <c r="L201" s="30">
        <f t="shared" si="20"/>
        <v>516.34757396476243</v>
      </c>
      <c r="Y201">
        <v>471</v>
      </c>
      <c r="Z201" s="30">
        <f t="shared" si="19"/>
        <v>634.39336361067672</v>
      </c>
      <c r="AA201">
        <v>199</v>
      </c>
    </row>
    <row r="202" spans="10:27">
      <c r="J202">
        <v>334</v>
      </c>
      <c r="K202">
        <f t="shared" si="21"/>
        <v>51480623.792307667</v>
      </c>
      <c r="L202" s="30">
        <f t="shared" si="20"/>
        <v>514.80623792307665</v>
      </c>
      <c r="Y202">
        <v>470</v>
      </c>
      <c r="Z202" s="30">
        <f t="shared" si="19"/>
        <v>632.85202756899093</v>
      </c>
      <c r="AA202">
        <v>200</v>
      </c>
    </row>
    <row r="203" spans="10:27">
      <c r="J203">
        <v>333</v>
      </c>
      <c r="K203">
        <f t="shared" si="21"/>
        <v>51326490.188139081</v>
      </c>
      <c r="L203" s="30">
        <f t="shared" si="20"/>
        <v>513.26490188139076</v>
      </c>
      <c r="Y203">
        <v>469</v>
      </c>
      <c r="Z203" s="30">
        <f t="shared" si="19"/>
        <v>631.31069152730504</v>
      </c>
      <c r="AA203">
        <v>201</v>
      </c>
    </row>
    <row r="204" spans="10:27">
      <c r="J204">
        <v>332</v>
      </c>
      <c r="K204">
        <f t="shared" si="21"/>
        <v>51172356.583970502</v>
      </c>
      <c r="L204" s="30">
        <f t="shared" si="20"/>
        <v>511.72356583970503</v>
      </c>
      <c r="Y204">
        <v>468</v>
      </c>
      <c r="Z204" s="30">
        <f t="shared" si="19"/>
        <v>629.76935548561926</v>
      </c>
      <c r="AA204">
        <v>202</v>
      </c>
    </row>
    <row r="205" spans="10:27">
      <c r="J205">
        <v>331</v>
      </c>
      <c r="K205">
        <f t="shared" si="21"/>
        <v>51018222.979801908</v>
      </c>
      <c r="L205" s="30">
        <f t="shared" si="20"/>
        <v>510.18222979801908</v>
      </c>
      <c r="Y205">
        <v>467</v>
      </c>
      <c r="Z205" s="30">
        <f t="shared" si="19"/>
        <v>628.22801944393336</v>
      </c>
      <c r="AA205">
        <v>203</v>
      </c>
    </row>
    <row r="206" spans="10:27">
      <c r="J206">
        <v>330</v>
      </c>
      <c r="K206">
        <f t="shared" si="21"/>
        <v>50864089.375633314</v>
      </c>
      <c r="L206" s="30">
        <f t="shared" si="20"/>
        <v>508.64089375633313</v>
      </c>
      <c r="Y206">
        <v>466</v>
      </c>
      <c r="Z206" s="30">
        <f t="shared" si="19"/>
        <v>626.68668340224747</v>
      </c>
      <c r="AA206">
        <v>204</v>
      </c>
    </row>
    <row r="207" spans="10:27">
      <c r="J207">
        <v>329</v>
      </c>
      <c r="K207">
        <f t="shared" si="21"/>
        <v>50709955.771464735</v>
      </c>
      <c r="L207" s="30">
        <f t="shared" si="20"/>
        <v>507.09955771464735</v>
      </c>
      <c r="Y207">
        <v>465</v>
      </c>
      <c r="Z207" s="30">
        <f t="shared" si="19"/>
        <v>625.14534736056169</v>
      </c>
      <c r="AA207">
        <v>205</v>
      </c>
    </row>
    <row r="208" spans="10:27">
      <c r="J208">
        <v>328</v>
      </c>
      <c r="K208">
        <f t="shared" si="21"/>
        <v>50555822.167296149</v>
      </c>
      <c r="L208" s="30">
        <f t="shared" si="20"/>
        <v>505.55822167296151</v>
      </c>
      <c r="Y208">
        <v>464</v>
      </c>
      <c r="Z208" s="30">
        <f t="shared" si="19"/>
        <v>623.60401131887568</v>
      </c>
      <c r="AA208">
        <v>206</v>
      </c>
    </row>
    <row r="209" spans="10:27">
      <c r="J209">
        <v>327</v>
      </c>
      <c r="K209">
        <f t="shared" si="21"/>
        <v>50401688.56312757</v>
      </c>
      <c r="L209" s="30">
        <f t="shared" si="20"/>
        <v>504.01688563127567</v>
      </c>
      <c r="Y209">
        <v>463</v>
      </c>
      <c r="Z209" s="30">
        <f t="shared" ref="Z209:Z272" si="22">L165+$H$36</f>
        <v>622.0626752771899</v>
      </c>
      <c r="AA209">
        <v>207</v>
      </c>
    </row>
    <row r="210" spans="10:27">
      <c r="J210">
        <v>326</v>
      </c>
      <c r="K210">
        <f t="shared" si="21"/>
        <v>50247554.958958976</v>
      </c>
      <c r="L210" s="30">
        <f t="shared" si="20"/>
        <v>502.47554958958978</v>
      </c>
      <c r="Y210">
        <v>462</v>
      </c>
      <c r="Z210" s="30">
        <f t="shared" si="22"/>
        <v>620.521339235504</v>
      </c>
      <c r="AA210">
        <v>208</v>
      </c>
    </row>
    <row r="211" spans="10:27">
      <c r="J211">
        <v>325</v>
      </c>
      <c r="K211">
        <f t="shared" si="21"/>
        <v>50093421.35479039</v>
      </c>
      <c r="L211" s="30">
        <f t="shared" si="20"/>
        <v>500.93421354790388</v>
      </c>
      <c r="Y211">
        <v>461</v>
      </c>
      <c r="Z211" s="30">
        <f t="shared" si="22"/>
        <v>618.98000319381822</v>
      </c>
      <c r="AA211">
        <v>209</v>
      </c>
    </row>
    <row r="212" spans="10:27">
      <c r="J212">
        <v>324</v>
      </c>
      <c r="K212">
        <f t="shared" si="21"/>
        <v>49939287.750621803</v>
      </c>
      <c r="L212" s="30">
        <f t="shared" si="20"/>
        <v>499.39287750621804</v>
      </c>
      <c r="Y212">
        <v>460</v>
      </c>
      <c r="Z212" s="30">
        <f t="shared" si="22"/>
        <v>617.43866715213233</v>
      </c>
      <c r="AA212">
        <v>210</v>
      </c>
    </row>
    <row r="213" spans="10:27">
      <c r="J213">
        <v>323</v>
      </c>
      <c r="K213">
        <f t="shared" si="21"/>
        <v>49785154.146453224</v>
      </c>
      <c r="L213" s="30">
        <f t="shared" si="20"/>
        <v>497.85154146453226</v>
      </c>
      <c r="Y213">
        <v>459</v>
      </c>
      <c r="Z213" s="30">
        <f t="shared" si="22"/>
        <v>615.89733111044654</v>
      </c>
      <c r="AA213">
        <v>211</v>
      </c>
    </row>
    <row r="214" spans="10:27">
      <c r="J214">
        <v>322</v>
      </c>
      <c r="K214">
        <f t="shared" si="21"/>
        <v>49631020.542284638</v>
      </c>
      <c r="L214" s="30">
        <f t="shared" si="20"/>
        <v>496.31020542284637</v>
      </c>
      <c r="Y214">
        <v>458</v>
      </c>
      <c r="Z214" s="30">
        <f t="shared" si="22"/>
        <v>614.35599506876065</v>
      </c>
      <c r="AA214">
        <v>212</v>
      </c>
    </row>
    <row r="215" spans="10:27">
      <c r="J215">
        <v>321</v>
      </c>
      <c r="K215">
        <f t="shared" si="21"/>
        <v>49476886.938116051</v>
      </c>
      <c r="L215" s="30">
        <f t="shared" si="20"/>
        <v>494.76886938116053</v>
      </c>
      <c r="Y215">
        <v>457</v>
      </c>
      <c r="Z215" s="30">
        <f t="shared" si="22"/>
        <v>612.81465902707487</v>
      </c>
      <c r="AA215">
        <v>213</v>
      </c>
    </row>
    <row r="216" spans="10:27">
      <c r="J216">
        <v>320</v>
      </c>
      <c r="K216">
        <f t="shared" si="21"/>
        <v>49322753.333947465</v>
      </c>
      <c r="L216" s="30">
        <f t="shared" si="20"/>
        <v>493.22753333947463</v>
      </c>
      <c r="Y216">
        <v>456</v>
      </c>
      <c r="Z216" s="30">
        <f t="shared" si="22"/>
        <v>611.27332298538886</v>
      </c>
      <c r="AA216">
        <v>214</v>
      </c>
    </row>
    <row r="217" spans="10:27">
      <c r="J217">
        <v>319</v>
      </c>
      <c r="K217">
        <f t="shared" si="21"/>
        <v>49168619.729778878</v>
      </c>
      <c r="L217" s="30">
        <f t="shared" si="20"/>
        <v>491.68619729778879</v>
      </c>
      <c r="Y217">
        <v>455</v>
      </c>
      <c r="Z217" s="30">
        <f t="shared" si="22"/>
        <v>609.73198694370308</v>
      </c>
      <c r="AA217">
        <v>215</v>
      </c>
    </row>
    <row r="218" spans="10:27">
      <c r="J218">
        <v>318</v>
      </c>
      <c r="K218">
        <f t="shared" si="21"/>
        <v>49014486.125610292</v>
      </c>
      <c r="L218" s="30">
        <f t="shared" si="20"/>
        <v>490.1448612561029</v>
      </c>
      <c r="Y218">
        <v>454</v>
      </c>
      <c r="Z218" s="30">
        <f t="shared" si="22"/>
        <v>608.19065090201718</v>
      </c>
      <c r="AA218">
        <v>216</v>
      </c>
    </row>
    <row r="219" spans="10:27">
      <c r="J219">
        <v>317</v>
      </c>
      <c r="K219">
        <f t="shared" si="21"/>
        <v>48860352.521441706</v>
      </c>
      <c r="L219" s="30">
        <f t="shared" si="20"/>
        <v>488.60352521441706</v>
      </c>
      <c r="Y219">
        <v>453</v>
      </c>
      <c r="Z219" s="30">
        <f t="shared" si="22"/>
        <v>606.64931486033129</v>
      </c>
      <c r="AA219">
        <v>217</v>
      </c>
    </row>
    <row r="220" spans="10:27">
      <c r="J220">
        <v>316</v>
      </c>
      <c r="K220">
        <f t="shared" si="21"/>
        <v>48706218.917273127</v>
      </c>
      <c r="L220" s="30">
        <f t="shared" si="20"/>
        <v>487.06218917273128</v>
      </c>
      <c r="Y220">
        <v>452</v>
      </c>
      <c r="Z220" s="30">
        <f t="shared" si="22"/>
        <v>605.10797881864551</v>
      </c>
      <c r="AA220">
        <v>218</v>
      </c>
    </row>
    <row r="221" spans="10:27">
      <c r="J221">
        <v>315</v>
      </c>
      <c r="K221">
        <f t="shared" si="21"/>
        <v>48552085.31310454</v>
      </c>
      <c r="L221" s="30">
        <f t="shared" si="20"/>
        <v>485.52085313104538</v>
      </c>
      <c r="Y221">
        <v>451</v>
      </c>
      <c r="Z221" s="30">
        <f t="shared" si="22"/>
        <v>603.5666427769595</v>
      </c>
      <c r="AA221">
        <v>219</v>
      </c>
    </row>
    <row r="222" spans="10:27">
      <c r="J222">
        <v>314</v>
      </c>
      <c r="K222">
        <f t="shared" si="21"/>
        <v>48397951.708935946</v>
      </c>
      <c r="L222" s="30">
        <f t="shared" si="20"/>
        <v>483.97951708935949</v>
      </c>
      <c r="Y222">
        <v>450</v>
      </c>
      <c r="Z222" s="30">
        <f t="shared" si="22"/>
        <v>602.02530673527372</v>
      </c>
      <c r="AA222">
        <v>220</v>
      </c>
    </row>
    <row r="223" spans="10:27">
      <c r="J223">
        <v>313</v>
      </c>
      <c r="K223">
        <f t="shared" si="21"/>
        <v>48243818.10476736</v>
      </c>
      <c r="L223" s="30">
        <f t="shared" si="20"/>
        <v>482.4381810476736</v>
      </c>
      <c r="Y223">
        <v>449</v>
      </c>
      <c r="Z223" s="30">
        <f t="shared" si="22"/>
        <v>600.48397069358793</v>
      </c>
      <c r="AA223">
        <v>221</v>
      </c>
    </row>
    <row r="224" spans="10:27">
      <c r="J224">
        <v>312</v>
      </c>
      <c r="K224">
        <f t="shared" si="21"/>
        <v>48089684.500598773</v>
      </c>
      <c r="L224" s="30">
        <f t="shared" si="20"/>
        <v>480.89684500598776</v>
      </c>
      <c r="Y224">
        <v>448</v>
      </c>
      <c r="Z224" s="30">
        <f t="shared" si="22"/>
        <v>598.94263465190215</v>
      </c>
      <c r="AA224">
        <v>222</v>
      </c>
    </row>
    <row r="225" spans="10:27">
      <c r="J225">
        <v>311</v>
      </c>
      <c r="K225">
        <f t="shared" si="21"/>
        <v>47935550.896430194</v>
      </c>
      <c r="L225" s="30">
        <f t="shared" si="20"/>
        <v>479.35550896430192</v>
      </c>
      <c r="Y225">
        <v>447</v>
      </c>
      <c r="Z225" s="30">
        <f t="shared" si="22"/>
        <v>597.40129861021614</v>
      </c>
      <c r="AA225">
        <v>223</v>
      </c>
    </row>
    <row r="226" spans="10:27">
      <c r="J226">
        <v>310</v>
      </c>
      <c r="K226">
        <f t="shared" si="21"/>
        <v>47781417.292261608</v>
      </c>
      <c r="L226" s="30">
        <f t="shared" si="20"/>
        <v>477.81417292261608</v>
      </c>
      <c r="Y226">
        <v>446</v>
      </c>
      <c r="Z226" s="30">
        <f t="shared" si="22"/>
        <v>595.85996256853036</v>
      </c>
      <c r="AA226">
        <v>224</v>
      </c>
    </row>
    <row r="227" spans="10:27">
      <c r="J227">
        <v>309</v>
      </c>
      <c r="K227">
        <f t="shared" si="21"/>
        <v>47627283.688093022</v>
      </c>
      <c r="L227" s="30">
        <f t="shared" si="20"/>
        <v>476.27283688093024</v>
      </c>
      <c r="Y227">
        <v>445</v>
      </c>
      <c r="Z227" s="30">
        <f t="shared" si="22"/>
        <v>594.31862652684447</v>
      </c>
      <c r="AA227">
        <v>225</v>
      </c>
    </row>
    <row r="228" spans="10:27">
      <c r="J228">
        <v>308</v>
      </c>
      <c r="K228">
        <f t="shared" si="21"/>
        <v>47473150.083924435</v>
      </c>
      <c r="L228" s="30">
        <f t="shared" si="20"/>
        <v>474.73150083924435</v>
      </c>
      <c r="Y228">
        <v>444</v>
      </c>
      <c r="Z228" s="30">
        <f t="shared" si="22"/>
        <v>592.77729048515857</v>
      </c>
      <c r="AA228">
        <v>226</v>
      </c>
    </row>
    <row r="229" spans="10:27">
      <c r="J229">
        <v>307</v>
      </c>
      <c r="K229">
        <f t="shared" si="21"/>
        <v>47319016.479755849</v>
      </c>
      <c r="L229" s="30">
        <f t="shared" ref="L229:L292" si="23">K229/100000</f>
        <v>473.19016479755851</v>
      </c>
      <c r="Y229">
        <v>443</v>
      </c>
      <c r="Z229" s="30">
        <f t="shared" si="22"/>
        <v>591.23595444347279</v>
      </c>
      <c r="AA229">
        <v>227</v>
      </c>
    </row>
    <row r="230" spans="10:27">
      <c r="J230">
        <v>306</v>
      </c>
      <c r="K230">
        <f t="shared" ref="K230:K293" si="24">$A$1*J230*221.5^2</f>
        <v>47164882.875587262</v>
      </c>
      <c r="L230" s="30">
        <f t="shared" si="23"/>
        <v>471.64882875587261</v>
      </c>
      <c r="Y230">
        <v>442</v>
      </c>
      <c r="Z230" s="30">
        <f t="shared" si="22"/>
        <v>589.6946184017869</v>
      </c>
      <c r="AA230">
        <v>228</v>
      </c>
    </row>
    <row r="231" spans="10:27">
      <c r="J231">
        <v>305</v>
      </c>
      <c r="K231">
        <f t="shared" si="24"/>
        <v>47010749.271418683</v>
      </c>
      <c r="L231" s="30">
        <f t="shared" si="23"/>
        <v>470.10749271418683</v>
      </c>
      <c r="Y231">
        <v>441</v>
      </c>
      <c r="Z231" s="30">
        <f t="shared" si="22"/>
        <v>588.15328236010112</v>
      </c>
      <c r="AA231">
        <v>229</v>
      </c>
    </row>
    <row r="232" spans="10:27">
      <c r="J232">
        <v>304</v>
      </c>
      <c r="K232">
        <f t="shared" si="24"/>
        <v>46856615.667250089</v>
      </c>
      <c r="L232" s="30">
        <f t="shared" si="23"/>
        <v>468.56615667250088</v>
      </c>
      <c r="Y232">
        <v>440</v>
      </c>
      <c r="Z232" s="30">
        <f t="shared" si="22"/>
        <v>586.61194631841511</v>
      </c>
      <c r="AA232">
        <v>230</v>
      </c>
    </row>
    <row r="233" spans="10:27">
      <c r="J233">
        <v>303</v>
      </c>
      <c r="K233">
        <f t="shared" si="24"/>
        <v>46702482.063081503</v>
      </c>
      <c r="L233" s="30">
        <f t="shared" si="23"/>
        <v>467.02482063081504</v>
      </c>
      <c r="Y233">
        <v>439</v>
      </c>
      <c r="Z233" s="30">
        <f t="shared" si="22"/>
        <v>585.07061027672933</v>
      </c>
      <c r="AA233">
        <v>231</v>
      </c>
    </row>
    <row r="234" spans="10:27">
      <c r="J234">
        <v>302</v>
      </c>
      <c r="K234">
        <f t="shared" si="24"/>
        <v>46548348.458912916</v>
      </c>
      <c r="L234" s="30">
        <f t="shared" si="23"/>
        <v>465.48348458912915</v>
      </c>
      <c r="Y234">
        <v>438</v>
      </c>
      <c r="Z234" s="30">
        <f t="shared" si="22"/>
        <v>583.52927423504343</v>
      </c>
      <c r="AA234">
        <v>232</v>
      </c>
    </row>
    <row r="235" spans="10:27">
      <c r="J235">
        <v>301</v>
      </c>
      <c r="K235">
        <f t="shared" si="24"/>
        <v>46394214.85474433</v>
      </c>
      <c r="L235" s="30">
        <f t="shared" si="23"/>
        <v>463.94214854744331</v>
      </c>
      <c r="Y235">
        <v>437</v>
      </c>
      <c r="Z235" s="30">
        <f t="shared" si="22"/>
        <v>581.98793819335765</v>
      </c>
      <c r="AA235">
        <v>233</v>
      </c>
    </row>
    <row r="236" spans="10:27">
      <c r="J236">
        <v>300</v>
      </c>
      <c r="K236">
        <f t="shared" si="24"/>
        <v>46240081.250575751</v>
      </c>
      <c r="L236" s="30">
        <f t="shared" si="23"/>
        <v>462.40081250575753</v>
      </c>
      <c r="Y236">
        <v>436</v>
      </c>
      <c r="Z236" s="30">
        <f t="shared" si="22"/>
        <v>580.44660215167175</v>
      </c>
      <c r="AA236">
        <v>234</v>
      </c>
    </row>
    <row r="237" spans="10:27">
      <c r="J237">
        <v>299</v>
      </c>
      <c r="K237">
        <f t="shared" si="24"/>
        <v>46085947.646407165</v>
      </c>
      <c r="L237" s="30">
        <f t="shared" si="23"/>
        <v>460.85947646407163</v>
      </c>
      <c r="Y237">
        <v>435</v>
      </c>
      <c r="Z237" s="30">
        <f t="shared" si="22"/>
        <v>578.90526610998597</v>
      </c>
      <c r="AA237">
        <v>235</v>
      </c>
    </row>
    <row r="238" spans="10:27">
      <c r="J238">
        <v>298</v>
      </c>
      <c r="K238">
        <f t="shared" si="24"/>
        <v>45931814.042238578</v>
      </c>
      <c r="L238" s="30">
        <f t="shared" si="23"/>
        <v>459.3181404223858</v>
      </c>
      <c r="Y238">
        <v>434</v>
      </c>
      <c r="Z238" s="30">
        <f t="shared" si="22"/>
        <v>577.36393006829996</v>
      </c>
      <c r="AA238">
        <v>236</v>
      </c>
    </row>
    <row r="239" spans="10:27">
      <c r="J239">
        <v>297</v>
      </c>
      <c r="K239">
        <f t="shared" si="24"/>
        <v>45777680.438069992</v>
      </c>
      <c r="L239" s="30">
        <f t="shared" si="23"/>
        <v>457.7768043806999</v>
      </c>
      <c r="Y239">
        <v>433</v>
      </c>
      <c r="Z239" s="30">
        <f t="shared" si="22"/>
        <v>575.82259402661418</v>
      </c>
      <c r="AA239">
        <v>237</v>
      </c>
    </row>
    <row r="240" spans="10:27">
      <c r="J240">
        <v>296</v>
      </c>
      <c r="K240">
        <f t="shared" si="24"/>
        <v>45623546.833901405</v>
      </c>
      <c r="L240" s="30">
        <f t="shared" si="23"/>
        <v>456.23546833901406</v>
      </c>
      <c r="Y240">
        <v>432</v>
      </c>
      <c r="Z240" s="30">
        <f t="shared" si="22"/>
        <v>574.28125798492829</v>
      </c>
      <c r="AA240">
        <v>238</v>
      </c>
    </row>
    <row r="241" spans="10:27">
      <c r="J241">
        <v>295</v>
      </c>
      <c r="K241">
        <f t="shared" si="24"/>
        <v>45469413.229732819</v>
      </c>
      <c r="L241" s="30">
        <f t="shared" si="23"/>
        <v>454.69413229732817</v>
      </c>
      <c r="Y241">
        <v>431</v>
      </c>
      <c r="Z241" s="30">
        <f t="shared" si="22"/>
        <v>572.73992194324239</v>
      </c>
      <c r="AA241">
        <v>239</v>
      </c>
    </row>
    <row r="242" spans="10:27">
      <c r="J242">
        <v>294</v>
      </c>
      <c r="K242">
        <f t="shared" si="24"/>
        <v>45315279.625564232</v>
      </c>
      <c r="L242" s="30">
        <f t="shared" si="23"/>
        <v>453.15279625564233</v>
      </c>
      <c r="Y242">
        <v>430</v>
      </c>
      <c r="Z242" s="30">
        <f t="shared" si="22"/>
        <v>571.19858590155661</v>
      </c>
      <c r="AA242">
        <v>240</v>
      </c>
    </row>
    <row r="243" spans="10:27">
      <c r="J243">
        <v>293</v>
      </c>
      <c r="K243">
        <f t="shared" si="24"/>
        <v>45161146.021395646</v>
      </c>
      <c r="L243" s="30">
        <f t="shared" si="23"/>
        <v>451.61146021395643</v>
      </c>
      <c r="Y243">
        <v>429</v>
      </c>
      <c r="Z243" s="30">
        <f t="shared" si="22"/>
        <v>569.65724985987072</v>
      </c>
      <c r="AA243">
        <v>241</v>
      </c>
    </row>
    <row r="244" spans="10:27">
      <c r="J244">
        <v>292</v>
      </c>
      <c r="K244">
        <f t="shared" si="24"/>
        <v>45007012.41722706</v>
      </c>
      <c r="L244" s="30">
        <f t="shared" si="23"/>
        <v>450.0701241722706</v>
      </c>
      <c r="Y244">
        <v>428</v>
      </c>
      <c r="Z244" s="30">
        <f t="shared" si="22"/>
        <v>568.11591381818494</v>
      </c>
      <c r="AA244">
        <v>242</v>
      </c>
    </row>
    <row r="245" spans="10:27">
      <c r="J245">
        <v>291</v>
      </c>
      <c r="K245">
        <f t="shared" si="24"/>
        <v>44852878.813058473</v>
      </c>
      <c r="L245" s="30">
        <f t="shared" si="23"/>
        <v>448.52878813058476</v>
      </c>
      <c r="Y245">
        <v>427</v>
      </c>
      <c r="Z245" s="30">
        <f t="shared" si="22"/>
        <v>566.57457777649893</v>
      </c>
      <c r="AA245">
        <v>243</v>
      </c>
    </row>
    <row r="246" spans="10:27">
      <c r="J246">
        <v>290</v>
      </c>
      <c r="K246">
        <f t="shared" si="24"/>
        <v>44698745.208889887</v>
      </c>
      <c r="L246" s="30">
        <f t="shared" si="23"/>
        <v>446.98745208889886</v>
      </c>
      <c r="Y246">
        <v>426</v>
      </c>
      <c r="Z246" s="30">
        <f t="shared" si="22"/>
        <v>565.03324173481315</v>
      </c>
      <c r="AA246">
        <v>244</v>
      </c>
    </row>
    <row r="247" spans="10:27">
      <c r="J247">
        <v>289</v>
      </c>
      <c r="K247">
        <f t="shared" si="24"/>
        <v>44544611.6047213</v>
      </c>
      <c r="L247" s="30">
        <f t="shared" si="23"/>
        <v>445.44611604721302</v>
      </c>
      <c r="Y247">
        <v>425</v>
      </c>
      <c r="Z247" s="30">
        <f t="shared" si="22"/>
        <v>563.49190569312725</v>
      </c>
      <c r="AA247">
        <v>245</v>
      </c>
    </row>
    <row r="248" spans="10:27">
      <c r="J248">
        <v>288</v>
      </c>
      <c r="K248">
        <f t="shared" si="24"/>
        <v>44390478.000552721</v>
      </c>
      <c r="L248" s="30">
        <f t="shared" si="23"/>
        <v>443.90478000552719</v>
      </c>
      <c r="Y248">
        <v>424</v>
      </c>
      <c r="Z248" s="30">
        <f t="shared" si="22"/>
        <v>561.95056965144158</v>
      </c>
      <c r="AA248">
        <v>246</v>
      </c>
    </row>
    <row r="249" spans="10:27">
      <c r="J249">
        <v>287</v>
      </c>
      <c r="K249">
        <f t="shared" si="24"/>
        <v>44236344.396384135</v>
      </c>
      <c r="L249" s="30">
        <f t="shared" si="23"/>
        <v>442.36344396384135</v>
      </c>
      <c r="Y249">
        <v>423</v>
      </c>
      <c r="Z249" s="30">
        <f t="shared" si="22"/>
        <v>560.40923360975557</v>
      </c>
      <c r="AA249">
        <v>247</v>
      </c>
    </row>
    <row r="250" spans="10:27">
      <c r="J250">
        <v>286</v>
      </c>
      <c r="K250">
        <f t="shared" si="24"/>
        <v>44082210.792215548</v>
      </c>
      <c r="L250" s="30">
        <f t="shared" si="23"/>
        <v>440.82210792215551</v>
      </c>
      <c r="Y250">
        <v>422</v>
      </c>
      <c r="Z250" s="30">
        <f t="shared" si="22"/>
        <v>558.86789756806968</v>
      </c>
      <c r="AA250">
        <v>248</v>
      </c>
    </row>
    <row r="251" spans="10:27">
      <c r="J251">
        <v>285</v>
      </c>
      <c r="K251">
        <f t="shared" si="24"/>
        <v>43928077.188046962</v>
      </c>
      <c r="L251" s="30">
        <f t="shared" si="23"/>
        <v>439.28077188046962</v>
      </c>
      <c r="Y251">
        <v>421</v>
      </c>
      <c r="Z251" s="30">
        <f t="shared" si="22"/>
        <v>557.3265615263839</v>
      </c>
      <c r="AA251">
        <v>249</v>
      </c>
    </row>
    <row r="252" spans="10:27">
      <c r="J252">
        <v>284</v>
      </c>
      <c r="K252">
        <f t="shared" si="24"/>
        <v>43773943.583878376</v>
      </c>
      <c r="L252" s="30">
        <f t="shared" si="23"/>
        <v>437.73943583878378</v>
      </c>
      <c r="Y252">
        <v>420</v>
      </c>
      <c r="Z252" s="30">
        <f t="shared" si="22"/>
        <v>555.785225484698</v>
      </c>
      <c r="AA252">
        <v>250</v>
      </c>
    </row>
    <row r="253" spans="10:27">
      <c r="J253">
        <v>283</v>
      </c>
      <c r="K253">
        <f t="shared" si="24"/>
        <v>43619809.979709789</v>
      </c>
      <c r="L253" s="30">
        <f t="shared" si="23"/>
        <v>436.19809979709788</v>
      </c>
      <c r="Y253">
        <v>419</v>
      </c>
      <c r="Z253" s="30">
        <f t="shared" si="22"/>
        <v>554.24388944301222</v>
      </c>
      <c r="AA253">
        <v>251</v>
      </c>
    </row>
    <row r="254" spans="10:27">
      <c r="J254">
        <v>282</v>
      </c>
      <c r="K254">
        <f t="shared" si="24"/>
        <v>43465676.375541203</v>
      </c>
      <c r="L254" s="30">
        <f t="shared" si="23"/>
        <v>434.65676375541204</v>
      </c>
      <c r="Y254">
        <v>418</v>
      </c>
      <c r="Z254" s="30">
        <f t="shared" si="22"/>
        <v>552.70255340132633</v>
      </c>
      <c r="AA254">
        <v>252</v>
      </c>
    </row>
    <row r="255" spans="10:27">
      <c r="J255">
        <v>281</v>
      </c>
      <c r="K255">
        <f t="shared" si="24"/>
        <v>43311542.771372616</v>
      </c>
      <c r="L255" s="30">
        <f t="shared" si="23"/>
        <v>433.11542771372615</v>
      </c>
      <c r="Y255">
        <v>417</v>
      </c>
      <c r="Z255" s="30">
        <f t="shared" si="22"/>
        <v>551.16121735964043</v>
      </c>
      <c r="AA255">
        <v>253</v>
      </c>
    </row>
    <row r="256" spans="10:27">
      <c r="J256">
        <v>280</v>
      </c>
      <c r="K256">
        <f t="shared" si="24"/>
        <v>43157409.16720403</v>
      </c>
      <c r="L256" s="30">
        <f t="shared" si="23"/>
        <v>431.57409167204031</v>
      </c>
      <c r="Y256">
        <v>416</v>
      </c>
      <c r="Z256" s="30">
        <f t="shared" si="22"/>
        <v>549.61988131795454</v>
      </c>
      <c r="AA256">
        <v>254</v>
      </c>
    </row>
    <row r="257" spans="10:27">
      <c r="J257">
        <v>279</v>
      </c>
      <c r="K257">
        <f t="shared" si="24"/>
        <v>43003275.563035443</v>
      </c>
      <c r="L257" s="30">
        <f t="shared" si="23"/>
        <v>430.03275563035442</v>
      </c>
      <c r="Y257">
        <v>415</v>
      </c>
      <c r="Z257" s="30">
        <f t="shared" si="22"/>
        <v>548.07854527626876</v>
      </c>
      <c r="AA257">
        <v>255</v>
      </c>
    </row>
    <row r="258" spans="10:27">
      <c r="J258">
        <v>278</v>
      </c>
      <c r="K258">
        <f t="shared" si="24"/>
        <v>42849141.958866857</v>
      </c>
      <c r="L258" s="30">
        <f t="shared" si="23"/>
        <v>428.49141958866858</v>
      </c>
      <c r="Y258">
        <v>414</v>
      </c>
      <c r="Z258" s="30">
        <f t="shared" si="22"/>
        <v>546.53720923458286</v>
      </c>
      <c r="AA258">
        <v>256</v>
      </c>
    </row>
    <row r="259" spans="10:27">
      <c r="J259">
        <v>277</v>
      </c>
      <c r="K259">
        <f t="shared" si="24"/>
        <v>42695008.354698278</v>
      </c>
      <c r="L259" s="30">
        <f t="shared" si="23"/>
        <v>426.9500835469828</v>
      </c>
      <c r="Y259">
        <v>413</v>
      </c>
      <c r="Z259" s="30">
        <f t="shared" si="22"/>
        <v>544.99587319289708</v>
      </c>
      <c r="AA259">
        <v>257</v>
      </c>
    </row>
    <row r="260" spans="10:27">
      <c r="J260">
        <v>276</v>
      </c>
      <c r="K260">
        <f t="shared" si="24"/>
        <v>42540874.750529692</v>
      </c>
      <c r="L260" s="30">
        <f t="shared" si="23"/>
        <v>425.4087475052969</v>
      </c>
      <c r="Y260">
        <v>412</v>
      </c>
      <c r="Z260" s="30">
        <f t="shared" si="22"/>
        <v>543.45453715121118</v>
      </c>
      <c r="AA260">
        <v>258</v>
      </c>
    </row>
    <row r="261" spans="10:27">
      <c r="J261">
        <v>275</v>
      </c>
      <c r="K261">
        <f t="shared" si="24"/>
        <v>42386741.146361105</v>
      </c>
      <c r="L261" s="30">
        <f t="shared" si="23"/>
        <v>423.86741146361106</v>
      </c>
      <c r="Y261">
        <v>411</v>
      </c>
      <c r="Z261" s="30">
        <f t="shared" si="22"/>
        <v>541.91320110952529</v>
      </c>
      <c r="AA261">
        <v>259</v>
      </c>
    </row>
    <row r="262" spans="10:27">
      <c r="J262">
        <v>274</v>
      </c>
      <c r="K262">
        <f t="shared" si="24"/>
        <v>42232607.542192519</v>
      </c>
      <c r="L262" s="30">
        <f t="shared" si="23"/>
        <v>422.32607542192517</v>
      </c>
      <c r="Y262">
        <v>410</v>
      </c>
      <c r="Z262" s="30">
        <f t="shared" si="22"/>
        <v>540.37186506783939</v>
      </c>
      <c r="AA262">
        <v>260</v>
      </c>
    </row>
    <row r="263" spans="10:27">
      <c r="J263">
        <v>273</v>
      </c>
      <c r="K263">
        <f t="shared" si="24"/>
        <v>42078473.938023932</v>
      </c>
      <c r="L263" s="30">
        <f t="shared" si="23"/>
        <v>420.78473938023933</v>
      </c>
      <c r="Y263">
        <v>409</v>
      </c>
      <c r="Z263" s="30">
        <f t="shared" si="22"/>
        <v>538.83052902615361</v>
      </c>
      <c r="AA263">
        <v>261</v>
      </c>
    </row>
    <row r="264" spans="10:27">
      <c r="J264">
        <v>272</v>
      </c>
      <c r="K264">
        <f t="shared" si="24"/>
        <v>41924340.333855346</v>
      </c>
      <c r="L264" s="30">
        <f t="shared" si="23"/>
        <v>419.24340333855343</v>
      </c>
      <c r="Y264">
        <v>408</v>
      </c>
      <c r="Z264" s="30">
        <f t="shared" si="22"/>
        <v>537.28919298446783</v>
      </c>
      <c r="AA264">
        <v>262</v>
      </c>
    </row>
    <row r="265" spans="10:27">
      <c r="J265">
        <v>271</v>
      </c>
      <c r="K265">
        <f t="shared" si="24"/>
        <v>41770206.729686759</v>
      </c>
      <c r="L265" s="30">
        <f t="shared" si="23"/>
        <v>417.7020672968676</v>
      </c>
      <c r="Y265">
        <v>407</v>
      </c>
      <c r="Z265" s="30">
        <f t="shared" si="22"/>
        <v>535.74785694278194</v>
      </c>
      <c r="AA265">
        <v>263</v>
      </c>
    </row>
    <row r="266" spans="10:27">
      <c r="J266">
        <v>270</v>
      </c>
      <c r="K266">
        <f t="shared" si="24"/>
        <v>41616073.125518173</v>
      </c>
      <c r="L266" s="30">
        <f t="shared" si="23"/>
        <v>416.1607312551817</v>
      </c>
      <c r="Y266">
        <v>406</v>
      </c>
      <c r="Z266" s="30">
        <f t="shared" si="22"/>
        <v>534.20652090109604</v>
      </c>
      <c r="AA266">
        <v>264</v>
      </c>
    </row>
    <row r="267" spans="10:27">
      <c r="J267">
        <v>269</v>
      </c>
      <c r="K267">
        <f t="shared" si="24"/>
        <v>41461939.521349587</v>
      </c>
      <c r="L267" s="30">
        <f t="shared" si="23"/>
        <v>414.61939521349586</v>
      </c>
      <c r="Y267">
        <v>405</v>
      </c>
      <c r="Z267" s="30">
        <f t="shared" si="22"/>
        <v>532.66518485941015</v>
      </c>
      <c r="AA267">
        <v>265</v>
      </c>
    </row>
    <row r="268" spans="10:27">
      <c r="J268">
        <v>268</v>
      </c>
      <c r="K268">
        <f t="shared" si="24"/>
        <v>41307805.917181</v>
      </c>
      <c r="L268" s="30">
        <f t="shared" si="23"/>
        <v>413.07805917181003</v>
      </c>
      <c r="Y268">
        <v>404</v>
      </c>
      <c r="Z268" s="30">
        <f t="shared" si="22"/>
        <v>531.12384881772425</v>
      </c>
      <c r="AA268">
        <v>266</v>
      </c>
    </row>
    <row r="269" spans="10:27">
      <c r="J269">
        <v>267</v>
      </c>
      <c r="K269">
        <f t="shared" si="24"/>
        <v>41153672.313012414</v>
      </c>
      <c r="L269" s="30">
        <f t="shared" si="23"/>
        <v>411.53672313012413</v>
      </c>
      <c r="Y269">
        <v>403</v>
      </c>
      <c r="Z269" s="30">
        <f t="shared" si="22"/>
        <v>529.58251277603847</v>
      </c>
      <c r="AA269">
        <v>267</v>
      </c>
    </row>
    <row r="270" spans="10:27">
      <c r="J270">
        <v>266</v>
      </c>
      <c r="K270">
        <f t="shared" si="24"/>
        <v>40999538.708843827</v>
      </c>
      <c r="L270" s="30">
        <f t="shared" si="23"/>
        <v>409.99538708843829</v>
      </c>
      <c r="Y270">
        <v>402</v>
      </c>
      <c r="Z270" s="30">
        <f t="shared" si="22"/>
        <v>528.04117673435258</v>
      </c>
      <c r="AA270">
        <v>268</v>
      </c>
    </row>
    <row r="271" spans="10:27">
      <c r="J271">
        <v>265</v>
      </c>
      <c r="K271">
        <f t="shared" si="24"/>
        <v>40845405.104675248</v>
      </c>
      <c r="L271" s="30">
        <f t="shared" si="23"/>
        <v>408.45405104675251</v>
      </c>
      <c r="Y271">
        <v>401</v>
      </c>
      <c r="Z271" s="30">
        <f t="shared" si="22"/>
        <v>526.49984069266679</v>
      </c>
      <c r="AA271">
        <v>269</v>
      </c>
    </row>
    <row r="272" spans="10:27">
      <c r="J272">
        <v>264</v>
      </c>
      <c r="K272">
        <f t="shared" si="24"/>
        <v>40691271.500506662</v>
      </c>
      <c r="L272" s="30">
        <f t="shared" si="23"/>
        <v>406.91271500506662</v>
      </c>
      <c r="Y272">
        <v>400</v>
      </c>
      <c r="Z272" s="30">
        <f t="shared" si="22"/>
        <v>524.9585046509809</v>
      </c>
      <c r="AA272">
        <v>270</v>
      </c>
    </row>
    <row r="273" spans="10:27">
      <c r="J273">
        <v>263</v>
      </c>
      <c r="K273">
        <f t="shared" si="24"/>
        <v>40537137.896338075</v>
      </c>
      <c r="L273" s="30">
        <f t="shared" si="23"/>
        <v>405.37137896338078</v>
      </c>
      <c r="Y273">
        <v>399</v>
      </c>
      <c r="Z273" s="30">
        <f t="shared" ref="Z273:Z336" si="25">L229+$H$36</f>
        <v>523.417168609295</v>
      </c>
      <c r="AA273">
        <v>271</v>
      </c>
    </row>
    <row r="274" spans="10:27">
      <c r="J274">
        <v>262</v>
      </c>
      <c r="K274">
        <f t="shared" si="24"/>
        <v>40383004.292169489</v>
      </c>
      <c r="L274" s="30">
        <f t="shared" si="23"/>
        <v>403.83004292169488</v>
      </c>
      <c r="Y274">
        <v>398</v>
      </c>
      <c r="Z274" s="30">
        <f t="shared" si="25"/>
        <v>521.87583256760911</v>
      </c>
      <c r="AA274">
        <v>272</v>
      </c>
    </row>
    <row r="275" spans="10:27">
      <c r="J275">
        <v>261</v>
      </c>
      <c r="K275">
        <f t="shared" si="24"/>
        <v>40228870.688000895</v>
      </c>
      <c r="L275" s="30">
        <f t="shared" si="23"/>
        <v>402.28870688000893</v>
      </c>
      <c r="Y275">
        <v>397</v>
      </c>
      <c r="Z275" s="30">
        <f t="shared" si="25"/>
        <v>520.33449652592333</v>
      </c>
      <c r="AA275">
        <v>273</v>
      </c>
    </row>
    <row r="276" spans="10:27">
      <c r="J276">
        <v>260</v>
      </c>
      <c r="K276">
        <f t="shared" si="24"/>
        <v>40074737.083832316</v>
      </c>
      <c r="L276" s="30">
        <f t="shared" si="23"/>
        <v>400.74737083832315</v>
      </c>
      <c r="Y276">
        <v>396</v>
      </c>
      <c r="Z276" s="30">
        <f t="shared" si="25"/>
        <v>518.79316048423743</v>
      </c>
      <c r="AA276">
        <v>274</v>
      </c>
    </row>
    <row r="277" spans="10:27">
      <c r="J277">
        <v>259</v>
      </c>
      <c r="K277">
        <f t="shared" si="24"/>
        <v>39920603.47966373</v>
      </c>
      <c r="L277" s="30">
        <f t="shared" si="23"/>
        <v>399.20603479663731</v>
      </c>
      <c r="Y277">
        <v>395</v>
      </c>
      <c r="Z277" s="30">
        <f t="shared" si="25"/>
        <v>517.25182444255154</v>
      </c>
      <c r="AA277">
        <v>275</v>
      </c>
    </row>
    <row r="278" spans="10:27">
      <c r="J278">
        <v>258</v>
      </c>
      <c r="K278">
        <f t="shared" si="24"/>
        <v>39766469.875495143</v>
      </c>
      <c r="L278" s="30">
        <f t="shared" si="23"/>
        <v>397.66469875495142</v>
      </c>
      <c r="Y278">
        <v>394</v>
      </c>
      <c r="Z278" s="30">
        <f t="shared" si="25"/>
        <v>515.71048840086564</v>
      </c>
      <c r="AA278">
        <v>276</v>
      </c>
    </row>
    <row r="279" spans="10:27">
      <c r="J279">
        <v>257</v>
      </c>
      <c r="K279">
        <f t="shared" si="24"/>
        <v>39612336.271326557</v>
      </c>
      <c r="L279" s="30">
        <f t="shared" si="23"/>
        <v>396.12336271326558</v>
      </c>
      <c r="Y279">
        <v>393</v>
      </c>
      <c r="Z279" s="30">
        <f t="shared" si="25"/>
        <v>514.16915235917986</v>
      </c>
      <c r="AA279">
        <v>277</v>
      </c>
    </row>
    <row r="280" spans="10:27">
      <c r="J280">
        <v>256</v>
      </c>
      <c r="K280">
        <f t="shared" si="24"/>
        <v>39458202.66715797</v>
      </c>
      <c r="L280" s="30">
        <f t="shared" si="23"/>
        <v>394.58202667157968</v>
      </c>
      <c r="Y280">
        <v>392</v>
      </c>
      <c r="Z280" s="30">
        <f t="shared" si="25"/>
        <v>512.62781631749408</v>
      </c>
      <c r="AA280">
        <v>278</v>
      </c>
    </row>
    <row r="281" spans="10:27">
      <c r="J281">
        <v>255</v>
      </c>
      <c r="K281">
        <f t="shared" si="24"/>
        <v>39304069.062989384</v>
      </c>
      <c r="L281" s="30">
        <f t="shared" si="23"/>
        <v>393.04069062989385</v>
      </c>
      <c r="Y281">
        <v>391</v>
      </c>
      <c r="Z281" s="30">
        <f t="shared" si="25"/>
        <v>511.08648027580813</v>
      </c>
      <c r="AA281">
        <v>279</v>
      </c>
    </row>
    <row r="282" spans="10:27">
      <c r="J282">
        <v>254</v>
      </c>
      <c r="K282">
        <f t="shared" si="24"/>
        <v>39149935.458820798</v>
      </c>
      <c r="L282" s="30">
        <f t="shared" si="23"/>
        <v>391.49935458820795</v>
      </c>
      <c r="Y282">
        <v>390</v>
      </c>
      <c r="Z282" s="30">
        <f t="shared" si="25"/>
        <v>509.54514423412229</v>
      </c>
      <c r="AA282">
        <v>280</v>
      </c>
    </row>
    <row r="283" spans="10:27">
      <c r="J283">
        <v>253</v>
      </c>
      <c r="K283">
        <f t="shared" si="24"/>
        <v>38995801.854652219</v>
      </c>
      <c r="L283" s="30">
        <f t="shared" si="23"/>
        <v>389.95801854652217</v>
      </c>
      <c r="Y283">
        <v>389</v>
      </c>
      <c r="Z283" s="30">
        <f t="shared" si="25"/>
        <v>508.0038081924364</v>
      </c>
      <c r="AA283">
        <v>281</v>
      </c>
    </row>
    <row r="284" spans="10:27">
      <c r="J284">
        <v>252</v>
      </c>
      <c r="K284">
        <f t="shared" si="24"/>
        <v>38841668.250483632</v>
      </c>
      <c r="L284" s="30">
        <f t="shared" si="23"/>
        <v>388.41668250483633</v>
      </c>
      <c r="Y284">
        <v>388</v>
      </c>
      <c r="Z284" s="30">
        <f t="shared" si="25"/>
        <v>506.46247215075056</v>
      </c>
      <c r="AA284">
        <v>282</v>
      </c>
    </row>
    <row r="285" spans="10:27">
      <c r="J285">
        <v>251</v>
      </c>
      <c r="K285">
        <f t="shared" si="24"/>
        <v>38687534.646315046</v>
      </c>
      <c r="L285" s="30">
        <f t="shared" si="23"/>
        <v>386.87534646315044</v>
      </c>
      <c r="Y285">
        <v>387</v>
      </c>
      <c r="Z285" s="30">
        <f t="shared" si="25"/>
        <v>504.92113610906466</v>
      </c>
      <c r="AA285">
        <v>283</v>
      </c>
    </row>
    <row r="286" spans="10:27">
      <c r="J286">
        <v>250</v>
      </c>
      <c r="K286">
        <f t="shared" si="24"/>
        <v>38533401.042146452</v>
      </c>
      <c r="L286" s="30">
        <f t="shared" si="23"/>
        <v>385.33401042146454</v>
      </c>
      <c r="Y286">
        <v>386</v>
      </c>
      <c r="Z286" s="30">
        <f t="shared" si="25"/>
        <v>503.37980006737882</v>
      </c>
      <c r="AA286">
        <v>284</v>
      </c>
    </row>
    <row r="287" spans="10:27">
      <c r="J287">
        <v>249</v>
      </c>
      <c r="K287">
        <f t="shared" si="24"/>
        <v>38379267.437977873</v>
      </c>
      <c r="L287" s="30">
        <f t="shared" si="23"/>
        <v>383.7926743797787</v>
      </c>
      <c r="Y287">
        <v>385</v>
      </c>
      <c r="Z287" s="30">
        <f t="shared" si="25"/>
        <v>501.83846402569293</v>
      </c>
      <c r="AA287">
        <v>285</v>
      </c>
    </row>
    <row r="288" spans="10:27">
      <c r="J288">
        <v>248</v>
      </c>
      <c r="K288">
        <f t="shared" si="24"/>
        <v>38225133.833809286</v>
      </c>
      <c r="L288" s="30">
        <f t="shared" si="23"/>
        <v>382.25133833809286</v>
      </c>
      <c r="Y288">
        <v>384</v>
      </c>
      <c r="Z288" s="30">
        <f t="shared" si="25"/>
        <v>500.29712798400709</v>
      </c>
      <c r="AA288">
        <v>286</v>
      </c>
    </row>
    <row r="289" spans="10:27">
      <c r="J289">
        <v>247</v>
      </c>
      <c r="K289">
        <f t="shared" si="24"/>
        <v>38071000.2296407</v>
      </c>
      <c r="L289" s="30">
        <f t="shared" si="23"/>
        <v>380.71000229640703</v>
      </c>
      <c r="Y289">
        <v>383</v>
      </c>
      <c r="Z289" s="30">
        <f t="shared" si="25"/>
        <v>498.75579194232125</v>
      </c>
      <c r="AA289">
        <v>287</v>
      </c>
    </row>
    <row r="290" spans="10:27">
      <c r="J290">
        <v>246</v>
      </c>
      <c r="K290">
        <f t="shared" si="24"/>
        <v>37916866.625472113</v>
      </c>
      <c r="L290" s="30">
        <f t="shared" si="23"/>
        <v>379.16866625472113</v>
      </c>
      <c r="Y290">
        <v>382</v>
      </c>
      <c r="Z290" s="30">
        <f t="shared" si="25"/>
        <v>497.21445590063536</v>
      </c>
      <c r="AA290">
        <v>288</v>
      </c>
    </row>
    <row r="291" spans="10:27">
      <c r="J291">
        <v>245</v>
      </c>
      <c r="K291">
        <f t="shared" si="24"/>
        <v>37762733.021303527</v>
      </c>
      <c r="L291" s="30">
        <f t="shared" si="23"/>
        <v>377.62733021303529</v>
      </c>
      <c r="Y291">
        <v>381</v>
      </c>
      <c r="Z291" s="30">
        <f t="shared" si="25"/>
        <v>495.67311985894952</v>
      </c>
      <c r="AA291">
        <v>289</v>
      </c>
    </row>
    <row r="292" spans="10:27">
      <c r="J292">
        <v>244</v>
      </c>
      <c r="K292">
        <f t="shared" si="24"/>
        <v>37608599.417134941</v>
      </c>
      <c r="L292" s="30">
        <f t="shared" si="23"/>
        <v>376.0859941713494</v>
      </c>
      <c r="Y292">
        <v>380</v>
      </c>
      <c r="Z292" s="30">
        <f t="shared" si="25"/>
        <v>494.13178381726368</v>
      </c>
      <c r="AA292">
        <v>290</v>
      </c>
    </row>
    <row r="293" spans="10:27">
      <c r="J293">
        <v>243</v>
      </c>
      <c r="K293">
        <f t="shared" si="24"/>
        <v>37454465.812966354</v>
      </c>
      <c r="L293" s="30">
        <f t="shared" ref="L293:L356" si="26">K293/100000</f>
        <v>374.54465812966356</v>
      </c>
      <c r="Y293">
        <v>379</v>
      </c>
      <c r="Z293" s="30">
        <f t="shared" si="25"/>
        <v>492.59044777557784</v>
      </c>
      <c r="AA293">
        <v>291</v>
      </c>
    </row>
    <row r="294" spans="10:27">
      <c r="J294">
        <v>242</v>
      </c>
      <c r="K294">
        <f t="shared" ref="K294:K357" si="27">$A$1*J294*221.5^2</f>
        <v>37300332.208797775</v>
      </c>
      <c r="L294" s="30">
        <f t="shared" si="26"/>
        <v>373.00332208797778</v>
      </c>
      <c r="Y294">
        <v>378</v>
      </c>
      <c r="Z294" s="30">
        <f t="shared" si="25"/>
        <v>491.049111733892</v>
      </c>
      <c r="AA294">
        <v>292</v>
      </c>
    </row>
    <row r="295" spans="10:27">
      <c r="J295">
        <v>241</v>
      </c>
      <c r="K295">
        <f t="shared" si="27"/>
        <v>37146198.604629189</v>
      </c>
      <c r="L295" s="30">
        <f t="shared" si="26"/>
        <v>371.46198604629188</v>
      </c>
      <c r="Y295">
        <v>377</v>
      </c>
      <c r="Z295" s="30">
        <f t="shared" si="25"/>
        <v>489.50777569220611</v>
      </c>
      <c r="AA295">
        <v>293</v>
      </c>
    </row>
    <row r="296" spans="10:27">
      <c r="J296">
        <v>240</v>
      </c>
      <c r="K296">
        <f t="shared" si="27"/>
        <v>36992065.000460595</v>
      </c>
      <c r="L296" s="30">
        <f t="shared" si="26"/>
        <v>369.92065000460593</v>
      </c>
      <c r="Y296">
        <v>376</v>
      </c>
      <c r="Z296" s="30">
        <f t="shared" si="25"/>
        <v>487.96643965052027</v>
      </c>
      <c r="AA296">
        <v>294</v>
      </c>
    </row>
    <row r="297" spans="10:27">
      <c r="J297">
        <v>239</v>
      </c>
      <c r="K297">
        <f t="shared" si="27"/>
        <v>36837931.396292008</v>
      </c>
      <c r="L297" s="30">
        <f t="shared" si="26"/>
        <v>368.37931396292009</v>
      </c>
      <c r="Y297">
        <v>375</v>
      </c>
      <c r="Z297" s="30">
        <f t="shared" si="25"/>
        <v>486.42510360883438</v>
      </c>
      <c r="AA297">
        <v>295</v>
      </c>
    </row>
    <row r="298" spans="10:27">
      <c r="J298">
        <v>238</v>
      </c>
      <c r="K298">
        <f t="shared" si="27"/>
        <v>36683797.792123422</v>
      </c>
      <c r="L298" s="30">
        <f t="shared" si="26"/>
        <v>366.8379779212342</v>
      </c>
      <c r="Y298">
        <v>374</v>
      </c>
      <c r="Z298" s="30">
        <f t="shared" si="25"/>
        <v>484.88376756714854</v>
      </c>
      <c r="AA298">
        <v>296</v>
      </c>
    </row>
    <row r="299" spans="10:27">
      <c r="J299">
        <v>237</v>
      </c>
      <c r="K299">
        <f t="shared" si="27"/>
        <v>36529664.187954843</v>
      </c>
      <c r="L299" s="30">
        <f t="shared" si="26"/>
        <v>365.29664187954842</v>
      </c>
      <c r="Y299">
        <v>373</v>
      </c>
      <c r="Z299" s="30">
        <f t="shared" si="25"/>
        <v>483.34243152546264</v>
      </c>
      <c r="AA299">
        <v>297</v>
      </c>
    </row>
    <row r="300" spans="10:27">
      <c r="J300">
        <v>236</v>
      </c>
      <c r="K300">
        <f t="shared" si="27"/>
        <v>36375530.583786257</v>
      </c>
      <c r="L300" s="30">
        <f t="shared" si="26"/>
        <v>363.75530583786258</v>
      </c>
      <c r="Y300">
        <v>372</v>
      </c>
      <c r="Z300" s="30">
        <f t="shared" si="25"/>
        <v>481.80109548377681</v>
      </c>
      <c r="AA300">
        <v>298</v>
      </c>
    </row>
    <row r="301" spans="10:27">
      <c r="J301">
        <v>235</v>
      </c>
      <c r="K301">
        <f t="shared" si="27"/>
        <v>36221396.97961767</v>
      </c>
      <c r="L301" s="30">
        <f t="shared" si="26"/>
        <v>362.21396979617668</v>
      </c>
      <c r="Y301">
        <v>371</v>
      </c>
      <c r="Z301" s="30">
        <f t="shared" si="25"/>
        <v>480.25975944209091</v>
      </c>
      <c r="AA301">
        <v>299</v>
      </c>
    </row>
    <row r="302" spans="10:27">
      <c r="J302">
        <v>234</v>
      </c>
      <c r="K302">
        <f t="shared" si="27"/>
        <v>36067263.375449084</v>
      </c>
      <c r="L302" s="30">
        <f t="shared" si="26"/>
        <v>360.67263375449085</v>
      </c>
      <c r="Y302">
        <v>370</v>
      </c>
      <c r="Z302" s="30">
        <f t="shared" si="25"/>
        <v>478.71842340040507</v>
      </c>
      <c r="AA302">
        <v>300</v>
      </c>
    </row>
    <row r="303" spans="10:27">
      <c r="J303">
        <v>233</v>
      </c>
      <c r="K303">
        <f t="shared" si="27"/>
        <v>35913129.771280497</v>
      </c>
      <c r="L303" s="30">
        <f t="shared" si="26"/>
        <v>359.13129771280495</v>
      </c>
      <c r="Y303">
        <v>369</v>
      </c>
      <c r="Z303" s="30">
        <f t="shared" si="25"/>
        <v>477.17708735871929</v>
      </c>
      <c r="AA303">
        <v>301</v>
      </c>
    </row>
    <row r="304" spans="10:27">
      <c r="J304">
        <v>232</v>
      </c>
      <c r="K304">
        <f t="shared" si="27"/>
        <v>35758996.167111911</v>
      </c>
      <c r="L304" s="30">
        <f t="shared" si="26"/>
        <v>357.58996167111911</v>
      </c>
      <c r="Y304">
        <v>368</v>
      </c>
      <c r="Z304" s="30">
        <f t="shared" si="25"/>
        <v>475.6357513170334</v>
      </c>
      <c r="AA304">
        <v>302</v>
      </c>
    </row>
    <row r="305" spans="10:27">
      <c r="J305">
        <v>231</v>
      </c>
      <c r="K305">
        <f t="shared" si="27"/>
        <v>35604862.562943324</v>
      </c>
      <c r="L305" s="30">
        <f t="shared" si="26"/>
        <v>356.04862562943322</v>
      </c>
      <c r="Y305">
        <v>367</v>
      </c>
      <c r="Z305" s="30">
        <f t="shared" si="25"/>
        <v>474.09441527534756</v>
      </c>
      <c r="AA305">
        <v>303</v>
      </c>
    </row>
    <row r="306" spans="10:27">
      <c r="J306">
        <v>230</v>
      </c>
      <c r="K306">
        <f t="shared" si="27"/>
        <v>35450728.958774745</v>
      </c>
      <c r="L306" s="30">
        <f t="shared" si="26"/>
        <v>354.50728958774744</v>
      </c>
      <c r="Y306">
        <v>366</v>
      </c>
      <c r="Z306" s="30">
        <f t="shared" si="25"/>
        <v>472.55307923366166</v>
      </c>
      <c r="AA306">
        <v>304</v>
      </c>
    </row>
    <row r="307" spans="10:27">
      <c r="J307">
        <v>229</v>
      </c>
      <c r="K307">
        <f t="shared" si="27"/>
        <v>35296595.354606152</v>
      </c>
      <c r="L307" s="30">
        <f t="shared" si="26"/>
        <v>352.96595354606154</v>
      </c>
      <c r="Y307">
        <v>365</v>
      </c>
      <c r="Z307" s="30">
        <f t="shared" si="25"/>
        <v>471.01174319197582</v>
      </c>
      <c r="AA307">
        <v>305</v>
      </c>
    </row>
    <row r="308" spans="10:27">
      <c r="J308">
        <v>228</v>
      </c>
      <c r="K308">
        <f t="shared" si="27"/>
        <v>35142461.750437565</v>
      </c>
      <c r="L308" s="30">
        <f t="shared" si="26"/>
        <v>351.42461750437565</v>
      </c>
      <c r="Y308">
        <v>364</v>
      </c>
      <c r="Z308" s="30">
        <f t="shared" si="25"/>
        <v>469.47040715028993</v>
      </c>
      <c r="AA308">
        <v>306</v>
      </c>
    </row>
    <row r="309" spans="10:27">
      <c r="J309">
        <v>227</v>
      </c>
      <c r="K309">
        <f t="shared" si="27"/>
        <v>34988328.146268979</v>
      </c>
      <c r="L309" s="30">
        <f t="shared" si="26"/>
        <v>349.88328146268981</v>
      </c>
      <c r="Y309">
        <v>363</v>
      </c>
      <c r="Z309" s="30">
        <f t="shared" si="25"/>
        <v>467.92907110860409</v>
      </c>
      <c r="AA309">
        <v>307</v>
      </c>
    </row>
    <row r="310" spans="10:27">
      <c r="J310">
        <v>226</v>
      </c>
      <c r="K310">
        <f t="shared" si="27"/>
        <v>34834194.542100392</v>
      </c>
      <c r="L310" s="30">
        <f t="shared" si="26"/>
        <v>348.34194542100391</v>
      </c>
      <c r="Y310">
        <v>362</v>
      </c>
      <c r="Z310" s="30">
        <f t="shared" si="25"/>
        <v>466.3877350669182</v>
      </c>
      <c r="AA310">
        <v>308</v>
      </c>
    </row>
    <row r="311" spans="10:27">
      <c r="J311">
        <v>225</v>
      </c>
      <c r="K311">
        <f t="shared" si="27"/>
        <v>34680060.937931813</v>
      </c>
      <c r="L311" s="30">
        <f t="shared" si="26"/>
        <v>346.80060937931813</v>
      </c>
      <c r="Y311">
        <v>361</v>
      </c>
      <c r="Z311" s="30">
        <f t="shared" si="25"/>
        <v>464.84639902523236</v>
      </c>
      <c r="AA311">
        <v>309</v>
      </c>
    </row>
    <row r="312" spans="10:27">
      <c r="J312">
        <v>224</v>
      </c>
      <c r="K312">
        <f t="shared" si="27"/>
        <v>34525927.333763227</v>
      </c>
      <c r="L312" s="30">
        <f t="shared" si="26"/>
        <v>345.25927333763229</v>
      </c>
      <c r="Y312">
        <v>360</v>
      </c>
      <c r="Z312" s="30">
        <f t="shared" si="25"/>
        <v>463.30506298354652</v>
      </c>
      <c r="AA312">
        <v>310</v>
      </c>
    </row>
    <row r="313" spans="10:27">
      <c r="J313">
        <v>223</v>
      </c>
      <c r="K313">
        <f t="shared" si="27"/>
        <v>34371793.72959464</v>
      </c>
      <c r="L313" s="30">
        <f t="shared" si="26"/>
        <v>343.7179372959464</v>
      </c>
      <c r="Y313">
        <v>359</v>
      </c>
      <c r="Z313" s="30">
        <f t="shared" si="25"/>
        <v>461.76372694186063</v>
      </c>
      <c r="AA313">
        <v>311</v>
      </c>
    </row>
    <row r="314" spans="10:27">
      <c r="J314">
        <v>222</v>
      </c>
      <c r="K314">
        <f t="shared" si="27"/>
        <v>34217660.125426054</v>
      </c>
      <c r="L314" s="30">
        <f t="shared" si="26"/>
        <v>342.17660125426056</v>
      </c>
      <c r="Y314">
        <v>358</v>
      </c>
      <c r="Z314" s="30">
        <f t="shared" si="25"/>
        <v>460.22239090017479</v>
      </c>
      <c r="AA314">
        <v>312</v>
      </c>
    </row>
    <row r="315" spans="10:27">
      <c r="J315">
        <v>221</v>
      </c>
      <c r="K315">
        <f t="shared" si="27"/>
        <v>34063526.521257468</v>
      </c>
      <c r="L315" s="30">
        <f t="shared" si="26"/>
        <v>340.63526521257467</v>
      </c>
      <c r="Y315">
        <v>357</v>
      </c>
      <c r="Z315" s="30">
        <f t="shared" si="25"/>
        <v>458.68105485848901</v>
      </c>
      <c r="AA315">
        <v>313</v>
      </c>
    </row>
    <row r="316" spans="10:27">
      <c r="J316">
        <v>220</v>
      </c>
      <c r="K316">
        <f t="shared" si="27"/>
        <v>33909392.917088881</v>
      </c>
      <c r="L316" s="30">
        <f t="shared" si="26"/>
        <v>339.09392917088883</v>
      </c>
      <c r="Y316">
        <v>356</v>
      </c>
      <c r="Z316" s="30">
        <f t="shared" si="25"/>
        <v>457.13971881680311</v>
      </c>
      <c r="AA316">
        <v>314</v>
      </c>
    </row>
    <row r="317" spans="10:27">
      <c r="J317">
        <v>219</v>
      </c>
      <c r="K317">
        <f t="shared" si="27"/>
        <v>33755259.312920302</v>
      </c>
      <c r="L317" s="30">
        <f t="shared" si="26"/>
        <v>337.55259312920305</v>
      </c>
      <c r="Y317">
        <v>355</v>
      </c>
      <c r="Z317" s="30">
        <f t="shared" si="25"/>
        <v>455.59838277511727</v>
      </c>
      <c r="AA317">
        <v>315</v>
      </c>
    </row>
    <row r="318" spans="10:27">
      <c r="J318">
        <v>218</v>
      </c>
      <c r="K318">
        <f t="shared" si="27"/>
        <v>33601125.708751708</v>
      </c>
      <c r="L318" s="30">
        <f t="shared" si="26"/>
        <v>336.01125708751709</v>
      </c>
      <c r="Y318">
        <v>354</v>
      </c>
      <c r="Z318" s="30">
        <f t="shared" si="25"/>
        <v>454.05704673343138</v>
      </c>
      <c r="AA318">
        <v>316</v>
      </c>
    </row>
    <row r="319" spans="10:27">
      <c r="J319">
        <v>217</v>
      </c>
      <c r="K319">
        <f t="shared" si="27"/>
        <v>33446992.104583122</v>
      </c>
      <c r="L319" s="30">
        <f t="shared" si="26"/>
        <v>334.4699210458312</v>
      </c>
      <c r="Y319">
        <v>353</v>
      </c>
      <c r="Z319" s="30">
        <f t="shared" si="25"/>
        <v>452.51571069174543</v>
      </c>
      <c r="AA319">
        <v>317</v>
      </c>
    </row>
    <row r="320" spans="10:27">
      <c r="J320">
        <v>216</v>
      </c>
      <c r="K320">
        <f t="shared" si="27"/>
        <v>33292858.500414539</v>
      </c>
      <c r="L320" s="30">
        <f t="shared" si="26"/>
        <v>332.92858500414542</v>
      </c>
      <c r="Y320">
        <v>352</v>
      </c>
      <c r="Z320" s="30">
        <f t="shared" si="25"/>
        <v>450.97437465005964</v>
      </c>
      <c r="AA320">
        <v>318</v>
      </c>
    </row>
    <row r="321" spans="10:27">
      <c r="J321">
        <v>215</v>
      </c>
      <c r="K321">
        <f t="shared" si="27"/>
        <v>33138724.896245953</v>
      </c>
      <c r="L321" s="30">
        <f t="shared" si="26"/>
        <v>331.38724896245952</v>
      </c>
      <c r="Y321">
        <v>351</v>
      </c>
      <c r="Z321" s="30">
        <f t="shared" si="25"/>
        <v>449.43303860837381</v>
      </c>
      <c r="AA321">
        <v>319</v>
      </c>
    </row>
    <row r="322" spans="10:27">
      <c r="J322">
        <v>214</v>
      </c>
      <c r="K322">
        <f t="shared" si="27"/>
        <v>32984591.292077366</v>
      </c>
      <c r="L322" s="30">
        <f t="shared" si="26"/>
        <v>329.84591292077369</v>
      </c>
      <c r="Y322">
        <v>350</v>
      </c>
      <c r="Z322" s="30">
        <f t="shared" si="25"/>
        <v>447.89170256668791</v>
      </c>
      <c r="AA322">
        <v>320</v>
      </c>
    </row>
    <row r="323" spans="10:27">
      <c r="J323">
        <v>213</v>
      </c>
      <c r="K323">
        <f t="shared" si="27"/>
        <v>32830457.68790878</v>
      </c>
      <c r="L323" s="30">
        <f t="shared" si="26"/>
        <v>328.30457687908779</v>
      </c>
      <c r="Y323">
        <v>349</v>
      </c>
      <c r="Z323" s="30">
        <f t="shared" si="25"/>
        <v>446.35036652500207</v>
      </c>
      <c r="AA323">
        <v>321</v>
      </c>
    </row>
    <row r="324" spans="10:27">
      <c r="J324">
        <v>212</v>
      </c>
      <c r="K324">
        <f t="shared" si="27"/>
        <v>32676324.083740197</v>
      </c>
      <c r="L324" s="30">
        <f t="shared" si="26"/>
        <v>326.76324083740195</v>
      </c>
      <c r="Y324">
        <v>348</v>
      </c>
      <c r="Z324" s="30">
        <f t="shared" si="25"/>
        <v>444.80903048331618</v>
      </c>
      <c r="AA324">
        <v>322</v>
      </c>
    </row>
    <row r="325" spans="10:27">
      <c r="J325">
        <v>211</v>
      </c>
      <c r="K325">
        <f t="shared" si="27"/>
        <v>32522190.479571611</v>
      </c>
      <c r="L325" s="30">
        <f t="shared" si="26"/>
        <v>325.22190479571611</v>
      </c>
      <c r="Y325">
        <v>347</v>
      </c>
      <c r="Z325" s="30">
        <f t="shared" si="25"/>
        <v>443.26769444163034</v>
      </c>
      <c r="AA325">
        <v>323</v>
      </c>
    </row>
    <row r="326" spans="10:27">
      <c r="J326">
        <v>210</v>
      </c>
      <c r="K326">
        <f t="shared" si="27"/>
        <v>32368056.875403024</v>
      </c>
      <c r="L326" s="30">
        <f t="shared" si="26"/>
        <v>323.68056875403022</v>
      </c>
      <c r="Y326">
        <v>346</v>
      </c>
      <c r="Z326" s="30">
        <f t="shared" si="25"/>
        <v>441.72635839994444</v>
      </c>
      <c r="AA326">
        <v>324</v>
      </c>
    </row>
    <row r="327" spans="10:27">
      <c r="J327">
        <v>209</v>
      </c>
      <c r="K327">
        <f t="shared" si="27"/>
        <v>32213923.271234442</v>
      </c>
      <c r="L327" s="30">
        <f t="shared" si="26"/>
        <v>322.13923271234444</v>
      </c>
      <c r="Y327">
        <v>345</v>
      </c>
      <c r="Z327" s="30">
        <f t="shared" si="25"/>
        <v>440.18502235825866</v>
      </c>
      <c r="AA327">
        <v>325</v>
      </c>
    </row>
    <row r="328" spans="10:27">
      <c r="J328">
        <v>208</v>
      </c>
      <c r="K328">
        <f t="shared" si="27"/>
        <v>32059789.667065855</v>
      </c>
      <c r="L328" s="30">
        <f t="shared" si="26"/>
        <v>320.59789667065854</v>
      </c>
      <c r="Y328">
        <v>344</v>
      </c>
      <c r="Z328" s="30">
        <f t="shared" si="25"/>
        <v>438.64368631657283</v>
      </c>
      <c r="AA328">
        <v>326</v>
      </c>
    </row>
    <row r="329" spans="10:27">
      <c r="J329">
        <v>207</v>
      </c>
      <c r="K329">
        <f t="shared" si="27"/>
        <v>31905656.062897265</v>
      </c>
      <c r="L329" s="30">
        <f t="shared" si="26"/>
        <v>319.05656062897265</v>
      </c>
      <c r="Y329">
        <v>343</v>
      </c>
      <c r="Z329" s="30">
        <f t="shared" si="25"/>
        <v>437.10235027488693</v>
      </c>
      <c r="AA329">
        <v>327</v>
      </c>
    </row>
    <row r="330" spans="10:27">
      <c r="J330">
        <v>206</v>
      </c>
      <c r="K330">
        <f t="shared" si="27"/>
        <v>31751522.458728679</v>
      </c>
      <c r="L330" s="30">
        <f t="shared" si="26"/>
        <v>317.51522458728681</v>
      </c>
      <c r="Y330">
        <v>342</v>
      </c>
      <c r="Z330" s="30">
        <f t="shared" si="25"/>
        <v>435.56101423320104</v>
      </c>
      <c r="AA330">
        <v>328</v>
      </c>
    </row>
    <row r="331" spans="10:27">
      <c r="J331">
        <v>205</v>
      </c>
      <c r="K331">
        <f t="shared" si="27"/>
        <v>31597388.854560092</v>
      </c>
      <c r="L331" s="30">
        <f t="shared" si="26"/>
        <v>315.97388854560091</v>
      </c>
      <c r="Y331">
        <v>341</v>
      </c>
      <c r="Z331" s="30">
        <f t="shared" si="25"/>
        <v>434.0196781915152</v>
      </c>
      <c r="AA331">
        <v>329</v>
      </c>
    </row>
    <row r="332" spans="10:27">
      <c r="J332">
        <v>204</v>
      </c>
      <c r="K332">
        <f t="shared" si="27"/>
        <v>31443255.250391509</v>
      </c>
      <c r="L332" s="30">
        <f t="shared" si="26"/>
        <v>314.43255250391508</v>
      </c>
      <c r="Y332">
        <v>340</v>
      </c>
      <c r="Z332" s="30">
        <f t="shared" si="25"/>
        <v>432.47834214982936</v>
      </c>
      <c r="AA332">
        <v>330</v>
      </c>
    </row>
    <row r="333" spans="10:27">
      <c r="J333">
        <v>203</v>
      </c>
      <c r="K333">
        <f t="shared" si="27"/>
        <v>31289121.646222923</v>
      </c>
      <c r="L333" s="30">
        <f t="shared" si="26"/>
        <v>312.89121646222924</v>
      </c>
      <c r="Y333">
        <v>339</v>
      </c>
      <c r="Z333" s="30">
        <f t="shared" si="25"/>
        <v>430.93700610814352</v>
      </c>
      <c r="AA333">
        <v>331</v>
      </c>
    </row>
    <row r="334" spans="10:27">
      <c r="J334">
        <v>202</v>
      </c>
      <c r="K334">
        <f t="shared" si="27"/>
        <v>31134988.042054337</v>
      </c>
      <c r="L334" s="30">
        <f t="shared" si="26"/>
        <v>311.34988042054334</v>
      </c>
      <c r="Y334">
        <v>338</v>
      </c>
      <c r="Z334" s="30">
        <f t="shared" si="25"/>
        <v>429.39567006645763</v>
      </c>
      <c r="AA334">
        <v>332</v>
      </c>
    </row>
    <row r="335" spans="10:27">
      <c r="J335">
        <v>201</v>
      </c>
      <c r="K335">
        <f t="shared" si="27"/>
        <v>30980854.437885754</v>
      </c>
      <c r="L335" s="30">
        <f t="shared" si="26"/>
        <v>309.80854437885756</v>
      </c>
      <c r="Y335">
        <v>337</v>
      </c>
      <c r="Z335" s="30">
        <f t="shared" si="25"/>
        <v>427.85433402477179</v>
      </c>
      <c r="AA335">
        <v>333</v>
      </c>
    </row>
    <row r="336" spans="10:27">
      <c r="J336">
        <v>200</v>
      </c>
      <c r="K336">
        <f t="shared" si="27"/>
        <v>30826720.833717167</v>
      </c>
      <c r="L336" s="30">
        <f t="shared" si="26"/>
        <v>308.26720833717167</v>
      </c>
      <c r="Y336">
        <v>336</v>
      </c>
      <c r="Z336" s="30">
        <f t="shared" si="25"/>
        <v>426.31299798308589</v>
      </c>
      <c r="AA336">
        <v>334</v>
      </c>
    </row>
    <row r="337" spans="10:27">
      <c r="J337">
        <v>199</v>
      </c>
      <c r="K337">
        <f t="shared" si="27"/>
        <v>30672587.229548581</v>
      </c>
      <c r="L337" s="30">
        <f t="shared" si="26"/>
        <v>306.72587229548583</v>
      </c>
      <c r="Y337">
        <v>335</v>
      </c>
      <c r="Z337" s="30">
        <f t="shared" ref="Z337:Z400" si="28">L293+$H$36</f>
        <v>424.77166194140005</v>
      </c>
      <c r="AA337">
        <v>335</v>
      </c>
    </row>
    <row r="338" spans="10:27">
      <c r="J338">
        <v>198</v>
      </c>
      <c r="K338">
        <f t="shared" si="27"/>
        <v>30518453.625379995</v>
      </c>
      <c r="L338" s="30">
        <f t="shared" si="26"/>
        <v>305.18453625379993</v>
      </c>
      <c r="Y338">
        <v>334</v>
      </c>
      <c r="Z338" s="30">
        <f t="shared" si="28"/>
        <v>423.23032589971427</v>
      </c>
      <c r="AA338">
        <v>336</v>
      </c>
    </row>
    <row r="339" spans="10:27">
      <c r="J339">
        <v>197</v>
      </c>
      <c r="K339">
        <f t="shared" si="27"/>
        <v>30364320.021211404</v>
      </c>
      <c r="L339" s="30">
        <f t="shared" si="26"/>
        <v>303.64320021211404</v>
      </c>
      <c r="Y339">
        <v>333</v>
      </c>
      <c r="Z339" s="30">
        <f t="shared" si="28"/>
        <v>421.68898985802838</v>
      </c>
      <c r="AA339">
        <v>337</v>
      </c>
    </row>
    <row r="340" spans="10:27">
      <c r="J340">
        <v>196</v>
      </c>
      <c r="K340">
        <f t="shared" si="27"/>
        <v>30210186.417042822</v>
      </c>
      <c r="L340" s="30">
        <f t="shared" si="26"/>
        <v>302.1018641704282</v>
      </c>
      <c r="Y340">
        <v>332</v>
      </c>
      <c r="Z340" s="30">
        <f t="shared" si="28"/>
        <v>420.14765381634243</v>
      </c>
      <c r="AA340">
        <v>338</v>
      </c>
    </row>
    <row r="341" spans="10:27">
      <c r="J341">
        <v>195</v>
      </c>
      <c r="K341">
        <f t="shared" si="27"/>
        <v>30056052.812874235</v>
      </c>
      <c r="L341" s="30">
        <f t="shared" si="26"/>
        <v>300.56052812874236</v>
      </c>
      <c r="Y341">
        <v>331</v>
      </c>
      <c r="Z341" s="30">
        <f t="shared" si="28"/>
        <v>418.60631777465659</v>
      </c>
      <c r="AA341">
        <v>339</v>
      </c>
    </row>
    <row r="342" spans="10:27">
      <c r="J342">
        <v>194</v>
      </c>
      <c r="K342">
        <f t="shared" si="27"/>
        <v>29901919.208705649</v>
      </c>
      <c r="L342" s="30">
        <f t="shared" si="26"/>
        <v>299.01919208705647</v>
      </c>
      <c r="Y342">
        <v>330</v>
      </c>
      <c r="Z342" s="30">
        <f t="shared" si="28"/>
        <v>417.06498173297069</v>
      </c>
      <c r="AA342">
        <v>340</v>
      </c>
    </row>
    <row r="343" spans="10:27">
      <c r="J343">
        <v>193</v>
      </c>
      <c r="K343">
        <f t="shared" si="27"/>
        <v>29747785.604537062</v>
      </c>
      <c r="L343" s="30">
        <f t="shared" si="26"/>
        <v>297.47785604537063</v>
      </c>
      <c r="Y343">
        <v>329</v>
      </c>
      <c r="Z343" s="30">
        <f t="shared" si="28"/>
        <v>415.52364569128491</v>
      </c>
      <c r="AA343">
        <v>341</v>
      </c>
    </row>
    <row r="344" spans="10:27">
      <c r="J344">
        <v>192</v>
      </c>
      <c r="K344">
        <f t="shared" si="27"/>
        <v>29593652.00036848</v>
      </c>
      <c r="L344" s="30">
        <f t="shared" si="26"/>
        <v>295.93652000368479</v>
      </c>
      <c r="Y344">
        <v>328</v>
      </c>
      <c r="Z344" s="30">
        <f t="shared" si="28"/>
        <v>413.98230964959907</v>
      </c>
      <c r="AA344">
        <v>342</v>
      </c>
    </row>
    <row r="345" spans="10:27">
      <c r="J345">
        <v>191</v>
      </c>
      <c r="K345">
        <f t="shared" si="27"/>
        <v>29439518.396199893</v>
      </c>
      <c r="L345" s="30">
        <f t="shared" si="26"/>
        <v>294.39518396199895</v>
      </c>
      <c r="Y345">
        <v>327</v>
      </c>
      <c r="Z345" s="30">
        <f t="shared" si="28"/>
        <v>412.44097360791318</v>
      </c>
      <c r="AA345">
        <v>343</v>
      </c>
    </row>
    <row r="346" spans="10:27">
      <c r="J346">
        <v>190</v>
      </c>
      <c r="K346">
        <f t="shared" si="27"/>
        <v>29285384.792031307</v>
      </c>
      <c r="L346" s="30">
        <f t="shared" si="26"/>
        <v>292.85384792031306</v>
      </c>
      <c r="Y346">
        <v>326</v>
      </c>
      <c r="Z346" s="30">
        <f t="shared" si="28"/>
        <v>410.89963756622734</v>
      </c>
      <c r="AA346">
        <v>344</v>
      </c>
    </row>
    <row r="347" spans="10:27">
      <c r="J347">
        <v>189</v>
      </c>
      <c r="K347">
        <f t="shared" si="27"/>
        <v>29131251.187862724</v>
      </c>
      <c r="L347" s="30">
        <f t="shared" si="26"/>
        <v>291.31251187862722</v>
      </c>
      <c r="Y347">
        <v>325</v>
      </c>
      <c r="Z347" s="30">
        <f t="shared" si="28"/>
        <v>409.35830152454145</v>
      </c>
      <c r="AA347">
        <v>345</v>
      </c>
    </row>
    <row r="348" spans="10:27">
      <c r="J348">
        <v>188</v>
      </c>
      <c r="K348">
        <f t="shared" si="27"/>
        <v>28977117.583694138</v>
      </c>
      <c r="L348" s="30">
        <f t="shared" si="26"/>
        <v>289.77117583694138</v>
      </c>
      <c r="Y348">
        <v>324</v>
      </c>
      <c r="Z348" s="30">
        <f t="shared" si="28"/>
        <v>407.81696548285561</v>
      </c>
      <c r="AA348">
        <v>346</v>
      </c>
    </row>
    <row r="349" spans="10:27">
      <c r="J349">
        <v>187</v>
      </c>
      <c r="K349">
        <f t="shared" si="27"/>
        <v>28822983.979525551</v>
      </c>
      <c r="L349" s="30">
        <f t="shared" si="26"/>
        <v>288.22983979525549</v>
      </c>
      <c r="Y349">
        <v>323</v>
      </c>
      <c r="Z349" s="30">
        <f t="shared" si="28"/>
        <v>406.27562944116971</v>
      </c>
      <c r="AA349">
        <v>347</v>
      </c>
    </row>
    <row r="350" spans="10:27">
      <c r="J350">
        <v>186</v>
      </c>
      <c r="K350">
        <f t="shared" si="27"/>
        <v>28668850.375356961</v>
      </c>
      <c r="L350" s="30">
        <f t="shared" si="26"/>
        <v>286.68850375356959</v>
      </c>
      <c r="Y350">
        <v>322</v>
      </c>
      <c r="Z350" s="30">
        <f t="shared" si="28"/>
        <v>404.73429339948393</v>
      </c>
      <c r="AA350">
        <v>348</v>
      </c>
    </row>
    <row r="351" spans="10:27">
      <c r="J351">
        <v>185</v>
      </c>
      <c r="K351">
        <f t="shared" si="27"/>
        <v>28514716.771188375</v>
      </c>
      <c r="L351" s="30">
        <f t="shared" si="26"/>
        <v>285.14716771188375</v>
      </c>
      <c r="Y351">
        <v>321</v>
      </c>
      <c r="Z351" s="30">
        <f t="shared" si="28"/>
        <v>403.19295735779804</v>
      </c>
      <c r="AA351">
        <v>349</v>
      </c>
    </row>
    <row r="352" spans="10:27">
      <c r="J352">
        <v>184</v>
      </c>
      <c r="K352">
        <f t="shared" si="27"/>
        <v>28360583.167019792</v>
      </c>
      <c r="L352" s="30">
        <f t="shared" si="26"/>
        <v>283.60583167019792</v>
      </c>
      <c r="Y352">
        <v>320</v>
      </c>
      <c r="Z352" s="30">
        <f t="shared" si="28"/>
        <v>401.65162131611214</v>
      </c>
      <c r="AA352">
        <v>350</v>
      </c>
    </row>
    <row r="353" spans="10:27">
      <c r="J353">
        <v>183</v>
      </c>
      <c r="K353">
        <f t="shared" si="27"/>
        <v>28206449.562851205</v>
      </c>
      <c r="L353" s="30">
        <f t="shared" si="26"/>
        <v>282.06449562851208</v>
      </c>
      <c r="Y353">
        <v>319</v>
      </c>
      <c r="Z353" s="30">
        <f t="shared" si="28"/>
        <v>400.1102852744263</v>
      </c>
      <c r="AA353">
        <v>351</v>
      </c>
    </row>
    <row r="354" spans="10:27">
      <c r="J354">
        <v>182</v>
      </c>
      <c r="K354">
        <f t="shared" si="27"/>
        <v>28052315.958682619</v>
      </c>
      <c r="L354" s="30">
        <f t="shared" si="26"/>
        <v>280.52315958682618</v>
      </c>
      <c r="Y354">
        <v>318</v>
      </c>
      <c r="Z354" s="30">
        <f t="shared" si="28"/>
        <v>398.56894923274041</v>
      </c>
      <c r="AA354">
        <v>352</v>
      </c>
    </row>
    <row r="355" spans="10:27">
      <c r="J355">
        <v>181</v>
      </c>
      <c r="K355">
        <f t="shared" si="27"/>
        <v>27898182.354514036</v>
      </c>
      <c r="L355" s="30">
        <f t="shared" si="26"/>
        <v>278.98182354514034</v>
      </c>
      <c r="Y355">
        <v>317</v>
      </c>
      <c r="Z355" s="30">
        <f t="shared" si="28"/>
        <v>397.02761319105463</v>
      </c>
      <c r="AA355">
        <v>353</v>
      </c>
    </row>
    <row r="356" spans="10:27">
      <c r="J356">
        <v>180</v>
      </c>
      <c r="K356">
        <f t="shared" si="27"/>
        <v>27744048.75034545</v>
      </c>
      <c r="L356" s="30">
        <f t="shared" si="26"/>
        <v>277.44048750345451</v>
      </c>
      <c r="Y356">
        <v>316</v>
      </c>
      <c r="Z356" s="30">
        <f t="shared" si="28"/>
        <v>395.48627714936879</v>
      </c>
      <c r="AA356">
        <v>354</v>
      </c>
    </row>
    <row r="357" spans="10:27">
      <c r="J357">
        <v>179</v>
      </c>
      <c r="K357">
        <f t="shared" si="27"/>
        <v>27589915.146176863</v>
      </c>
      <c r="L357" s="30">
        <f t="shared" ref="L357:L420" si="29">K357/100000</f>
        <v>275.89915146176861</v>
      </c>
      <c r="Y357">
        <v>315</v>
      </c>
      <c r="Z357" s="30">
        <f t="shared" si="28"/>
        <v>393.94494110768289</v>
      </c>
      <c r="AA357">
        <v>355</v>
      </c>
    </row>
    <row r="358" spans="10:27">
      <c r="J358">
        <v>178</v>
      </c>
      <c r="K358">
        <f t="shared" ref="K358:K421" si="30">$A$1*J358*221.5^2</f>
        <v>27435781.542008281</v>
      </c>
      <c r="L358" s="30">
        <f t="shared" si="29"/>
        <v>274.35781542008283</v>
      </c>
      <c r="Y358">
        <v>314</v>
      </c>
      <c r="Z358" s="30">
        <f t="shared" si="28"/>
        <v>392.40360506599706</v>
      </c>
      <c r="AA358">
        <v>356</v>
      </c>
    </row>
    <row r="359" spans="10:27">
      <c r="J359">
        <v>177</v>
      </c>
      <c r="K359">
        <f t="shared" si="30"/>
        <v>27281647.937839694</v>
      </c>
      <c r="L359" s="30">
        <f t="shared" si="29"/>
        <v>272.81647937839693</v>
      </c>
      <c r="Y359">
        <v>313</v>
      </c>
      <c r="Z359" s="30">
        <f t="shared" si="28"/>
        <v>390.86226902431116</v>
      </c>
      <c r="AA359">
        <v>357</v>
      </c>
    </row>
    <row r="360" spans="10:27">
      <c r="J360">
        <v>176</v>
      </c>
      <c r="K360">
        <f t="shared" si="30"/>
        <v>27127514.333671104</v>
      </c>
      <c r="L360" s="30">
        <f t="shared" si="29"/>
        <v>271.27514333671104</v>
      </c>
      <c r="Y360">
        <v>312</v>
      </c>
      <c r="Z360" s="30">
        <f t="shared" si="28"/>
        <v>389.32093298262532</v>
      </c>
      <c r="AA360">
        <v>358</v>
      </c>
    </row>
    <row r="361" spans="10:27">
      <c r="J361">
        <v>175</v>
      </c>
      <c r="K361">
        <f t="shared" si="30"/>
        <v>26973380.729502518</v>
      </c>
      <c r="L361" s="30">
        <f t="shared" si="29"/>
        <v>269.7338072950252</v>
      </c>
      <c r="Y361">
        <v>311</v>
      </c>
      <c r="Z361" s="30">
        <f t="shared" si="28"/>
        <v>387.77959694093954</v>
      </c>
      <c r="AA361">
        <v>359</v>
      </c>
    </row>
    <row r="362" spans="10:27">
      <c r="J362">
        <v>174</v>
      </c>
      <c r="K362">
        <f t="shared" si="30"/>
        <v>26819247.125333931</v>
      </c>
      <c r="L362" s="30">
        <f t="shared" si="29"/>
        <v>268.19247125333931</v>
      </c>
      <c r="Y362">
        <v>310</v>
      </c>
      <c r="Z362" s="30">
        <f t="shared" si="28"/>
        <v>386.23826089925359</v>
      </c>
      <c r="AA362">
        <v>360</v>
      </c>
    </row>
    <row r="363" spans="10:27">
      <c r="J363">
        <v>173</v>
      </c>
      <c r="K363">
        <f t="shared" si="30"/>
        <v>26665113.521165349</v>
      </c>
      <c r="L363" s="30">
        <f t="shared" si="29"/>
        <v>266.65113521165347</v>
      </c>
      <c r="Y363">
        <v>309</v>
      </c>
      <c r="Z363" s="30">
        <f t="shared" si="28"/>
        <v>384.69692485756769</v>
      </c>
      <c r="AA363">
        <v>361</v>
      </c>
    </row>
    <row r="364" spans="10:27">
      <c r="J364">
        <v>172</v>
      </c>
      <c r="K364">
        <f t="shared" si="30"/>
        <v>26510979.916996762</v>
      </c>
      <c r="L364" s="30">
        <f t="shared" si="29"/>
        <v>265.10979916996763</v>
      </c>
      <c r="Y364">
        <v>308</v>
      </c>
      <c r="Z364" s="30">
        <f t="shared" si="28"/>
        <v>383.15558881588191</v>
      </c>
      <c r="AA364">
        <v>362</v>
      </c>
    </row>
    <row r="365" spans="10:27">
      <c r="J365">
        <v>171</v>
      </c>
      <c r="K365">
        <f t="shared" si="30"/>
        <v>26356846.312828176</v>
      </c>
      <c r="L365" s="30">
        <f t="shared" si="29"/>
        <v>263.56846312828173</v>
      </c>
      <c r="Y365">
        <v>307</v>
      </c>
      <c r="Z365" s="30">
        <f t="shared" si="28"/>
        <v>381.61425277419602</v>
      </c>
      <c r="AA365">
        <v>363</v>
      </c>
    </row>
    <row r="366" spans="10:27">
      <c r="J366">
        <v>170</v>
      </c>
      <c r="K366">
        <f t="shared" si="30"/>
        <v>26202712.708659589</v>
      </c>
      <c r="L366" s="30">
        <f t="shared" si="29"/>
        <v>262.0271270865959</v>
      </c>
      <c r="Y366">
        <v>306</v>
      </c>
      <c r="Z366" s="30">
        <f t="shared" si="28"/>
        <v>380.07291673251018</v>
      </c>
      <c r="AA366">
        <v>364</v>
      </c>
    </row>
    <row r="367" spans="10:27">
      <c r="J367">
        <v>169</v>
      </c>
      <c r="K367">
        <f t="shared" si="30"/>
        <v>26048579.104491007</v>
      </c>
      <c r="L367" s="30">
        <f t="shared" si="29"/>
        <v>260.48579104491006</v>
      </c>
      <c r="Y367">
        <v>305</v>
      </c>
      <c r="Z367" s="30">
        <f t="shared" si="28"/>
        <v>378.53158069082428</v>
      </c>
      <c r="AA367">
        <v>365</v>
      </c>
    </row>
    <row r="368" spans="10:27">
      <c r="J368">
        <v>168</v>
      </c>
      <c r="K368">
        <f t="shared" si="30"/>
        <v>25894445.50032242</v>
      </c>
      <c r="L368" s="30">
        <f t="shared" si="29"/>
        <v>258.94445500322422</v>
      </c>
      <c r="Y368">
        <v>304</v>
      </c>
      <c r="Z368" s="30">
        <f t="shared" si="28"/>
        <v>376.99024464913845</v>
      </c>
      <c r="AA368">
        <v>366</v>
      </c>
    </row>
    <row r="369" spans="10:27">
      <c r="J369">
        <v>167</v>
      </c>
      <c r="K369">
        <f t="shared" si="30"/>
        <v>25740311.896153834</v>
      </c>
      <c r="L369" s="30">
        <f t="shared" si="29"/>
        <v>257.40311896153833</v>
      </c>
      <c r="Y369">
        <v>303</v>
      </c>
      <c r="Z369" s="30">
        <f t="shared" si="28"/>
        <v>375.44890860745261</v>
      </c>
      <c r="AA369">
        <v>367</v>
      </c>
    </row>
    <row r="370" spans="10:27">
      <c r="J370">
        <v>166</v>
      </c>
      <c r="K370">
        <f t="shared" si="30"/>
        <v>25586178.291985251</v>
      </c>
      <c r="L370" s="30">
        <f t="shared" si="29"/>
        <v>255.86178291985252</v>
      </c>
      <c r="Y370">
        <v>302</v>
      </c>
      <c r="Z370" s="30">
        <f t="shared" si="28"/>
        <v>373.90757256576671</v>
      </c>
      <c r="AA370">
        <v>368</v>
      </c>
    </row>
    <row r="371" spans="10:27">
      <c r="J371">
        <v>165</v>
      </c>
      <c r="K371">
        <f t="shared" si="30"/>
        <v>25432044.687816657</v>
      </c>
      <c r="L371" s="30">
        <f t="shared" si="29"/>
        <v>254.32044687816656</v>
      </c>
      <c r="Y371">
        <v>301</v>
      </c>
      <c r="Z371" s="30">
        <f t="shared" si="28"/>
        <v>372.36623652408093</v>
      </c>
      <c r="AA371">
        <v>369</v>
      </c>
    </row>
    <row r="372" spans="10:27">
      <c r="J372">
        <v>164</v>
      </c>
      <c r="K372">
        <f t="shared" si="30"/>
        <v>25277911.083648074</v>
      </c>
      <c r="L372" s="30">
        <f t="shared" si="29"/>
        <v>252.77911083648075</v>
      </c>
      <c r="Y372">
        <v>300</v>
      </c>
      <c r="Z372" s="30">
        <f t="shared" si="28"/>
        <v>370.82490048239504</v>
      </c>
      <c r="AA372">
        <v>370</v>
      </c>
    </row>
    <row r="373" spans="10:27">
      <c r="J373">
        <v>163</v>
      </c>
      <c r="K373">
        <f t="shared" si="30"/>
        <v>25123777.479479488</v>
      </c>
      <c r="L373" s="30">
        <f t="shared" si="29"/>
        <v>251.23777479479489</v>
      </c>
      <c r="Y373">
        <v>299</v>
      </c>
      <c r="Z373" s="30">
        <f t="shared" si="28"/>
        <v>369.28356444070914</v>
      </c>
      <c r="AA373">
        <v>371</v>
      </c>
    </row>
    <row r="374" spans="10:27">
      <c r="J374">
        <v>162</v>
      </c>
      <c r="K374">
        <f t="shared" si="30"/>
        <v>24969643.875310902</v>
      </c>
      <c r="L374" s="30">
        <f t="shared" si="29"/>
        <v>249.69643875310902</v>
      </c>
      <c r="Y374">
        <v>298</v>
      </c>
      <c r="Z374" s="30">
        <f t="shared" si="28"/>
        <v>367.7422283990233</v>
      </c>
      <c r="AA374">
        <v>372</v>
      </c>
    </row>
    <row r="375" spans="10:27">
      <c r="J375">
        <v>161</v>
      </c>
      <c r="K375">
        <f t="shared" si="30"/>
        <v>24815510.271142319</v>
      </c>
      <c r="L375" s="30">
        <f t="shared" si="29"/>
        <v>248.15510271142318</v>
      </c>
      <c r="Y375">
        <v>297</v>
      </c>
      <c r="Z375" s="30">
        <f t="shared" si="28"/>
        <v>366.20089235733741</v>
      </c>
      <c r="AA375">
        <v>373</v>
      </c>
    </row>
    <row r="376" spans="10:27">
      <c r="J376">
        <v>160</v>
      </c>
      <c r="K376">
        <f t="shared" si="30"/>
        <v>24661376.666973732</v>
      </c>
      <c r="L376" s="30">
        <f t="shared" si="29"/>
        <v>246.61376666973732</v>
      </c>
      <c r="Y376">
        <v>296</v>
      </c>
      <c r="Z376" s="30">
        <f t="shared" si="28"/>
        <v>364.65955631565157</v>
      </c>
      <c r="AA376">
        <v>374</v>
      </c>
    </row>
    <row r="377" spans="10:27">
      <c r="J377">
        <v>159</v>
      </c>
      <c r="K377">
        <f t="shared" si="30"/>
        <v>24507243.062805146</v>
      </c>
      <c r="L377" s="30">
        <f t="shared" si="29"/>
        <v>245.07243062805145</v>
      </c>
      <c r="Y377">
        <v>295</v>
      </c>
      <c r="Z377" s="30">
        <f t="shared" si="28"/>
        <v>363.11822027396573</v>
      </c>
      <c r="AA377">
        <v>375</v>
      </c>
    </row>
    <row r="378" spans="10:27">
      <c r="J378">
        <v>158</v>
      </c>
      <c r="K378">
        <f t="shared" si="30"/>
        <v>24353109.458636563</v>
      </c>
      <c r="L378" s="30">
        <f t="shared" si="29"/>
        <v>243.53109458636564</v>
      </c>
      <c r="Y378">
        <v>294</v>
      </c>
      <c r="Z378" s="30">
        <f t="shared" si="28"/>
        <v>361.57688423227984</v>
      </c>
      <c r="AA378">
        <v>376</v>
      </c>
    </row>
    <row r="379" spans="10:27">
      <c r="J379">
        <v>157</v>
      </c>
      <c r="K379">
        <f t="shared" si="30"/>
        <v>24198975.854467973</v>
      </c>
      <c r="L379" s="30">
        <f t="shared" si="29"/>
        <v>241.98975854467975</v>
      </c>
      <c r="Y379">
        <v>293</v>
      </c>
      <c r="Z379" s="30">
        <f t="shared" si="28"/>
        <v>360.03554819059406</v>
      </c>
      <c r="AA379">
        <v>377</v>
      </c>
    </row>
    <row r="380" spans="10:27">
      <c r="J380">
        <v>156</v>
      </c>
      <c r="K380">
        <f t="shared" si="30"/>
        <v>24044842.250299387</v>
      </c>
      <c r="L380" s="30">
        <f t="shared" si="29"/>
        <v>240.44842250299388</v>
      </c>
      <c r="Y380">
        <v>292</v>
      </c>
      <c r="Z380" s="30">
        <f t="shared" si="28"/>
        <v>358.49421214890816</v>
      </c>
      <c r="AA380">
        <v>378</v>
      </c>
    </row>
    <row r="381" spans="10:27">
      <c r="J381">
        <v>155</v>
      </c>
      <c r="K381">
        <f t="shared" si="30"/>
        <v>23890708.646130804</v>
      </c>
      <c r="L381" s="30">
        <f t="shared" si="29"/>
        <v>238.90708646130804</v>
      </c>
      <c r="Y381">
        <v>291</v>
      </c>
      <c r="Z381" s="30">
        <f t="shared" si="28"/>
        <v>356.95287610722232</v>
      </c>
      <c r="AA381">
        <v>379</v>
      </c>
    </row>
    <row r="382" spans="10:27">
      <c r="J382">
        <v>154</v>
      </c>
      <c r="K382">
        <f t="shared" si="30"/>
        <v>23736575.041962218</v>
      </c>
      <c r="L382" s="30">
        <f t="shared" si="29"/>
        <v>237.36575041962217</v>
      </c>
      <c r="Y382">
        <v>290</v>
      </c>
      <c r="Z382" s="30">
        <f t="shared" si="28"/>
        <v>355.41154006553643</v>
      </c>
      <c r="AA382">
        <v>380</v>
      </c>
    </row>
    <row r="383" spans="10:27">
      <c r="J383">
        <v>153</v>
      </c>
      <c r="K383">
        <f t="shared" si="30"/>
        <v>23582441.437793631</v>
      </c>
      <c r="L383" s="30">
        <f t="shared" si="29"/>
        <v>235.82441437793631</v>
      </c>
      <c r="Y383">
        <v>289</v>
      </c>
      <c r="Z383" s="30">
        <f t="shared" si="28"/>
        <v>353.87020402385053</v>
      </c>
      <c r="AA383">
        <v>381</v>
      </c>
    </row>
    <row r="384" spans="10:27">
      <c r="J384">
        <v>152</v>
      </c>
      <c r="K384">
        <f t="shared" si="30"/>
        <v>23428307.833625045</v>
      </c>
      <c r="L384" s="30">
        <f t="shared" si="29"/>
        <v>234.28307833625044</v>
      </c>
      <c r="Y384">
        <v>288</v>
      </c>
      <c r="Z384" s="30">
        <f t="shared" si="28"/>
        <v>352.3288679821647</v>
      </c>
      <c r="AA384">
        <v>382</v>
      </c>
    </row>
    <row r="385" spans="10:27">
      <c r="J385">
        <v>151</v>
      </c>
      <c r="K385">
        <f t="shared" si="30"/>
        <v>23274174.229456458</v>
      </c>
      <c r="L385" s="30">
        <f t="shared" si="29"/>
        <v>232.74174229456457</v>
      </c>
      <c r="Y385">
        <v>287</v>
      </c>
      <c r="Z385" s="30">
        <f t="shared" si="28"/>
        <v>350.78753194047886</v>
      </c>
      <c r="AA385">
        <v>383</v>
      </c>
    </row>
    <row r="386" spans="10:27">
      <c r="J386">
        <v>150</v>
      </c>
      <c r="K386">
        <f t="shared" si="30"/>
        <v>23120040.625287876</v>
      </c>
      <c r="L386" s="30">
        <f t="shared" si="29"/>
        <v>231.20040625287876</v>
      </c>
      <c r="Y386">
        <v>286</v>
      </c>
      <c r="Z386" s="30">
        <f t="shared" si="28"/>
        <v>349.24619589879296</v>
      </c>
      <c r="AA386">
        <v>384</v>
      </c>
    </row>
    <row r="387" spans="10:27">
      <c r="J387">
        <v>149</v>
      </c>
      <c r="K387">
        <f t="shared" si="30"/>
        <v>22965907.021119289</v>
      </c>
      <c r="L387" s="30">
        <f t="shared" si="29"/>
        <v>229.6590702111929</v>
      </c>
      <c r="Y387">
        <v>285</v>
      </c>
      <c r="Z387" s="30">
        <f t="shared" si="28"/>
        <v>347.70485985710712</v>
      </c>
      <c r="AA387">
        <v>385</v>
      </c>
    </row>
    <row r="388" spans="10:27">
      <c r="J388">
        <v>148</v>
      </c>
      <c r="K388">
        <f t="shared" si="30"/>
        <v>22811773.416950703</v>
      </c>
      <c r="L388" s="30">
        <f t="shared" si="29"/>
        <v>228.11773416950703</v>
      </c>
      <c r="Y388">
        <v>284</v>
      </c>
      <c r="Z388" s="30">
        <f t="shared" si="28"/>
        <v>346.16352381542129</v>
      </c>
      <c r="AA388">
        <v>386</v>
      </c>
    </row>
    <row r="389" spans="10:27">
      <c r="J389">
        <v>147</v>
      </c>
      <c r="K389">
        <f t="shared" si="30"/>
        <v>22657639.812782116</v>
      </c>
      <c r="L389" s="30">
        <f t="shared" si="29"/>
        <v>226.57639812782116</v>
      </c>
      <c r="Y389">
        <v>283</v>
      </c>
      <c r="Z389" s="30">
        <f t="shared" si="28"/>
        <v>344.62218777373545</v>
      </c>
      <c r="AA389">
        <v>387</v>
      </c>
    </row>
    <row r="390" spans="10:27">
      <c r="J390">
        <v>146</v>
      </c>
      <c r="K390">
        <f t="shared" si="30"/>
        <v>22503506.20861353</v>
      </c>
      <c r="L390" s="30">
        <f t="shared" si="29"/>
        <v>225.0350620861353</v>
      </c>
      <c r="Y390">
        <v>282</v>
      </c>
      <c r="Z390" s="30">
        <f t="shared" si="28"/>
        <v>343.08085173204955</v>
      </c>
      <c r="AA390">
        <v>388</v>
      </c>
    </row>
    <row r="391" spans="10:27">
      <c r="J391">
        <v>145</v>
      </c>
      <c r="K391">
        <f t="shared" si="30"/>
        <v>22349372.604444943</v>
      </c>
      <c r="L391" s="30">
        <f t="shared" si="29"/>
        <v>223.49372604444943</v>
      </c>
      <c r="Y391">
        <v>281</v>
      </c>
      <c r="Z391" s="30">
        <f t="shared" si="28"/>
        <v>341.53951569036371</v>
      </c>
      <c r="AA391">
        <v>389</v>
      </c>
    </row>
    <row r="392" spans="10:27">
      <c r="J392">
        <v>144</v>
      </c>
      <c r="K392">
        <f t="shared" si="30"/>
        <v>22195239.000276361</v>
      </c>
      <c r="L392" s="30">
        <f t="shared" si="29"/>
        <v>221.95239000276359</v>
      </c>
      <c r="Y392">
        <v>280</v>
      </c>
      <c r="Z392" s="30">
        <f t="shared" si="28"/>
        <v>339.99817964867788</v>
      </c>
      <c r="AA392">
        <v>390</v>
      </c>
    </row>
    <row r="393" spans="10:27">
      <c r="J393">
        <v>143</v>
      </c>
      <c r="K393">
        <f t="shared" si="30"/>
        <v>22041105.396107774</v>
      </c>
      <c r="L393" s="30">
        <f t="shared" si="29"/>
        <v>220.41105396107776</v>
      </c>
      <c r="Y393">
        <v>279</v>
      </c>
      <c r="Z393" s="30">
        <f t="shared" si="28"/>
        <v>338.45684360699198</v>
      </c>
      <c r="AA393">
        <v>391</v>
      </c>
    </row>
    <row r="394" spans="10:27">
      <c r="J394">
        <v>142</v>
      </c>
      <c r="K394">
        <f t="shared" si="30"/>
        <v>21886971.791939188</v>
      </c>
      <c r="L394" s="30">
        <f t="shared" si="29"/>
        <v>218.86971791939189</v>
      </c>
      <c r="Y394">
        <v>278</v>
      </c>
      <c r="Z394" s="30">
        <f t="shared" si="28"/>
        <v>336.91550756530609</v>
      </c>
      <c r="AA394">
        <v>392</v>
      </c>
    </row>
    <row r="395" spans="10:27">
      <c r="J395">
        <v>141</v>
      </c>
      <c r="K395">
        <f t="shared" si="30"/>
        <v>21732838.187770601</v>
      </c>
      <c r="L395" s="30">
        <f t="shared" si="29"/>
        <v>217.32838187770602</v>
      </c>
      <c r="Y395">
        <v>277</v>
      </c>
      <c r="Z395" s="30">
        <f t="shared" si="28"/>
        <v>335.37417152362025</v>
      </c>
      <c r="AA395">
        <v>393</v>
      </c>
    </row>
    <row r="396" spans="10:27">
      <c r="J396">
        <v>140</v>
      </c>
      <c r="K396">
        <f t="shared" si="30"/>
        <v>21578704.583602015</v>
      </c>
      <c r="L396" s="30">
        <f t="shared" si="29"/>
        <v>215.78704583602016</v>
      </c>
      <c r="Y396">
        <v>276</v>
      </c>
      <c r="Z396" s="30">
        <f t="shared" si="28"/>
        <v>333.83283548193441</v>
      </c>
      <c r="AA396">
        <v>394</v>
      </c>
    </row>
    <row r="397" spans="10:27">
      <c r="J397">
        <v>139</v>
      </c>
      <c r="K397">
        <f t="shared" si="30"/>
        <v>21424570.979433428</v>
      </c>
      <c r="L397" s="30">
        <f t="shared" si="29"/>
        <v>214.24570979433429</v>
      </c>
      <c r="Y397">
        <v>275</v>
      </c>
      <c r="Z397" s="30">
        <f t="shared" si="28"/>
        <v>332.29149944024857</v>
      </c>
      <c r="AA397">
        <v>395</v>
      </c>
    </row>
    <row r="398" spans="10:27">
      <c r="J398">
        <v>138</v>
      </c>
      <c r="K398">
        <f t="shared" si="30"/>
        <v>21270437.375264846</v>
      </c>
      <c r="L398" s="30">
        <f t="shared" si="29"/>
        <v>212.70437375264845</v>
      </c>
      <c r="Y398">
        <v>274</v>
      </c>
      <c r="Z398" s="30">
        <f t="shared" si="28"/>
        <v>330.75016339856268</v>
      </c>
      <c r="AA398">
        <v>396</v>
      </c>
    </row>
    <row r="399" spans="10:27">
      <c r="J399">
        <v>137</v>
      </c>
      <c r="K399">
        <f t="shared" si="30"/>
        <v>21116303.771096259</v>
      </c>
      <c r="L399" s="30">
        <f t="shared" si="29"/>
        <v>211.16303771096258</v>
      </c>
      <c r="Y399">
        <v>273</v>
      </c>
      <c r="Z399" s="30">
        <f t="shared" si="28"/>
        <v>329.20882735687684</v>
      </c>
      <c r="AA399">
        <v>397</v>
      </c>
    </row>
    <row r="400" spans="10:27">
      <c r="J400">
        <v>136</v>
      </c>
      <c r="K400">
        <f t="shared" si="30"/>
        <v>20962170.166927673</v>
      </c>
      <c r="L400" s="30">
        <f t="shared" si="29"/>
        <v>209.62170166927672</v>
      </c>
      <c r="Y400">
        <v>272</v>
      </c>
      <c r="Z400" s="30">
        <f t="shared" si="28"/>
        <v>327.667491315191</v>
      </c>
      <c r="AA400">
        <v>398</v>
      </c>
    </row>
    <row r="401" spans="10:27">
      <c r="J401">
        <v>135</v>
      </c>
      <c r="K401">
        <f t="shared" si="30"/>
        <v>20808036.562759086</v>
      </c>
      <c r="L401" s="30">
        <f t="shared" si="29"/>
        <v>208.08036562759085</v>
      </c>
      <c r="Y401">
        <v>271</v>
      </c>
      <c r="Z401" s="30">
        <f t="shared" ref="Z401:Z464" si="31">L357+$H$36</f>
        <v>326.12615527350511</v>
      </c>
      <c r="AA401">
        <v>399</v>
      </c>
    </row>
    <row r="402" spans="10:27">
      <c r="J402">
        <v>134</v>
      </c>
      <c r="K402">
        <f t="shared" si="30"/>
        <v>20653902.9585905</v>
      </c>
      <c r="L402" s="30">
        <f t="shared" si="29"/>
        <v>206.53902958590501</v>
      </c>
      <c r="Y402">
        <v>270</v>
      </c>
      <c r="Z402" s="30">
        <f t="shared" si="31"/>
        <v>324.58481923181932</v>
      </c>
      <c r="AA402">
        <v>400</v>
      </c>
    </row>
    <row r="403" spans="10:27">
      <c r="J403">
        <v>133</v>
      </c>
      <c r="K403">
        <f t="shared" si="30"/>
        <v>20499769.354421914</v>
      </c>
      <c r="L403" s="30">
        <f t="shared" si="29"/>
        <v>204.99769354421915</v>
      </c>
      <c r="Y403">
        <v>269</v>
      </c>
      <c r="Z403" s="30">
        <f t="shared" si="31"/>
        <v>323.04348319013343</v>
      </c>
      <c r="AA403">
        <v>401</v>
      </c>
    </row>
    <row r="404" spans="10:27">
      <c r="J404">
        <v>132</v>
      </c>
      <c r="K404">
        <f t="shared" si="30"/>
        <v>20345635.750253331</v>
      </c>
      <c r="L404" s="30">
        <f t="shared" si="29"/>
        <v>203.45635750253331</v>
      </c>
      <c r="Y404">
        <v>268</v>
      </c>
      <c r="Z404" s="30">
        <f t="shared" si="31"/>
        <v>321.50214714844753</v>
      </c>
      <c r="AA404">
        <v>402</v>
      </c>
    </row>
    <row r="405" spans="10:27">
      <c r="J405">
        <v>131</v>
      </c>
      <c r="K405">
        <f t="shared" si="30"/>
        <v>20191502.146084744</v>
      </c>
      <c r="L405" s="30">
        <f t="shared" si="29"/>
        <v>201.91502146084744</v>
      </c>
      <c r="Y405">
        <v>267</v>
      </c>
      <c r="Z405" s="30">
        <f t="shared" si="31"/>
        <v>319.9608111067617</v>
      </c>
      <c r="AA405">
        <v>403</v>
      </c>
    </row>
    <row r="406" spans="10:27">
      <c r="J406">
        <v>130</v>
      </c>
      <c r="K406">
        <f t="shared" si="30"/>
        <v>20037368.541916158</v>
      </c>
      <c r="L406" s="30">
        <f t="shared" si="29"/>
        <v>200.37368541916157</v>
      </c>
      <c r="Y406">
        <v>266</v>
      </c>
      <c r="Z406" s="30">
        <f t="shared" si="31"/>
        <v>318.4194750650758</v>
      </c>
      <c r="AA406">
        <v>404</v>
      </c>
    </row>
    <row r="407" spans="10:27">
      <c r="J407">
        <v>129</v>
      </c>
      <c r="K407">
        <f t="shared" si="30"/>
        <v>19883234.937747572</v>
      </c>
      <c r="L407" s="30">
        <f t="shared" si="29"/>
        <v>198.83234937747571</v>
      </c>
      <c r="Y407">
        <v>265</v>
      </c>
      <c r="Z407" s="30">
        <f t="shared" si="31"/>
        <v>316.87813902338996</v>
      </c>
      <c r="AA407">
        <v>405</v>
      </c>
    </row>
    <row r="408" spans="10:27">
      <c r="J408">
        <v>128</v>
      </c>
      <c r="K408">
        <f t="shared" si="30"/>
        <v>19729101.333578985</v>
      </c>
      <c r="L408" s="30">
        <f t="shared" si="29"/>
        <v>197.29101333578984</v>
      </c>
      <c r="Y408">
        <v>264</v>
      </c>
      <c r="Z408" s="30">
        <f t="shared" si="31"/>
        <v>315.33680298170412</v>
      </c>
      <c r="AA408">
        <v>406</v>
      </c>
    </row>
    <row r="409" spans="10:27">
      <c r="J409">
        <v>127</v>
      </c>
      <c r="K409">
        <f t="shared" si="30"/>
        <v>19574967.729410399</v>
      </c>
      <c r="L409" s="30">
        <f t="shared" si="29"/>
        <v>195.74967729410398</v>
      </c>
      <c r="Y409">
        <v>263</v>
      </c>
      <c r="Z409" s="30">
        <f t="shared" si="31"/>
        <v>313.79546694001823</v>
      </c>
      <c r="AA409">
        <v>407</v>
      </c>
    </row>
    <row r="410" spans="10:27">
      <c r="J410">
        <v>126</v>
      </c>
      <c r="K410">
        <f t="shared" si="30"/>
        <v>19420834.125241816</v>
      </c>
      <c r="L410" s="30">
        <f t="shared" si="29"/>
        <v>194.20834125241817</v>
      </c>
      <c r="Y410">
        <v>262</v>
      </c>
      <c r="Z410" s="30">
        <f t="shared" si="31"/>
        <v>312.25413089833239</v>
      </c>
      <c r="AA410">
        <v>408</v>
      </c>
    </row>
    <row r="411" spans="10:27">
      <c r="J411">
        <v>125</v>
      </c>
      <c r="K411">
        <f t="shared" si="30"/>
        <v>19266700.521073226</v>
      </c>
      <c r="L411" s="30">
        <f t="shared" si="29"/>
        <v>192.66700521073227</v>
      </c>
      <c r="Y411">
        <v>261</v>
      </c>
      <c r="Z411" s="30">
        <f t="shared" si="31"/>
        <v>310.71279485664655</v>
      </c>
      <c r="AA411">
        <v>409</v>
      </c>
    </row>
    <row r="412" spans="10:27">
      <c r="J412">
        <v>124</v>
      </c>
      <c r="K412">
        <f t="shared" si="30"/>
        <v>19112566.916904643</v>
      </c>
      <c r="L412" s="30">
        <f t="shared" si="29"/>
        <v>191.12566916904643</v>
      </c>
      <c r="Y412">
        <v>260</v>
      </c>
      <c r="Z412" s="30">
        <f t="shared" si="31"/>
        <v>309.17145881496072</v>
      </c>
      <c r="AA412">
        <v>410</v>
      </c>
    </row>
    <row r="413" spans="10:27">
      <c r="J413">
        <v>123</v>
      </c>
      <c r="K413">
        <f t="shared" si="30"/>
        <v>18958433.312736057</v>
      </c>
      <c r="L413" s="30">
        <f t="shared" si="29"/>
        <v>189.58433312736057</v>
      </c>
      <c r="Y413">
        <v>259</v>
      </c>
      <c r="Z413" s="30">
        <f t="shared" si="31"/>
        <v>307.63012277327482</v>
      </c>
      <c r="AA413">
        <v>411</v>
      </c>
    </row>
    <row r="414" spans="10:27">
      <c r="J414">
        <v>122</v>
      </c>
      <c r="K414">
        <f t="shared" si="30"/>
        <v>18804299.70856747</v>
      </c>
      <c r="L414" s="30">
        <f t="shared" si="29"/>
        <v>188.0429970856747</v>
      </c>
      <c r="Y414">
        <v>258</v>
      </c>
      <c r="Z414" s="30">
        <f t="shared" si="31"/>
        <v>306.08878673158904</v>
      </c>
      <c r="AA414">
        <v>412</v>
      </c>
    </row>
    <row r="415" spans="10:27">
      <c r="J415">
        <v>121</v>
      </c>
      <c r="K415">
        <f t="shared" si="30"/>
        <v>18650166.104398888</v>
      </c>
      <c r="L415" s="30">
        <f t="shared" si="29"/>
        <v>186.50166104398889</v>
      </c>
      <c r="Y415">
        <v>257</v>
      </c>
      <c r="Z415" s="30">
        <f t="shared" si="31"/>
        <v>304.54745068990309</v>
      </c>
      <c r="AA415">
        <v>413</v>
      </c>
    </row>
    <row r="416" spans="10:27">
      <c r="J416">
        <v>120</v>
      </c>
      <c r="K416">
        <f t="shared" si="30"/>
        <v>18496032.500230297</v>
      </c>
      <c r="L416" s="30">
        <f t="shared" si="29"/>
        <v>184.96032500230297</v>
      </c>
      <c r="Y416">
        <v>256</v>
      </c>
      <c r="Z416" s="30">
        <f t="shared" si="31"/>
        <v>303.00611464821725</v>
      </c>
      <c r="AA416">
        <v>414</v>
      </c>
    </row>
    <row r="417" spans="10:27">
      <c r="J417">
        <v>119</v>
      </c>
      <c r="K417">
        <f t="shared" si="30"/>
        <v>18341898.896061711</v>
      </c>
      <c r="L417" s="30">
        <f t="shared" si="29"/>
        <v>183.4189889606171</v>
      </c>
      <c r="Y417">
        <v>255</v>
      </c>
      <c r="Z417" s="30">
        <f t="shared" si="31"/>
        <v>301.46477860653141</v>
      </c>
      <c r="AA417">
        <v>415</v>
      </c>
    </row>
    <row r="418" spans="10:27">
      <c r="J418">
        <v>118</v>
      </c>
      <c r="K418">
        <f t="shared" si="30"/>
        <v>18187765.291893128</v>
      </c>
      <c r="L418" s="30">
        <f t="shared" si="29"/>
        <v>181.87765291893129</v>
      </c>
      <c r="Y418">
        <v>254</v>
      </c>
      <c r="Z418" s="30">
        <f t="shared" si="31"/>
        <v>299.92344256484552</v>
      </c>
      <c r="AA418">
        <v>416</v>
      </c>
    </row>
    <row r="419" spans="10:27">
      <c r="J419">
        <v>117</v>
      </c>
      <c r="K419">
        <f t="shared" si="30"/>
        <v>18033631.687724542</v>
      </c>
      <c r="L419" s="30">
        <f t="shared" si="29"/>
        <v>180.33631687724542</v>
      </c>
      <c r="Y419">
        <v>253</v>
      </c>
      <c r="Z419" s="30">
        <f t="shared" si="31"/>
        <v>298.38210652315968</v>
      </c>
      <c r="AA419">
        <v>417</v>
      </c>
    </row>
    <row r="420" spans="10:27">
      <c r="J420">
        <v>116</v>
      </c>
      <c r="K420">
        <f t="shared" si="30"/>
        <v>17879498.083555955</v>
      </c>
      <c r="L420" s="30">
        <f t="shared" si="29"/>
        <v>178.79498083555956</v>
      </c>
      <c r="Y420">
        <v>252</v>
      </c>
      <c r="Z420" s="30">
        <f t="shared" si="31"/>
        <v>296.84077048147384</v>
      </c>
      <c r="AA420">
        <v>418</v>
      </c>
    </row>
    <row r="421" spans="10:27">
      <c r="J421">
        <v>115</v>
      </c>
      <c r="K421">
        <f t="shared" si="30"/>
        <v>17725364.479387373</v>
      </c>
      <c r="L421" s="30">
        <f t="shared" ref="L421:L484" si="32">K421/100000</f>
        <v>177.25364479387372</v>
      </c>
      <c r="Y421">
        <v>251</v>
      </c>
      <c r="Z421" s="30">
        <f t="shared" si="31"/>
        <v>295.29943443978794</v>
      </c>
      <c r="AA421">
        <v>419</v>
      </c>
    </row>
    <row r="422" spans="10:27">
      <c r="J422">
        <v>114</v>
      </c>
      <c r="K422">
        <f t="shared" ref="K422:K485" si="33">$A$1*J422*221.5^2</f>
        <v>17571230.875218783</v>
      </c>
      <c r="L422" s="30">
        <f t="shared" si="32"/>
        <v>175.71230875218782</v>
      </c>
      <c r="Y422">
        <v>250</v>
      </c>
      <c r="Z422" s="30">
        <f t="shared" si="31"/>
        <v>293.75809839810216</v>
      </c>
      <c r="AA422">
        <v>420</v>
      </c>
    </row>
    <row r="423" spans="10:27">
      <c r="J423">
        <v>113</v>
      </c>
      <c r="K423">
        <f t="shared" si="33"/>
        <v>17417097.271050196</v>
      </c>
      <c r="L423" s="30">
        <f t="shared" si="32"/>
        <v>174.17097271050196</v>
      </c>
      <c r="Y423">
        <v>249</v>
      </c>
      <c r="Z423" s="30">
        <f t="shared" si="31"/>
        <v>292.21676235641627</v>
      </c>
      <c r="AA423">
        <v>421</v>
      </c>
    </row>
    <row r="424" spans="10:27">
      <c r="J424">
        <v>112</v>
      </c>
      <c r="K424">
        <f t="shared" si="33"/>
        <v>17262963.666881613</v>
      </c>
      <c r="L424" s="30">
        <f t="shared" si="32"/>
        <v>172.62963666881615</v>
      </c>
      <c r="Y424">
        <v>248</v>
      </c>
      <c r="Z424" s="30">
        <f t="shared" si="31"/>
        <v>290.67542631473037</v>
      </c>
      <c r="AA424">
        <v>422</v>
      </c>
    </row>
    <row r="425" spans="10:27">
      <c r="J425">
        <v>111</v>
      </c>
      <c r="K425">
        <f t="shared" si="33"/>
        <v>17108830.062713027</v>
      </c>
      <c r="L425" s="30">
        <f t="shared" si="32"/>
        <v>171.08830062713028</v>
      </c>
      <c r="Y425">
        <v>247</v>
      </c>
      <c r="Z425" s="30">
        <f t="shared" si="31"/>
        <v>289.13409027304454</v>
      </c>
      <c r="AA425">
        <v>423</v>
      </c>
    </row>
    <row r="426" spans="10:27">
      <c r="J426">
        <v>110</v>
      </c>
      <c r="K426">
        <f t="shared" si="33"/>
        <v>16954696.458544441</v>
      </c>
      <c r="L426" s="30">
        <f t="shared" si="32"/>
        <v>169.54696458544441</v>
      </c>
      <c r="Y426">
        <v>246</v>
      </c>
      <c r="Z426" s="30">
        <f t="shared" si="31"/>
        <v>287.5927542313587</v>
      </c>
      <c r="AA426">
        <v>424</v>
      </c>
    </row>
    <row r="427" spans="10:27">
      <c r="J427">
        <v>109</v>
      </c>
      <c r="K427">
        <f t="shared" si="33"/>
        <v>16800562.854375854</v>
      </c>
      <c r="L427" s="30">
        <f t="shared" si="32"/>
        <v>168.00562854375855</v>
      </c>
      <c r="Y427">
        <v>245</v>
      </c>
      <c r="Z427" s="30">
        <f t="shared" si="31"/>
        <v>286.0514181896728</v>
      </c>
      <c r="AA427">
        <v>425</v>
      </c>
    </row>
    <row r="428" spans="10:27">
      <c r="J428">
        <v>108</v>
      </c>
      <c r="K428">
        <f t="shared" si="33"/>
        <v>16646429.25020727</v>
      </c>
      <c r="L428" s="30">
        <f t="shared" si="32"/>
        <v>166.46429250207271</v>
      </c>
      <c r="Y428">
        <v>244</v>
      </c>
      <c r="Z428" s="30">
        <f t="shared" si="31"/>
        <v>284.51008214798696</v>
      </c>
      <c r="AA428">
        <v>426</v>
      </c>
    </row>
    <row r="429" spans="10:27">
      <c r="J429">
        <v>107</v>
      </c>
      <c r="K429">
        <f t="shared" si="33"/>
        <v>16492295.646038683</v>
      </c>
      <c r="L429" s="30">
        <f t="shared" si="32"/>
        <v>164.92295646038684</v>
      </c>
      <c r="Y429">
        <v>243</v>
      </c>
      <c r="Z429" s="30">
        <f t="shared" si="31"/>
        <v>282.96874610630107</v>
      </c>
      <c r="AA429">
        <v>427</v>
      </c>
    </row>
    <row r="430" spans="10:27">
      <c r="J430">
        <v>106</v>
      </c>
      <c r="K430">
        <f t="shared" si="33"/>
        <v>16338162.041870099</v>
      </c>
      <c r="L430" s="30">
        <f t="shared" si="32"/>
        <v>163.38162041870098</v>
      </c>
      <c r="Y430">
        <v>242</v>
      </c>
      <c r="Z430" s="30">
        <f t="shared" si="31"/>
        <v>281.42741006461529</v>
      </c>
      <c r="AA430">
        <v>428</v>
      </c>
    </row>
    <row r="431" spans="10:27">
      <c r="J431">
        <v>105</v>
      </c>
      <c r="K431">
        <f t="shared" si="33"/>
        <v>16184028.437701512</v>
      </c>
      <c r="L431" s="30">
        <f t="shared" si="32"/>
        <v>161.84028437701511</v>
      </c>
      <c r="Y431">
        <v>241</v>
      </c>
      <c r="Z431" s="30">
        <f t="shared" si="31"/>
        <v>279.88607402292939</v>
      </c>
      <c r="AA431">
        <v>429</v>
      </c>
    </row>
    <row r="432" spans="10:27">
      <c r="J432">
        <v>104</v>
      </c>
      <c r="K432">
        <f t="shared" si="33"/>
        <v>16029894.833532928</v>
      </c>
      <c r="L432" s="30">
        <f t="shared" si="32"/>
        <v>160.29894833532927</v>
      </c>
      <c r="Y432">
        <v>240</v>
      </c>
      <c r="Z432" s="30">
        <f t="shared" si="31"/>
        <v>278.34473798124355</v>
      </c>
      <c r="AA432">
        <v>430</v>
      </c>
    </row>
    <row r="433" spans="10:27">
      <c r="J433">
        <v>103</v>
      </c>
      <c r="K433">
        <f t="shared" si="33"/>
        <v>15875761.229364339</v>
      </c>
      <c r="L433" s="30">
        <f t="shared" si="32"/>
        <v>158.7576122936434</v>
      </c>
      <c r="Y433">
        <v>239</v>
      </c>
      <c r="Z433" s="30">
        <f t="shared" si="31"/>
        <v>276.80340193955766</v>
      </c>
      <c r="AA433">
        <v>431</v>
      </c>
    </row>
    <row r="434" spans="10:27">
      <c r="J434">
        <v>102</v>
      </c>
      <c r="K434">
        <f t="shared" si="33"/>
        <v>15721627.625195755</v>
      </c>
      <c r="L434" s="30">
        <f t="shared" si="32"/>
        <v>157.21627625195754</v>
      </c>
      <c r="Y434">
        <v>238</v>
      </c>
      <c r="Z434" s="30">
        <f t="shared" si="31"/>
        <v>275.26206589787182</v>
      </c>
      <c r="AA434">
        <v>432</v>
      </c>
    </row>
    <row r="435" spans="10:27">
      <c r="J435">
        <v>101</v>
      </c>
      <c r="K435">
        <f t="shared" si="33"/>
        <v>15567494.021027168</v>
      </c>
      <c r="L435" s="30">
        <f t="shared" si="32"/>
        <v>155.67494021027167</v>
      </c>
      <c r="Y435">
        <v>237</v>
      </c>
      <c r="Z435" s="30">
        <f t="shared" si="31"/>
        <v>273.72072985618593</v>
      </c>
      <c r="AA435">
        <v>433</v>
      </c>
    </row>
    <row r="436" spans="10:27">
      <c r="J436">
        <v>100</v>
      </c>
      <c r="K436">
        <f t="shared" si="33"/>
        <v>15413360.416858584</v>
      </c>
      <c r="L436" s="30">
        <f t="shared" si="32"/>
        <v>154.13360416858583</v>
      </c>
      <c r="Y436">
        <v>236</v>
      </c>
      <c r="Z436" s="30">
        <f t="shared" si="31"/>
        <v>272.17939381450009</v>
      </c>
      <c r="AA436">
        <v>434</v>
      </c>
    </row>
    <row r="437" spans="10:27">
      <c r="J437">
        <v>99</v>
      </c>
      <c r="K437">
        <f t="shared" si="33"/>
        <v>15259226.812689997</v>
      </c>
      <c r="L437" s="30">
        <f t="shared" si="32"/>
        <v>152.59226812689997</v>
      </c>
      <c r="Y437">
        <v>235</v>
      </c>
      <c r="Z437" s="30">
        <f t="shared" si="31"/>
        <v>270.63805777281425</v>
      </c>
      <c r="AA437">
        <v>435</v>
      </c>
    </row>
    <row r="438" spans="10:27">
      <c r="J438">
        <v>98</v>
      </c>
      <c r="K438">
        <f t="shared" si="33"/>
        <v>15105093.208521411</v>
      </c>
      <c r="L438" s="30">
        <f t="shared" si="32"/>
        <v>151.0509320852141</v>
      </c>
      <c r="Y438">
        <v>234</v>
      </c>
      <c r="Z438" s="30">
        <f t="shared" si="31"/>
        <v>269.09672173112841</v>
      </c>
      <c r="AA438">
        <v>436</v>
      </c>
    </row>
    <row r="439" spans="10:27">
      <c r="J439">
        <v>97</v>
      </c>
      <c r="K439">
        <f t="shared" si="33"/>
        <v>14950959.604352824</v>
      </c>
      <c r="L439" s="30">
        <f t="shared" si="32"/>
        <v>149.50959604352823</v>
      </c>
      <c r="Y439">
        <v>233</v>
      </c>
      <c r="Z439" s="30">
        <f t="shared" si="31"/>
        <v>267.55538568944252</v>
      </c>
      <c r="AA439">
        <v>437</v>
      </c>
    </row>
    <row r="440" spans="10:27">
      <c r="J440">
        <v>96</v>
      </c>
      <c r="K440">
        <f t="shared" si="33"/>
        <v>14796826.00018424</v>
      </c>
      <c r="L440" s="30">
        <f t="shared" si="32"/>
        <v>147.9682600018424</v>
      </c>
      <c r="Y440">
        <v>232</v>
      </c>
      <c r="Z440" s="30">
        <f t="shared" si="31"/>
        <v>266.01404964775668</v>
      </c>
      <c r="AA440">
        <v>438</v>
      </c>
    </row>
    <row r="441" spans="10:27">
      <c r="J441">
        <v>95</v>
      </c>
      <c r="K441">
        <f t="shared" si="33"/>
        <v>14642692.396015653</v>
      </c>
      <c r="L441" s="30">
        <f t="shared" si="32"/>
        <v>146.42692396015653</v>
      </c>
      <c r="Y441">
        <v>231</v>
      </c>
      <c r="Z441" s="30">
        <f t="shared" si="31"/>
        <v>264.47271360607078</v>
      </c>
      <c r="AA441">
        <v>439</v>
      </c>
    </row>
    <row r="442" spans="10:27">
      <c r="J442">
        <v>94</v>
      </c>
      <c r="K442">
        <f t="shared" si="33"/>
        <v>14488558.791847069</v>
      </c>
      <c r="L442" s="30">
        <f t="shared" si="32"/>
        <v>144.88558791847069</v>
      </c>
      <c r="Y442">
        <v>230</v>
      </c>
      <c r="Z442" s="30">
        <f t="shared" si="31"/>
        <v>262.93137756438495</v>
      </c>
      <c r="AA442">
        <v>440</v>
      </c>
    </row>
    <row r="443" spans="10:27">
      <c r="J443">
        <v>93</v>
      </c>
      <c r="K443">
        <f t="shared" si="33"/>
        <v>14334425.187678481</v>
      </c>
      <c r="L443" s="30">
        <f t="shared" si="32"/>
        <v>143.3442518767848</v>
      </c>
      <c r="Y443">
        <v>229</v>
      </c>
      <c r="Z443" s="30">
        <f t="shared" si="31"/>
        <v>261.39004152269911</v>
      </c>
      <c r="AA443">
        <v>441</v>
      </c>
    </row>
    <row r="444" spans="10:27">
      <c r="J444">
        <v>92</v>
      </c>
      <c r="K444">
        <f t="shared" si="33"/>
        <v>14180291.583509896</v>
      </c>
      <c r="L444" s="30">
        <f t="shared" si="32"/>
        <v>141.80291583509896</v>
      </c>
      <c r="Y444">
        <v>228</v>
      </c>
      <c r="Z444" s="30">
        <f t="shared" si="31"/>
        <v>259.84870548101321</v>
      </c>
      <c r="AA444">
        <v>442</v>
      </c>
    </row>
    <row r="445" spans="10:27">
      <c r="J445">
        <v>91</v>
      </c>
      <c r="K445">
        <f t="shared" si="33"/>
        <v>14026157.97934131</v>
      </c>
      <c r="L445" s="30">
        <f t="shared" si="32"/>
        <v>140.26157979341309</v>
      </c>
      <c r="Y445">
        <v>227</v>
      </c>
      <c r="Z445" s="30">
        <f t="shared" si="31"/>
        <v>258.30736943932737</v>
      </c>
      <c r="AA445">
        <v>443</v>
      </c>
    </row>
    <row r="446" spans="10:27">
      <c r="J446">
        <v>90</v>
      </c>
      <c r="K446">
        <f t="shared" si="33"/>
        <v>13872024.375172725</v>
      </c>
      <c r="L446" s="30">
        <f t="shared" si="32"/>
        <v>138.72024375172725</v>
      </c>
      <c r="Y446">
        <v>226</v>
      </c>
      <c r="Z446" s="30">
        <f t="shared" si="31"/>
        <v>256.76603339764154</v>
      </c>
      <c r="AA446">
        <v>444</v>
      </c>
    </row>
    <row r="447" spans="10:27">
      <c r="J447">
        <v>89</v>
      </c>
      <c r="K447">
        <f t="shared" si="33"/>
        <v>13717890.77100414</v>
      </c>
      <c r="L447" s="30">
        <f t="shared" si="32"/>
        <v>137.17890771004141</v>
      </c>
      <c r="Y447">
        <v>225</v>
      </c>
      <c r="Z447" s="30">
        <f t="shared" si="31"/>
        <v>255.22469735595564</v>
      </c>
      <c r="AA447">
        <v>445</v>
      </c>
    </row>
    <row r="448" spans="10:27">
      <c r="J448">
        <v>88</v>
      </c>
      <c r="K448">
        <f t="shared" si="33"/>
        <v>13563757.166835552</v>
      </c>
      <c r="L448" s="30">
        <f t="shared" si="32"/>
        <v>135.63757166835552</v>
      </c>
      <c r="Y448">
        <v>224</v>
      </c>
      <c r="Z448" s="30">
        <f t="shared" si="31"/>
        <v>253.6833613142698</v>
      </c>
      <c r="AA448">
        <v>446</v>
      </c>
    </row>
    <row r="449" spans="10:27">
      <c r="J449">
        <v>87</v>
      </c>
      <c r="K449">
        <f t="shared" si="33"/>
        <v>13409623.562666966</v>
      </c>
      <c r="L449" s="30">
        <f t="shared" si="32"/>
        <v>134.09623562666965</v>
      </c>
      <c r="Y449">
        <v>223</v>
      </c>
      <c r="Z449" s="30">
        <f t="shared" si="31"/>
        <v>252.14202527258394</v>
      </c>
      <c r="AA449">
        <v>447</v>
      </c>
    </row>
    <row r="450" spans="10:27">
      <c r="J450">
        <v>86</v>
      </c>
      <c r="K450">
        <f t="shared" si="33"/>
        <v>13255489.958498381</v>
      </c>
      <c r="L450" s="30">
        <f t="shared" si="32"/>
        <v>132.55489958498381</v>
      </c>
      <c r="Y450">
        <v>222</v>
      </c>
      <c r="Z450" s="30">
        <f t="shared" si="31"/>
        <v>250.60068923089807</v>
      </c>
      <c r="AA450">
        <v>448</v>
      </c>
    </row>
    <row r="451" spans="10:27">
      <c r="J451">
        <v>85</v>
      </c>
      <c r="K451">
        <f t="shared" si="33"/>
        <v>13101356.354329795</v>
      </c>
      <c r="L451" s="30">
        <f t="shared" si="32"/>
        <v>131.01356354329795</v>
      </c>
      <c r="Y451">
        <v>221</v>
      </c>
      <c r="Z451" s="30">
        <f t="shared" si="31"/>
        <v>249.0593531892122</v>
      </c>
      <c r="AA451">
        <v>449</v>
      </c>
    </row>
    <row r="452" spans="10:27">
      <c r="J452">
        <v>84</v>
      </c>
      <c r="K452">
        <f t="shared" si="33"/>
        <v>12947222.75016121</v>
      </c>
      <c r="L452" s="30">
        <f t="shared" si="32"/>
        <v>129.47222750161211</v>
      </c>
      <c r="Y452">
        <v>220</v>
      </c>
      <c r="Z452" s="30">
        <f t="shared" si="31"/>
        <v>247.51801714752634</v>
      </c>
      <c r="AA452">
        <v>450</v>
      </c>
    </row>
    <row r="453" spans="10:27">
      <c r="J453">
        <v>83</v>
      </c>
      <c r="K453">
        <f t="shared" si="33"/>
        <v>12793089.145992626</v>
      </c>
      <c r="L453" s="30">
        <f t="shared" si="32"/>
        <v>127.93089145992626</v>
      </c>
      <c r="Y453">
        <v>219</v>
      </c>
      <c r="Z453" s="30">
        <f t="shared" si="31"/>
        <v>245.97668110584047</v>
      </c>
      <c r="AA453">
        <v>451</v>
      </c>
    </row>
    <row r="454" spans="10:27">
      <c r="J454">
        <v>82</v>
      </c>
      <c r="K454">
        <f t="shared" si="33"/>
        <v>12638955.541824037</v>
      </c>
      <c r="L454" s="30">
        <f t="shared" si="32"/>
        <v>126.38955541824038</v>
      </c>
      <c r="Y454">
        <v>218</v>
      </c>
      <c r="Z454" s="30">
        <f t="shared" si="31"/>
        <v>244.43534506415466</v>
      </c>
      <c r="AA454">
        <v>452</v>
      </c>
    </row>
    <row r="455" spans="10:27">
      <c r="J455">
        <v>81</v>
      </c>
      <c r="K455">
        <f t="shared" si="33"/>
        <v>12484821.937655451</v>
      </c>
      <c r="L455" s="30">
        <f t="shared" si="32"/>
        <v>124.84821937655451</v>
      </c>
      <c r="Y455">
        <v>217</v>
      </c>
      <c r="Z455" s="30">
        <f t="shared" si="31"/>
        <v>242.89400902246877</v>
      </c>
      <c r="AA455">
        <v>453</v>
      </c>
    </row>
    <row r="456" spans="10:27">
      <c r="J456">
        <v>80</v>
      </c>
      <c r="K456">
        <f t="shared" si="33"/>
        <v>12330688.333486866</v>
      </c>
      <c r="L456" s="30">
        <f t="shared" si="32"/>
        <v>123.30688333486866</v>
      </c>
      <c r="Y456">
        <v>216</v>
      </c>
      <c r="Z456" s="30">
        <f t="shared" si="31"/>
        <v>241.35267298078293</v>
      </c>
      <c r="AA456">
        <v>454</v>
      </c>
    </row>
    <row r="457" spans="10:27">
      <c r="J457">
        <v>79</v>
      </c>
      <c r="K457">
        <f t="shared" si="33"/>
        <v>12176554.729318282</v>
      </c>
      <c r="L457" s="30">
        <f t="shared" si="32"/>
        <v>121.76554729318282</v>
      </c>
      <c r="Y457">
        <v>215</v>
      </c>
      <c r="Z457" s="30">
        <f t="shared" si="31"/>
        <v>239.81133693909706</v>
      </c>
      <c r="AA457">
        <v>455</v>
      </c>
    </row>
    <row r="458" spans="10:27">
      <c r="J458">
        <v>78</v>
      </c>
      <c r="K458">
        <f t="shared" si="33"/>
        <v>12022421.125149693</v>
      </c>
      <c r="L458" s="30">
        <f t="shared" si="32"/>
        <v>120.22421125149694</v>
      </c>
      <c r="Y458">
        <v>214</v>
      </c>
      <c r="Z458" s="30">
        <f t="shared" si="31"/>
        <v>238.27000089741119</v>
      </c>
      <c r="AA458">
        <v>456</v>
      </c>
    </row>
    <row r="459" spans="10:27">
      <c r="J459">
        <v>77</v>
      </c>
      <c r="K459">
        <f t="shared" si="33"/>
        <v>11868287.520981109</v>
      </c>
      <c r="L459" s="30">
        <f t="shared" si="32"/>
        <v>118.68287520981109</v>
      </c>
      <c r="Y459">
        <v>213</v>
      </c>
      <c r="Z459" s="30">
        <f t="shared" si="31"/>
        <v>236.72866485572538</v>
      </c>
      <c r="AA459">
        <v>457</v>
      </c>
    </row>
    <row r="460" spans="10:27">
      <c r="J460">
        <v>76</v>
      </c>
      <c r="K460">
        <f t="shared" si="33"/>
        <v>11714153.916812522</v>
      </c>
      <c r="L460" s="30">
        <f t="shared" si="32"/>
        <v>117.14153916812522</v>
      </c>
      <c r="Y460">
        <v>212</v>
      </c>
      <c r="Z460" s="30">
        <f t="shared" si="31"/>
        <v>235.18732881403946</v>
      </c>
      <c r="AA460">
        <v>458</v>
      </c>
    </row>
    <row r="461" spans="10:27">
      <c r="J461">
        <v>75</v>
      </c>
      <c r="K461">
        <f t="shared" si="33"/>
        <v>11560020.312643938</v>
      </c>
      <c r="L461" s="30">
        <f t="shared" si="32"/>
        <v>115.60020312643938</v>
      </c>
      <c r="Y461">
        <v>211</v>
      </c>
      <c r="Z461" s="30">
        <f t="shared" si="31"/>
        <v>233.64599277235359</v>
      </c>
      <c r="AA461">
        <v>459</v>
      </c>
    </row>
    <row r="462" spans="10:27">
      <c r="J462">
        <v>74</v>
      </c>
      <c r="K462">
        <f t="shared" si="33"/>
        <v>11405886.708475351</v>
      </c>
      <c r="L462" s="30">
        <f t="shared" si="32"/>
        <v>114.05886708475352</v>
      </c>
      <c r="Y462">
        <v>210</v>
      </c>
      <c r="Z462" s="30">
        <f t="shared" si="31"/>
        <v>232.10465673066778</v>
      </c>
      <c r="AA462">
        <v>460</v>
      </c>
    </row>
    <row r="463" spans="10:27">
      <c r="J463">
        <v>73</v>
      </c>
      <c r="K463">
        <f t="shared" si="33"/>
        <v>11251753.104306765</v>
      </c>
      <c r="L463" s="30">
        <f t="shared" si="32"/>
        <v>112.51753104306765</v>
      </c>
      <c r="Y463">
        <v>209</v>
      </c>
      <c r="Z463" s="30">
        <f t="shared" si="31"/>
        <v>230.56332068898192</v>
      </c>
      <c r="AA463">
        <v>461</v>
      </c>
    </row>
    <row r="464" spans="10:27">
      <c r="J464">
        <v>72</v>
      </c>
      <c r="K464">
        <f t="shared" si="33"/>
        <v>11097619.50013818</v>
      </c>
      <c r="L464" s="30">
        <f t="shared" si="32"/>
        <v>110.9761950013818</v>
      </c>
      <c r="Y464">
        <v>208</v>
      </c>
      <c r="Z464" s="30">
        <f t="shared" si="31"/>
        <v>229.02198464729605</v>
      </c>
      <c r="AA464">
        <v>462</v>
      </c>
    </row>
    <row r="465" spans="10:27">
      <c r="J465">
        <v>71</v>
      </c>
      <c r="K465">
        <f t="shared" si="33"/>
        <v>10943485.895969594</v>
      </c>
      <c r="L465" s="30">
        <f t="shared" si="32"/>
        <v>109.43485895969594</v>
      </c>
      <c r="Y465">
        <v>207</v>
      </c>
      <c r="Z465" s="30">
        <f t="shared" ref="Z465:Z528" si="34">L421+$H$36</f>
        <v>227.48064860561021</v>
      </c>
      <c r="AA465">
        <v>463</v>
      </c>
    </row>
    <row r="466" spans="10:27">
      <c r="J466">
        <v>70</v>
      </c>
      <c r="K466">
        <f t="shared" si="33"/>
        <v>10789352.291801007</v>
      </c>
      <c r="L466" s="30">
        <f t="shared" si="32"/>
        <v>107.89352291801008</v>
      </c>
      <c r="Y466">
        <v>206</v>
      </c>
      <c r="Z466" s="30">
        <f t="shared" si="34"/>
        <v>225.93931256392432</v>
      </c>
      <c r="AA466">
        <v>464</v>
      </c>
    </row>
    <row r="467" spans="10:27">
      <c r="J467">
        <v>69</v>
      </c>
      <c r="K467">
        <f t="shared" si="33"/>
        <v>10635218.687632423</v>
      </c>
      <c r="L467" s="30">
        <f t="shared" si="32"/>
        <v>106.35218687632423</v>
      </c>
      <c r="Y467">
        <v>205</v>
      </c>
      <c r="Z467" s="30">
        <f t="shared" si="34"/>
        <v>224.39797652223845</v>
      </c>
      <c r="AA467">
        <v>465</v>
      </c>
    </row>
    <row r="468" spans="10:27">
      <c r="J468">
        <v>68</v>
      </c>
      <c r="K468">
        <f t="shared" si="33"/>
        <v>10481085.083463836</v>
      </c>
      <c r="L468" s="30">
        <f t="shared" si="32"/>
        <v>104.81085083463836</v>
      </c>
      <c r="Y468">
        <v>204</v>
      </c>
      <c r="Z468" s="30">
        <f t="shared" si="34"/>
        <v>222.85664048055264</v>
      </c>
      <c r="AA468">
        <v>466</v>
      </c>
    </row>
    <row r="469" spans="10:27">
      <c r="J469">
        <v>67</v>
      </c>
      <c r="K469">
        <f t="shared" si="33"/>
        <v>10326951.47929525</v>
      </c>
      <c r="L469" s="30">
        <f t="shared" si="32"/>
        <v>103.26951479295251</v>
      </c>
      <c r="Y469">
        <v>203</v>
      </c>
      <c r="Z469" s="30">
        <f t="shared" si="34"/>
        <v>221.31530443886678</v>
      </c>
      <c r="AA469">
        <v>467</v>
      </c>
    </row>
    <row r="470" spans="10:27">
      <c r="J470">
        <v>66</v>
      </c>
      <c r="K470">
        <f t="shared" si="33"/>
        <v>10172817.875126665</v>
      </c>
      <c r="L470" s="30">
        <f t="shared" si="32"/>
        <v>101.72817875126665</v>
      </c>
      <c r="Y470">
        <v>202</v>
      </c>
      <c r="Z470" s="30">
        <f t="shared" si="34"/>
        <v>219.77396839718091</v>
      </c>
      <c r="AA470">
        <v>468</v>
      </c>
    </row>
    <row r="471" spans="10:27">
      <c r="J471">
        <v>65</v>
      </c>
      <c r="K471">
        <f t="shared" si="33"/>
        <v>10018684.270958079</v>
      </c>
      <c r="L471" s="30">
        <f t="shared" si="32"/>
        <v>100.18684270958079</v>
      </c>
      <c r="Y471">
        <v>201</v>
      </c>
      <c r="Z471" s="30">
        <f t="shared" si="34"/>
        <v>218.23263235549504</v>
      </c>
      <c r="AA471">
        <v>469</v>
      </c>
    </row>
    <row r="472" spans="10:27">
      <c r="J472">
        <v>64</v>
      </c>
      <c r="K472">
        <f t="shared" si="33"/>
        <v>9864550.6667894926</v>
      </c>
      <c r="L472" s="30">
        <f t="shared" si="32"/>
        <v>98.645506667894921</v>
      </c>
      <c r="Y472">
        <v>200</v>
      </c>
      <c r="Z472" s="30">
        <f t="shared" si="34"/>
        <v>216.6912963138092</v>
      </c>
      <c r="AA472">
        <v>470</v>
      </c>
    </row>
    <row r="473" spans="10:27">
      <c r="J473">
        <v>63</v>
      </c>
      <c r="K473">
        <f t="shared" si="33"/>
        <v>9710417.062620908</v>
      </c>
      <c r="L473" s="30">
        <f t="shared" si="32"/>
        <v>97.104170626209083</v>
      </c>
      <c r="Y473">
        <v>199</v>
      </c>
      <c r="Z473" s="30">
        <f t="shared" si="34"/>
        <v>215.14996027212334</v>
      </c>
      <c r="AA473">
        <v>471</v>
      </c>
    </row>
    <row r="474" spans="10:27">
      <c r="J474">
        <v>62</v>
      </c>
      <c r="K474">
        <f t="shared" si="33"/>
        <v>9556283.4584523216</v>
      </c>
      <c r="L474" s="30">
        <f t="shared" si="32"/>
        <v>95.562834584523216</v>
      </c>
      <c r="Y474">
        <v>198</v>
      </c>
      <c r="Z474" s="30">
        <f t="shared" si="34"/>
        <v>213.60862423043747</v>
      </c>
      <c r="AA474">
        <v>472</v>
      </c>
    </row>
    <row r="475" spans="10:27">
      <c r="J475">
        <v>61</v>
      </c>
      <c r="K475">
        <f t="shared" si="33"/>
        <v>9402149.8542837352</v>
      </c>
      <c r="L475" s="30">
        <f t="shared" si="32"/>
        <v>94.02149854283735</v>
      </c>
      <c r="Y475">
        <v>197</v>
      </c>
      <c r="Z475" s="30">
        <f t="shared" si="34"/>
        <v>212.0672881887516</v>
      </c>
      <c r="AA475">
        <v>473</v>
      </c>
    </row>
    <row r="476" spans="10:27">
      <c r="J476">
        <v>60</v>
      </c>
      <c r="K476">
        <f t="shared" si="33"/>
        <v>9248016.2501151487</v>
      </c>
      <c r="L476" s="30">
        <f t="shared" si="32"/>
        <v>92.480162501151483</v>
      </c>
      <c r="Y476">
        <v>196</v>
      </c>
      <c r="Z476" s="30">
        <f t="shared" si="34"/>
        <v>210.52595214706577</v>
      </c>
      <c r="AA476">
        <v>474</v>
      </c>
    </row>
    <row r="477" spans="10:27">
      <c r="J477">
        <v>59</v>
      </c>
      <c r="K477">
        <f t="shared" si="33"/>
        <v>9093882.6459465642</v>
      </c>
      <c r="L477" s="30">
        <f t="shared" si="32"/>
        <v>90.938826459465645</v>
      </c>
      <c r="Y477">
        <v>195</v>
      </c>
      <c r="Z477" s="30">
        <f t="shared" si="34"/>
        <v>208.9846161053799</v>
      </c>
      <c r="AA477">
        <v>475</v>
      </c>
    </row>
    <row r="478" spans="10:27">
      <c r="J478">
        <v>58</v>
      </c>
      <c r="K478">
        <f t="shared" si="33"/>
        <v>8939749.0417779777</v>
      </c>
      <c r="L478" s="30">
        <f t="shared" si="32"/>
        <v>89.397490417779778</v>
      </c>
      <c r="Y478">
        <v>194</v>
      </c>
      <c r="Z478" s="30">
        <f t="shared" si="34"/>
        <v>207.44328006369403</v>
      </c>
      <c r="AA478">
        <v>476</v>
      </c>
    </row>
    <row r="479" spans="10:27">
      <c r="J479">
        <v>57</v>
      </c>
      <c r="K479">
        <f t="shared" si="33"/>
        <v>8785615.4376093913</v>
      </c>
      <c r="L479" s="30">
        <f t="shared" si="32"/>
        <v>87.856154376093912</v>
      </c>
      <c r="Y479">
        <v>193</v>
      </c>
      <c r="Z479" s="30">
        <f t="shared" si="34"/>
        <v>205.90194402200817</v>
      </c>
      <c r="AA479">
        <v>477</v>
      </c>
    </row>
    <row r="480" spans="10:27">
      <c r="J480">
        <v>56</v>
      </c>
      <c r="K480">
        <f t="shared" si="33"/>
        <v>8631481.8334408067</v>
      </c>
      <c r="L480" s="30">
        <f t="shared" si="32"/>
        <v>86.314818334408073</v>
      </c>
      <c r="Y480">
        <v>192</v>
      </c>
      <c r="Z480" s="30">
        <f t="shared" si="34"/>
        <v>204.36060798032233</v>
      </c>
      <c r="AA480">
        <v>478</v>
      </c>
    </row>
    <row r="481" spans="10:27">
      <c r="J481">
        <v>55</v>
      </c>
      <c r="K481">
        <f t="shared" si="33"/>
        <v>8477348.2292722203</v>
      </c>
      <c r="L481" s="30">
        <f t="shared" si="32"/>
        <v>84.773482292722207</v>
      </c>
      <c r="Y481">
        <v>191</v>
      </c>
      <c r="Z481" s="30">
        <f t="shared" si="34"/>
        <v>202.81927193863646</v>
      </c>
      <c r="AA481">
        <v>479</v>
      </c>
    </row>
    <row r="482" spans="10:27">
      <c r="J482">
        <v>54</v>
      </c>
      <c r="K482">
        <f t="shared" si="33"/>
        <v>8323214.6251036348</v>
      </c>
      <c r="L482" s="30">
        <f t="shared" si="32"/>
        <v>83.232146251036355</v>
      </c>
      <c r="Y482">
        <v>190</v>
      </c>
      <c r="Z482" s="30">
        <f t="shared" si="34"/>
        <v>201.27793589695059</v>
      </c>
      <c r="AA482">
        <v>480</v>
      </c>
    </row>
    <row r="483" spans="10:27">
      <c r="J483">
        <v>53</v>
      </c>
      <c r="K483">
        <f t="shared" si="33"/>
        <v>8169081.0209350493</v>
      </c>
      <c r="L483" s="30">
        <f t="shared" si="32"/>
        <v>81.690810209350488</v>
      </c>
      <c r="Y483">
        <v>189</v>
      </c>
      <c r="Z483" s="30">
        <f t="shared" si="34"/>
        <v>199.73659985526473</v>
      </c>
      <c r="AA483">
        <v>481</v>
      </c>
    </row>
    <row r="484" spans="10:27">
      <c r="J484">
        <v>52</v>
      </c>
      <c r="K484">
        <f t="shared" si="33"/>
        <v>8014947.4167664638</v>
      </c>
      <c r="L484" s="30">
        <f t="shared" si="32"/>
        <v>80.149474167664636</v>
      </c>
      <c r="Y484">
        <v>188</v>
      </c>
      <c r="Z484" s="30">
        <f t="shared" si="34"/>
        <v>198.19526381357889</v>
      </c>
      <c r="AA484">
        <v>482</v>
      </c>
    </row>
    <row r="485" spans="10:27">
      <c r="J485">
        <v>51</v>
      </c>
      <c r="K485">
        <f t="shared" si="33"/>
        <v>7860813.8125978773</v>
      </c>
      <c r="L485" s="30">
        <f t="shared" ref="L485:L536" si="35">K485/100000</f>
        <v>78.608138125978769</v>
      </c>
      <c r="Y485">
        <v>187</v>
      </c>
      <c r="Z485" s="30">
        <f t="shared" si="34"/>
        <v>196.65392777189302</v>
      </c>
      <c r="AA485">
        <v>483</v>
      </c>
    </row>
    <row r="486" spans="10:27">
      <c r="J486">
        <v>50</v>
      </c>
      <c r="K486">
        <f t="shared" ref="K486:K536" si="36">$A$1*J486*221.5^2</f>
        <v>7706680.2084292918</v>
      </c>
      <c r="L486" s="30">
        <f t="shared" si="35"/>
        <v>77.066802084292917</v>
      </c>
      <c r="Y486">
        <v>186</v>
      </c>
      <c r="Z486" s="30">
        <f t="shared" si="34"/>
        <v>195.11259173020719</v>
      </c>
      <c r="AA486">
        <v>484</v>
      </c>
    </row>
    <row r="487" spans="10:27">
      <c r="J487">
        <v>49</v>
      </c>
      <c r="K487">
        <f t="shared" si="36"/>
        <v>7552546.6042607054</v>
      </c>
      <c r="L487" s="30">
        <f t="shared" si="35"/>
        <v>75.52546604260705</v>
      </c>
      <c r="Y487">
        <v>185</v>
      </c>
      <c r="Z487" s="30">
        <f t="shared" si="34"/>
        <v>193.57125568852129</v>
      </c>
      <c r="AA487">
        <v>485</v>
      </c>
    </row>
    <row r="488" spans="10:27">
      <c r="J488">
        <v>48</v>
      </c>
      <c r="K488">
        <f t="shared" si="36"/>
        <v>7398413.0000921199</v>
      </c>
      <c r="L488" s="30">
        <f t="shared" si="35"/>
        <v>73.984130000921198</v>
      </c>
      <c r="Y488">
        <v>184</v>
      </c>
      <c r="Z488" s="30">
        <f t="shared" si="34"/>
        <v>192.02991964683545</v>
      </c>
      <c r="AA488">
        <v>486</v>
      </c>
    </row>
    <row r="489" spans="10:27">
      <c r="J489">
        <v>47</v>
      </c>
      <c r="K489">
        <f t="shared" si="36"/>
        <v>7244279.3959235344</v>
      </c>
      <c r="L489" s="30">
        <f t="shared" si="35"/>
        <v>72.442793959235345</v>
      </c>
      <c r="Y489">
        <v>183</v>
      </c>
      <c r="Z489" s="30">
        <f t="shared" si="34"/>
        <v>190.48858360514959</v>
      </c>
      <c r="AA489">
        <v>487</v>
      </c>
    </row>
    <row r="490" spans="10:27">
      <c r="J490">
        <v>46</v>
      </c>
      <c r="K490">
        <f t="shared" si="36"/>
        <v>7090145.791754948</v>
      </c>
      <c r="L490" s="30">
        <f t="shared" si="35"/>
        <v>70.901457917549479</v>
      </c>
      <c r="Y490">
        <v>182</v>
      </c>
      <c r="Z490" s="30">
        <f t="shared" si="34"/>
        <v>188.94724756346375</v>
      </c>
      <c r="AA490">
        <v>488</v>
      </c>
    </row>
    <row r="491" spans="10:27">
      <c r="J491">
        <v>45</v>
      </c>
      <c r="K491">
        <f t="shared" si="36"/>
        <v>6936012.1875863625</v>
      </c>
      <c r="L491" s="30">
        <f t="shared" si="35"/>
        <v>69.360121875863626</v>
      </c>
      <c r="Y491">
        <v>181</v>
      </c>
      <c r="Z491" s="30">
        <f t="shared" si="34"/>
        <v>187.40591152177791</v>
      </c>
      <c r="AA491">
        <v>489</v>
      </c>
    </row>
    <row r="492" spans="10:27">
      <c r="J492">
        <v>44</v>
      </c>
      <c r="K492">
        <f t="shared" si="36"/>
        <v>6781878.583417776</v>
      </c>
      <c r="L492" s="30">
        <f t="shared" si="35"/>
        <v>67.81878583417776</v>
      </c>
      <c r="Y492">
        <v>180</v>
      </c>
      <c r="Z492" s="30">
        <f t="shared" si="34"/>
        <v>185.86457548009201</v>
      </c>
      <c r="AA492">
        <v>490</v>
      </c>
    </row>
    <row r="493" spans="10:27">
      <c r="J493">
        <v>43</v>
      </c>
      <c r="K493">
        <f t="shared" si="36"/>
        <v>6627744.9792491905</v>
      </c>
      <c r="L493" s="30">
        <f t="shared" si="35"/>
        <v>66.277449792491907</v>
      </c>
      <c r="Y493">
        <v>179</v>
      </c>
      <c r="Z493" s="30">
        <f t="shared" si="34"/>
        <v>184.32323943840615</v>
      </c>
      <c r="AA493">
        <v>491</v>
      </c>
    </row>
    <row r="494" spans="10:27">
      <c r="J494">
        <v>42</v>
      </c>
      <c r="K494">
        <f t="shared" si="36"/>
        <v>6473611.375080605</v>
      </c>
      <c r="L494" s="30">
        <f t="shared" si="35"/>
        <v>64.736113750806055</v>
      </c>
      <c r="Y494">
        <v>178</v>
      </c>
      <c r="Z494" s="30">
        <f t="shared" si="34"/>
        <v>182.78190339672031</v>
      </c>
      <c r="AA494">
        <v>492</v>
      </c>
    </row>
    <row r="495" spans="10:27">
      <c r="J495">
        <v>41</v>
      </c>
      <c r="K495">
        <f t="shared" si="36"/>
        <v>6319477.7709120186</v>
      </c>
      <c r="L495" s="30">
        <f t="shared" si="35"/>
        <v>63.194777709120189</v>
      </c>
      <c r="Y495">
        <v>177</v>
      </c>
      <c r="Z495" s="30">
        <f t="shared" si="34"/>
        <v>181.24056735503444</v>
      </c>
      <c r="AA495">
        <v>493</v>
      </c>
    </row>
    <row r="496" spans="10:27">
      <c r="J496">
        <v>40</v>
      </c>
      <c r="K496">
        <f t="shared" si="36"/>
        <v>6165344.1667434331</v>
      </c>
      <c r="L496" s="30">
        <f t="shared" si="35"/>
        <v>61.653441667434329</v>
      </c>
      <c r="Y496">
        <v>176</v>
      </c>
      <c r="Z496" s="30">
        <f t="shared" si="34"/>
        <v>179.6992313133486</v>
      </c>
      <c r="AA496">
        <v>494</v>
      </c>
    </row>
    <row r="497" spans="10:27">
      <c r="J497">
        <v>39</v>
      </c>
      <c r="K497">
        <f t="shared" si="36"/>
        <v>6011210.5625748467</v>
      </c>
      <c r="L497" s="30">
        <f t="shared" si="35"/>
        <v>60.11210562574847</v>
      </c>
      <c r="Y497">
        <v>175</v>
      </c>
      <c r="Z497" s="30">
        <f t="shared" si="34"/>
        <v>178.15789527166277</v>
      </c>
      <c r="AA497">
        <v>495</v>
      </c>
    </row>
    <row r="498" spans="10:27">
      <c r="J498">
        <v>38</v>
      </c>
      <c r="K498">
        <f t="shared" si="36"/>
        <v>5857076.9584062612</v>
      </c>
      <c r="L498" s="30">
        <f t="shared" si="35"/>
        <v>58.57076958406261</v>
      </c>
      <c r="Y498">
        <v>174</v>
      </c>
      <c r="Z498" s="30">
        <f t="shared" si="34"/>
        <v>176.61655922997687</v>
      </c>
      <c r="AA498">
        <v>496</v>
      </c>
    </row>
    <row r="499" spans="10:27">
      <c r="J499">
        <v>37</v>
      </c>
      <c r="K499">
        <f t="shared" si="36"/>
        <v>5702943.3542376757</v>
      </c>
      <c r="L499" s="30">
        <f t="shared" si="35"/>
        <v>57.029433542376758</v>
      </c>
      <c r="Y499">
        <v>173</v>
      </c>
      <c r="Z499" s="30">
        <f t="shared" si="34"/>
        <v>175.07522318829101</v>
      </c>
      <c r="AA499">
        <v>497</v>
      </c>
    </row>
    <row r="500" spans="10:27">
      <c r="J500">
        <v>36</v>
      </c>
      <c r="K500">
        <f t="shared" si="36"/>
        <v>5548809.7500690902</v>
      </c>
      <c r="L500" s="30">
        <f t="shared" si="35"/>
        <v>55.488097500690898</v>
      </c>
      <c r="Y500">
        <v>172</v>
      </c>
      <c r="Z500" s="30">
        <f t="shared" si="34"/>
        <v>173.53388714660517</v>
      </c>
      <c r="AA500">
        <v>498</v>
      </c>
    </row>
    <row r="501" spans="10:27">
      <c r="J501">
        <v>35</v>
      </c>
      <c r="K501">
        <f t="shared" si="36"/>
        <v>5394676.1459005037</v>
      </c>
      <c r="L501" s="30">
        <f t="shared" si="35"/>
        <v>53.946761459005039</v>
      </c>
      <c r="Y501">
        <v>171</v>
      </c>
      <c r="Z501" s="30">
        <f t="shared" si="34"/>
        <v>171.99255110491933</v>
      </c>
      <c r="AA501">
        <v>499</v>
      </c>
    </row>
    <row r="502" spans="10:27">
      <c r="J502">
        <v>34</v>
      </c>
      <c r="K502">
        <f t="shared" si="36"/>
        <v>5240542.5417319182</v>
      </c>
      <c r="L502" s="30">
        <f t="shared" si="35"/>
        <v>52.405425417319179</v>
      </c>
      <c r="Y502">
        <v>170</v>
      </c>
      <c r="Z502" s="30">
        <f t="shared" si="34"/>
        <v>170.45121506323343</v>
      </c>
      <c r="AA502">
        <v>500</v>
      </c>
    </row>
    <row r="503" spans="10:27">
      <c r="J503">
        <v>33</v>
      </c>
      <c r="K503">
        <f t="shared" si="36"/>
        <v>5086408.9375633327</v>
      </c>
      <c r="L503" s="30">
        <f t="shared" si="35"/>
        <v>50.864089375633327</v>
      </c>
      <c r="Y503">
        <v>169</v>
      </c>
      <c r="Z503" s="30">
        <f t="shared" si="34"/>
        <v>168.9098790215476</v>
      </c>
      <c r="AA503">
        <v>501</v>
      </c>
    </row>
    <row r="504" spans="10:27">
      <c r="J504">
        <v>32</v>
      </c>
      <c r="K504">
        <f t="shared" si="36"/>
        <v>4932275.3333947463</v>
      </c>
      <c r="L504" s="30">
        <f t="shared" si="35"/>
        <v>49.32275333394746</v>
      </c>
      <c r="Y504">
        <v>168</v>
      </c>
      <c r="Z504" s="30">
        <f t="shared" si="34"/>
        <v>167.36854297986173</v>
      </c>
      <c r="AA504">
        <v>502</v>
      </c>
    </row>
    <row r="505" spans="10:27">
      <c r="J505">
        <v>31</v>
      </c>
      <c r="K505">
        <f t="shared" si="36"/>
        <v>4778141.7292261608</v>
      </c>
      <c r="L505" s="30">
        <f t="shared" si="35"/>
        <v>47.781417292261608</v>
      </c>
      <c r="Y505">
        <v>167</v>
      </c>
      <c r="Z505" s="30">
        <f t="shared" si="34"/>
        <v>165.82720693817589</v>
      </c>
      <c r="AA505">
        <v>503</v>
      </c>
    </row>
    <row r="506" spans="10:27">
      <c r="J506">
        <v>30</v>
      </c>
      <c r="K506">
        <f t="shared" si="36"/>
        <v>4624008.1250575744</v>
      </c>
      <c r="L506" s="30">
        <f t="shared" si="35"/>
        <v>46.240081250575741</v>
      </c>
      <c r="Y506">
        <v>166</v>
      </c>
      <c r="Z506" s="30">
        <f t="shared" si="34"/>
        <v>164.28587089649002</v>
      </c>
      <c r="AA506">
        <v>504</v>
      </c>
    </row>
    <row r="507" spans="10:27">
      <c r="J507">
        <v>29</v>
      </c>
      <c r="K507">
        <f t="shared" si="36"/>
        <v>4469874.5208889889</v>
      </c>
      <c r="L507" s="30">
        <f t="shared" si="35"/>
        <v>44.698745208889889</v>
      </c>
      <c r="Y507">
        <v>165</v>
      </c>
      <c r="Z507" s="30">
        <f t="shared" si="34"/>
        <v>162.74453485480416</v>
      </c>
      <c r="AA507">
        <v>505</v>
      </c>
    </row>
    <row r="508" spans="10:27">
      <c r="J508">
        <v>28</v>
      </c>
      <c r="K508">
        <f t="shared" si="36"/>
        <v>4315740.9167204034</v>
      </c>
      <c r="L508" s="30">
        <f t="shared" si="35"/>
        <v>43.157409167204037</v>
      </c>
      <c r="Y508">
        <v>164</v>
      </c>
      <c r="Z508" s="30">
        <f t="shared" si="34"/>
        <v>161.20319881311829</v>
      </c>
      <c r="AA508">
        <v>506</v>
      </c>
    </row>
    <row r="509" spans="10:27">
      <c r="J509">
        <v>27</v>
      </c>
      <c r="K509">
        <f t="shared" si="36"/>
        <v>4161607.3125518174</v>
      </c>
      <c r="L509" s="30">
        <f t="shared" si="35"/>
        <v>41.616073125518177</v>
      </c>
      <c r="Y509">
        <v>163</v>
      </c>
      <c r="Z509" s="30">
        <f t="shared" si="34"/>
        <v>159.66186277143245</v>
      </c>
      <c r="AA509">
        <v>507</v>
      </c>
    </row>
    <row r="510" spans="10:27">
      <c r="J510">
        <v>26</v>
      </c>
      <c r="K510">
        <f t="shared" si="36"/>
        <v>4007473.7083832319</v>
      </c>
      <c r="L510" s="30">
        <f t="shared" si="35"/>
        <v>40.074737083832318</v>
      </c>
      <c r="Y510">
        <v>162</v>
      </c>
      <c r="Z510" s="30">
        <f t="shared" si="34"/>
        <v>158.12052672974659</v>
      </c>
      <c r="AA510">
        <v>508</v>
      </c>
    </row>
    <row r="511" spans="10:27">
      <c r="J511">
        <v>25</v>
      </c>
      <c r="K511">
        <f t="shared" si="36"/>
        <v>3853340.1042146459</v>
      </c>
      <c r="L511" s="30">
        <f t="shared" si="35"/>
        <v>38.533401042146458</v>
      </c>
      <c r="Y511">
        <v>161</v>
      </c>
      <c r="Z511" s="30">
        <f t="shared" si="34"/>
        <v>156.57919068806072</v>
      </c>
      <c r="AA511">
        <v>509</v>
      </c>
    </row>
    <row r="512" spans="10:27">
      <c r="J512">
        <v>24</v>
      </c>
      <c r="K512">
        <f t="shared" si="36"/>
        <v>3699206.50004606</v>
      </c>
      <c r="L512" s="30">
        <f t="shared" si="35"/>
        <v>36.992065000460599</v>
      </c>
      <c r="Y512">
        <v>160</v>
      </c>
      <c r="Z512" s="30">
        <f t="shared" si="34"/>
        <v>155.03785464637485</v>
      </c>
      <c r="AA512">
        <v>510</v>
      </c>
    </row>
    <row r="513" spans="10:27">
      <c r="J513">
        <v>23</v>
      </c>
      <c r="K513">
        <f t="shared" si="36"/>
        <v>3545072.895877474</v>
      </c>
      <c r="L513" s="30">
        <f t="shared" si="35"/>
        <v>35.450728958774739</v>
      </c>
      <c r="Y513">
        <v>159</v>
      </c>
      <c r="Z513" s="30">
        <f t="shared" si="34"/>
        <v>153.49651860468902</v>
      </c>
      <c r="AA513">
        <v>511</v>
      </c>
    </row>
    <row r="514" spans="10:27">
      <c r="J514">
        <v>22</v>
      </c>
      <c r="K514">
        <f t="shared" si="36"/>
        <v>3390939.291708888</v>
      </c>
      <c r="L514" s="30">
        <f t="shared" si="35"/>
        <v>33.90939291708888</v>
      </c>
      <c r="Y514">
        <v>158</v>
      </c>
      <c r="Z514" s="30">
        <f t="shared" si="34"/>
        <v>151.95518256300315</v>
      </c>
      <c r="AA514">
        <v>512</v>
      </c>
    </row>
    <row r="515" spans="10:27">
      <c r="J515">
        <v>21</v>
      </c>
      <c r="K515">
        <f t="shared" si="36"/>
        <v>3236805.6875403025</v>
      </c>
      <c r="L515" s="30">
        <f t="shared" si="35"/>
        <v>32.368056875403028</v>
      </c>
      <c r="Y515">
        <v>157</v>
      </c>
      <c r="Z515" s="30">
        <f t="shared" si="34"/>
        <v>150.41384652131728</v>
      </c>
      <c r="AA515">
        <v>513</v>
      </c>
    </row>
    <row r="516" spans="10:27">
      <c r="J516">
        <v>20</v>
      </c>
      <c r="K516">
        <f t="shared" si="36"/>
        <v>3082672.0833717166</v>
      </c>
      <c r="L516" s="30">
        <f t="shared" si="35"/>
        <v>30.826720833717165</v>
      </c>
      <c r="Y516">
        <v>156</v>
      </c>
      <c r="Z516" s="30">
        <f t="shared" si="34"/>
        <v>148.87251047963142</v>
      </c>
      <c r="AA516">
        <v>514</v>
      </c>
    </row>
    <row r="517" spans="10:27">
      <c r="J517">
        <v>19</v>
      </c>
      <c r="K517">
        <f t="shared" si="36"/>
        <v>2928538.4792031306</v>
      </c>
      <c r="L517" s="30">
        <f t="shared" si="35"/>
        <v>29.285384792031305</v>
      </c>
      <c r="Y517">
        <v>155</v>
      </c>
      <c r="Z517" s="30">
        <f t="shared" si="34"/>
        <v>147.33117443794558</v>
      </c>
      <c r="AA517">
        <v>515</v>
      </c>
    </row>
    <row r="518" spans="10:27">
      <c r="J518">
        <v>18</v>
      </c>
      <c r="K518">
        <f t="shared" si="36"/>
        <v>2774404.8750345451</v>
      </c>
      <c r="L518" s="30">
        <f t="shared" si="35"/>
        <v>27.744048750345449</v>
      </c>
      <c r="Y518">
        <v>154</v>
      </c>
      <c r="Z518" s="30">
        <f t="shared" si="34"/>
        <v>145.78983839625971</v>
      </c>
      <c r="AA518">
        <v>516</v>
      </c>
    </row>
    <row r="519" spans="10:27">
      <c r="J519">
        <v>17</v>
      </c>
      <c r="K519">
        <f t="shared" si="36"/>
        <v>2620271.2708659591</v>
      </c>
      <c r="L519" s="30">
        <f t="shared" si="35"/>
        <v>26.20271270865959</v>
      </c>
      <c r="Y519">
        <v>153</v>
      </c>
      <c r="Z519" s="30">
        <f t="shared" si="34"/>
        <v>144.24850235457384</v>
      </c>
      <c r="AA519">
        <v>517</v>
      </c>
    </row>
    <row r="520" spans="10:27">
      <c r="J520">
        <v>16</v>
      </c>
      <c r="K520">
        <f t="shared" si="36"/>
        <v>2466137.6666973731</v>
      </c>
      <c r="L520" s="30">
        <f t="shared" si="35"/>
        <v>24.66137666697373</v>
      </c>
      <c r="Y520">
        <v>152</v>
      </c>
      <c r="Z520" s="30">
        <f t="shared" si="34"/>
        <v>142.70716631288798</v>
      </c>
      <c r="AA520">
        <v>518</v>
      </c>
    </row>
    <row r="521" spans="10:27">
      <c r="J521">
        <v>15</v>
      </c>
      <c r="K521">
        <f t="shared" si="36"/>
        <v>2312004.0625287872</v>
      </c>
      <c r="L521" s="30">
        <f t="shared" si="35"/>
        <v>23.120040625287871</v>
      </c>
      <c r="Y521">
        <v>151</v>
      </c>
      <c r="Z521" s="30">
        <f t="shared" si="34"/>
        <v>141.16583027120214</v>
      </c>
      <c r="AA521">
        <v>519</v>
      </c>
    </row>
    <row r="522" spans="10:27">
      <c r="J522">
        <v>14</v>
      </c>
      <c r="K522">
        <f t="shared" si="36"/>
        <v>2157870.4583602017</v>
      </c>
      <c r="L522" s="30">
        <f t="shared" si="35"/>
        <v>21.578704583602018</v>
      </c>
      <c r="Y522">
        <v>150</v>
      </c>
      <c r="Z522" s="30">
        <f t="shared" si="34"/>
        <v>139.62449422951627</v>
      </c>
      <c r="AA522">
        <v>520</v>
      </c>
    </row>
    <row r="523" spans="10:27">
      <c r="J523">
        <v>13</v>
      </c>
      <c r="K523">
        <f t="shared" si="36"/>
        <v>2003736.8541916159</v>
      </c>
      <c r="L523" s="30">
        <f t="shared" si="35"/>
        <v>20.037368541916159</v>
      </c>
      <c r="Y523">
        <v>149</v>
      </c>
      <c r="Z523" s="30">
        <f t="shared" si="34"/>
        <v>138.08315818783041</v>
      </c>
      <c r="AA523">
        <v>521</v>
      </c>
    </row>
    <row r="524" spans="10:27">
      <c r="J524">
        <v>12</v>
      </c>
      <c r="K524">
        <f t="shared" si="36"/>
        <v>1849603.25002303</v>
      </c>
      <c r="L524" s="30">
        <f t="shared" si="35"/>
        <v>18.496032500230299</v>
      </c>
      <c r="Y524">
        <v>148</v>
      </c>
      <c r="Z524" s="30">
        <f t="shared" si="34"/>
        <v>136.54182214614457</v>
      </c>
      <c r="AA524">
        <v>522</v>
      </c>
    </row>
    <row r="525" spans="10:27">
      <c r="J525">
        <v>11</v>
      </c>
      <c r="K525">
        <f t="shared" si="36"/>
        <v>1695469.645854444</v>
      </c>
      <c r="L525" s="30">
        <f t="shared" si="35"/>
        <v>16.95469645854444</v>
      </c>
      <c r="Y525">
        <v>147</v>
      </c>
      <c r="Z525" s="30">
        <f t="shared" si="34"/>
        <v>135.0004861044587</v>
      </c>
      <c r="AA525">
        <v>523</v>
      </c>
    </row>
    <row r="526" spans="10:27">
      <c r="J526">
        <v>10</v>
      </c>
      <c r="K526">
        <f t="shared" si="36"/>
        <v>1541336.0416858583</v>
      </c>
      <c r="L526" s="30">
        <f t="shared" si="35"/>
        <v>15.413360416858582</v>
      </c>
      <c r="Y526">
        <v>146</v>
      </c>
      <c r="Z526" s="30">
        <f t="shared" si="34"/>
        <v>133.45915006277286</v>
      </c>
      <c r="AA526">
        <v>524</v>
      </c>
    </row>
    <row r="527" spans="10:27">
      <c r="J527">
        <v>9</v>
      </c>
      <c r="K527">
        <f t="shared" si="36"/>
        <v>1387202.4375172725</v>
      </c>
      <c r="L527" s="30">
        <f t="shared" si="35"/>
        <v>13.872024375172725</v>
      </c>
      <c r="Y527">
        <v>145</v>
      </c>
      <c r="Z527" s="30">
        <f t="shared" si="34"/>
        <v>131.917814021087</v>
      </c>
      <c r="AA527">
        <v>525</v>
      </c>
    </row>
    <row r="528" spans="10:27">
      <c r="J528">
        <v>8</v>
      </c>
      <c r="K528">
        <f t="shared" si="36"/>
        <v>1233068.8333486866</v>
      </c>
      <c r="L528" s="30">
        <f t="shared" si="35"/>
        <v>12.330688333486865</v>
      </c>
      <c r="Y528">
        <v>144</v>
      </c>
      <c r="Z528" s="30">
        <f t="shared" si="34"/>
        <v>130.37647797940113</v>
      </c>
      <c r="AA528">
        <v>526</v>
      </c>
    </row>
    <row r="529" spans="10:27">
      <c r="J529">
        <v>7</v>
      </c>
      <c r="K529">
        <f t="shared" si="36"/>
        <v>1078935.2291801008</v>
      </c>
      <c r="L529" s="30">
        <f t="shared" si="35"/>
        <v>10.789352291801009</v>
      </c>
      <c r="Y529">
        <v>143</v>
      </c>
      <c r="Z529" s="30">
        <f t="shared" ref="Z529:Z577" si="37">L485+$H$36</f>
        <v>128.83514193771526</v>
      </c>
      <c r="AA529">
        <v>527</v>
      </c>
    </row>
    <row r="530" spans="10:27">
      <c r="J530">
        <v>6</v>
      </c>
      <c r="K530">
        <f t="shared" si="36"/>
        <v>924801.62501151499</v>
      </c>
      <c r="L530" s="30">
        <f t="shared" si="35"/>
        <v>9.2480162501151497</v>
      </c>
      <c r="Y530">
        <v>142</v>
      </c>
      <c r="Z530" s="30">
        <f t="shared" si="37"/>
        <v>127.29380589602943</v>
      </c>
      <c r="AA530">
        <v>528</v>
      </c>
    </row>
    <row r="531" spans="10:27">
      <c r="J531">
        <v>5</v>
      </c>
      <c r="K531">
        <f t="shared" si="36"/>
        <v>770668.02084292914</v>
      </c>
      <c r="L531" s="30">
        <f t="shared" si="35"/>
        <v>7.7066802084292911</v>
      </c>
      <c r="Y531">
        <v>141</v>
      </c>
      <c r="Z531" s="30">
        <f t="shared" si="37"/>
        <v>125.75246985434356</v>
      </c>
      <c r="AA531">
        <v>529</v>
      </c>
    </row>
    <row r="532" spans="10:27">
      <c r="J532">
        <v>4</v>
      </c>
      <c r="K532">
        <f t="shared" si="36"/>
        <v>616534.41667434329</v>
      </c>
      <c r="L532" s="30">
        <f t="shared" si="35"/>
        <v>6.1653441667434326</v>
      </c>
      <c r="Y532">
        <v>140</v>
      </c>
      <c r="Z532" s="30">
        <f t="shared" si="37"/>
        <v>124.21113381265769</v>
      </c>
      <c r="AA532">
        <v>530</v>
      </c>
    </row>
    <row r="533" spans="10:27">
      <c r="J533">
        <v>3</v>
      </c>
      <c r="K533">
        <f t="shared" si="36"/>
        <v>462400.81250575749</v>
      </c>
      <c r="L533" s="30">
        <f t="shared" si="35"/>
        <v>4.6240081250575749</v>
      </c>
      <c r="Y533">
        <v>139</v>
      </c>
      <c r="Z533" s="30">
        <f t="shared" si="37"/>
        <v>122.66979777097185</v>
      </c>
      <c r="AA533">
        <v>531</v>
      </c>
    </row>
    <row r="534" spans="10:27">
      <c r="J534">
        <v>2</v>
      </c>
      <c r="K534">
        <f t="shared" si="36"/>
        <v>308267.20833717164</v>
      </c>
      <c r="L534" s="30">
        <f t="shared" si="35"/>
        <v>3.0826720833717163</v>
      </c>
      <c r="Y534">
        <v>138</v>
      </c>
      <c r="Z534" s="30">
        <f t="shared" si="37"/>
        <v>121.12846172928599</v>
      </c>
      <c r="AA534">
        <v>532</v>
      </c>
    </row>
    <row r="535" spans="10:27">
      <c r="J535">
        <v>1</v>
      </c>
      <c r="K535">
        <f t="shared" si="36"/>
        <v>154133.60416858582</v>
      </c>
      <c r="L535" s="30">
        <f t="shared" si="35"/>
        <v>1.5413360416858581</v>
      </c>
      <c r="Y535">
        <v>137</v>
      </c>
      <c r="Z535" s="30">
        <f t="shared" si="37"/>
        <v>119.58712568760012</v>
      </c>
      <c r="AA535">
        <v>533</v>
      </c>
    </row>
    <row r="536" spans="10:27">
      <c r="J536">
        <v>0</v>
      </c>
      <c r="K536">
        <f t="shared" si="36"/>
        <v>0</v>
      </c>
      <c r="L536" s="30">
        <f t="shared" si="35"/>
        <v>0</v>
      </c>
      <c r="Y536">
        <v>136</v>
      </c>
      <c r="Z536" s="30">
        <f t="shared" si="37"/>
        <v>118.04578964591425</v>
      </c>
      <c r="AA536">
        <v>534</v>
      </c>
    </row>
    <row r="537" spans="10:27">
      <c r="Y537">
        <v>135</v>
      </c>
      <c r="Z537" s="30">
        <f t="shared" si="37"/>
        <v>116.50445360422842</v>
      </c>
      <c r="AA537">
        <v>535</v>
      </c>
    </row>
    <row r="538" spans="10:27">
      <c r="Y538">
        <v>134</v>
      </c>
      <c r="Z538" s="30">
        <f t="shared" si="37"/>
        <v>114.96311756254255</v>
      </c>
      <c r="AA538">
        <v>536</v>
      </c>
    </row>
    <row r="539" spans="10:27">
      <c r="Y539">
        <v>133</v>
      </c>
      <c r="Z539" s="30">
        <f t="shared" si="37"/>
        <v>113.42178152085668</v>
      </c>
      <c r="AA539">
        <v>537</v>
      </c>
    </row>
    <row r="540" spans="10:27">
      <c r="Y540">
        <v>132</v>
      </c>
      <c r="Z540" s="30">
        <f t="shared" si="37"/>
        <v>111.88044547917083</v>
      </c>
      <c r="AA540">
        <v>538</v>
      </c>
    </row>
    <row r="541" spans="10:27">
      <c r="Y541">
        <v>131</v>
      </c>
      <c r="Z541" s="30">
        <f t="shared" si="37"/>
        <v>110.33910943748498</v>
      </c>
      <c r="AA541">
        <v>539</v>
      </c>
    </row>
    <row r="542" spans="10:27">
      <c r="Y542">
        <v>130</v>
      </c>
      <c r="Z542" s="30">
        <f t="shared" si="37"/>
        <v>108.79777339579911</v>
      </c>
      <c r="AA542">
        <v>540</v>
      </c>
    </row>
    <row r="543" spans="10:27">
      <c r="Y543">
        <v>129</v>
      </c>
      <c r="Z543" s="30">
        <f t="shared" si="37"/>
        <v>107.25643735411326</v>
      </c>
      <c r="AA543">
        <v>541</v>
      </c>
    </row>
    <row r="544" spans="10:27">
      <c r="Y544">
        <v>128</v>
      </c>
      <c r="Z544" s="30">
        <f t="shared" si="37"/>
        <v>105.71510131242741</v>
      </c>
      <c r="AA544">
        <v>542</v>
      </c>
    </row>
    <row r="545" spans="25:27">
      <c r="Y545">
        <v>127</v>
      </c>
      <c r="Z545" s="30">
        <f t="shared" si="37"/>
        <v>104.17376527074154</v>
      </c>
      <c r="AA545">
        <v>543</v>
      </c>
    </row>
    <row r="546" spans="25:27">
      <c r="Y546">
        <v>126</v>
      </c>
      <c r="Z546" s="30">
        <f t="shared" si="37"/>
        <v>102.63242922905567</v>
      </c>
      <c r="AA546">
        <v>544</v>
      </c>
    </row>
    <row r="547" spans="25:27">
      <c r="Y547">
        <v>125</v>
      </c>
      <c r="Z547" s="30">
        <f t="shared" si="37"/>
        <v>101.09109318736984</v>
      </c>
      <c r="AA547">
        <v>545</v>
      </c>
    </row>
    <row r="548" spans="25:27">
      <c r="Y548">
        <v>124</v>
      </c>
      <c r="Z548" s="30">
        <f t="shared" si="37"/>
        <v>99.549757145683969</v>
      </c>
      <c r="AA548">
        <v>546</v>
      </c>
    </row>
    <row r="549" spans="25:27">
      <c r="Y549">
        <v>123</v>
      </c>
      <c r="Z549" s="30">
        <f t="shared" si="37"/>
        <v>98.008421103998103</v>
      </c>
      <c r="AA549">
        <v>547</v>
      </c>
    </row>
    <row r="550" spans="25:27">
      <c r="Y550">
        <v>122</v>
      </c>
      <c r="Z550" s="30">
        <f t="shared" si="37"/>
        <v>96.467085062312236</v>
      </c>
      <c r="AA550">
        <v>548</v>
      </c>
    </row>
    <row r="551" spans="25:27">
      <c r="Y551">
        <v>121</v>
      </c>
      <c r="Z551" s="30">
        <f t="shared" si="37"/>
        <v>94.925749020626398</v>
      </c>
      <c r="AA551">
        <v>549</v>
      </c>
    </row>
    <row r="552" spans="25:27">
      <c r="Y552">
        <v>120</v>
      </c>
      <c r="Z552" s="30">
        <f t="shared" si="37"/>
        <v>93.384412978940532</v>
      </c>
      <c r="AA552">
        <v>550</v>
      </c>
    </row>
    <row r="553" spans="25:27">
      <c r="Y553">
        <v>119</v>
      </c>
      <c r="Z553" s="30">
        <f t="shared" si="37"/>
        <v>91.843076937254679</v>
      </c>
      <c r="AA553">
        <v>551</v>
      </c>
    </row>
    <row r="554" spans="25:27">
      <c r="Y554">
        <v>118</v>
      </c>
      <c r="Z554" s="30">
        <f t="shared" si="37"/>
        <v>90.301740895568827</v>
      </c>
      <c r="AA554">
        <v>552</v>
      </c>
    </row>
    <row r="555" spans="25:27">
      <c r="Y555">
        <v>117</v>
      </c>
      <c r="Z555" s="30">
        <f t="shared" si="37"/>
        <v>88.76040485388296</v>
      </c>
      <c r="AA555">
        <v>553</v>
      </c>
    </row>
    <row r="556" spans="25:27">
      <c r="Y556">
        <v>116</v>
      </c>
      <c r="Z556" s="30">
        <f t="shared" si="37"/>
        <v>87.219068812197094</v>
      </c>
      <c r="AA556">
        <v>554</v>
      </c>
    </row>
    <row r="557" spans="25:27">
      <c r="Y557">
        <v>115</v>
      </c>
      <c r="Z557" s="30">
        <f t="shared" si="37"/>
        <v>85.677732770511241</v>
      </c>
      <c r="AA557">
        <v>555</v>
      </c>
    </row>
    <row r="558" spans="25:27">
      <c r="Y558">
        <v>114</v>
      </c>
      <c r="Z558" s="30">
        <f t="shared" si="37"/>
        <v>84.136396728825389</v>
      </c>
      <c r="AA558">
        <v>556</v>
      </c>
    </row>
    <row r="559" spans="25:27">
      <c r="Y559">
        <v>113</v>
      </c>
      <c r="Z559" s="30">
        <f t="shared" si="37"/>
        <v>82.595060687139522</v>
      </c>
      <c r="AA559">
        <v>557</v>
      </c>
    </row>
    <row r="560" spans="25:27">
      <c r="Y560">
        <v>112</v>
      </c>
      <c r="Z560" s="30">
        <f t="shared" si="37"/>
        <v>81.05372464545367</v>
      </c>
      <c r="AA560">
        <v>558</v>
      </c>
    </row>
    <row r="561" spans="25:27">
      <c r="Y561">
        <v>111</v>
      </c>
      <c r="Z561" s="30">
        <f t="shared" si="37"/>
        <v>79.512388603767803</v>
      </c>
      <c r="AA561">
        <v>559</v>
      </c>
    </row>
    <row r="562" spans="25:27">
      <c r="Y562">
        <v>110</v>
      </c>
      <c r="Z562" s="30">
        <f t="shared" si="37"/>
        <v>77.971052562081951</v>
      </c>
      <c r="AA562">
        <v>560</v>
      </c>
    </row>
    <row r="563" spans="25:27">
      <c r="Y563">
        <v>109</v>
      </c>
      <c r="Z563" s="30">
        <f t="shared" si="37"/>
        <v>76.429716520396084</v>
      </c>
      <c r="AA563">
        <v>561</v>
      </c>
    </row>
    <row r="564" spans="25:27">
      <c r="Y564">
        <v>108</v>
      </c>
      <c r="Z564" s="30">
        <f t="shared" si="37"/>
        <v>74.888380478710232</v>
      </c>
      <c r="AA564">
        <v>562</v>
      </c>
    </row>
    <row r="565" spans="25:27">
      <c r="Y565">
        <v>107</v>
      </c>
      <c r="Z565" s="30">
        <f t="shared" si="37"/>
        <v>73.34704443702438</v>
      </c>
      <c r="AA565">
        <v>563</v>
      </c>
    </row>
    <row r="566" spans="25:27">
      <c r="Y566">
        <v>106</v>
      </c>
      <c r="Z566" s="30">
        <f t="shared" si="37"/>
        <v>71.805708395338513</v>
      </c>
      <c r="AA566">
        <v>564</v>
      </c>
    </row>
    <row r="567" spans="25:27">
      <c r="Y567">
        <v>105</v>
      </c>
      <c r="Z567" s="30">
        <f t="shared" si="37"/>
        <v>70.264372353652661</v>
      </c>
      <c r="AA567">
        <v>565</v>
      </c>
    </row>
    <row r="568" spans="25:27">
      <c r="Y568">
        <v>104</v>
      </c>
      <c r="Z568" s="30">
        <f t="shared" si="37"/>
        <v>68.723036311966808</v>
      </c>
      <c r="AA568">
        <v>566</v>
      </c>
    </row>
    <row r="569" spans="25:27">
      <c r="Y569">
        <v>103</v>
      </c>
      <c r="Z569" s="30">
        <f t="shared" si="37"/>
        <v>67.181700270280942</v>
      </c>
      <c r="AA569">
        <v>567</v>
      </c>
    </row>
    <row r="570" spans="25:27">
      <c r="Y570">
        <v>102</v>
      </c>
      <c r="Z570" s="30">
        <f t="shared" si="37"/>
        <v>65.640364228595089</v>
      </c>
      <c r="AA570">
        <v>568</v>
      </c>
    </row>
    <row r="571" spans="25:27">
      <c r="Y571">
        <v>101</v>
      </c>
      <c r="Z571" s="30">
        <f t="shared" si="37"/>
        <v>64.099028186909223</v>
      </c>
      <c r="AA571">
        <v>569</v>
      </c>
    </row>
    <row r="572" spans="25:27">
      <c r="Y572">
        <v>100</v>
      </c>
      <c r="Z572" s="30">
        <f t="shared" si="37"/>
        <v>62.557692145223371</v>
      </c>
      <c r="AA572">
        <v>570</v>
      </c>
    </row>
    <row r="573" spans="25:27">
      <c r="Y573">
        <v>99</v>
      </c>
      <c r="Z573" s="30">
        <f t="shared" si="37"/>
        <v>61.016356103537511</v>
      </c>
      <c r="AA573">
        <v>571</v>
      </c>
    </row>
    <row r="574" spans="25:27">
      <c r="Y574">
        <v>98</v>
      </c>
      <c r="Z574" s="30">
        <f t="shared" si="37"/>
        <v>59.475020061851652</v>
      </c>
      <c r="AA574">
        <v>572</v>
      </c>
    </row>
    <row r="575" spans="25:27">
      <c r="Y575">
        <v>97</v>
      </c>
      <c r="Z575" s="30">
        <f t="shared" si="37"/>
        <v>57.933684020165792</v>
      </c>
      <c r="AA575">
        <v>573</v>
      </c>
    </row>
    <row r="576" spans="25:27">
      <c r="Y576">
        <v>96</v>
      </c>
      <c r="Z576" s="30">
        <f t="shared" si="37"/>
        <v>56.392347978479933</v>
      </c>
      <c r="AA576">
        <v>574</v>
      </c>
    </row>
    <row r="577" spans="25:27">
      <c r="Y577">
        <v>95</v>
      </c>
      <c r="Z577" s="30">
        <f t="shared" si="37"/>
        <v>54.85101193679408</v>
      </c>
      <c r="AA577">
        <v>575</v>
      </c>
    </row>
    <row r="578" spans="25:27">
      <c r="Y578">
        <v>94</v>
      </c>
      <c r="Z578" s="30">
        <f>H36</f>
        <v>50.227003811736502</v>
      </c>
      <c r="AA578">
        <v>576</v>
      </c>
    </row>
    <row r="579" spans="25:27">
      <c r="Y579">
        <v>93</v>
      </c>
      <c r="Z579" s="30">
        <f t="shared" ref="Z579:Z642" si="38">H37</f>
        <v>48.641006936079833</v>
      </c>
      <c r="AA579">
        <v>577</v>
      </c>
    </row>
    <row r="580" spans="25:27">
      <c r="Y580">
        <v>92</v>
      </c>
      <c r="Z580" s="30">
        <f t="shared" si="38"/>
        <v>47.088753388162388</v>
      </c>
      <c r="AA580">
        <v>578</v>
      </c>
    </row>
    <row r="581" spans="25:27">
      <c r="Y581">
        <v>91</v>
      </c>
      <c r="Z581" s="30">
        <f t="shared" si="38"/>
        <v>45.569880336503097</v>
      </c>
      <c r="AA581">
        <v>579</v>
      </c>
    </row>
    <row r="582" spans="25:27">
      <c r="Y582">
        <v>90</v>
      </c>
      <c r="Z582" s="30">
        <f t="shared" si="38"/>
        <v>44.084024949620876</v>
      </c>
      <c r="AA582">
        <v>580</v>
      </c>
    </row>
    <row r="583" spans="25:27">
      <c r="Y583">
        <v>89</v>
      </c>
      <c r="Z583" s="30">
        <f t="shared" si="38"/>
        <v>42.630824396034683</v>
      </c>
      <c r="AA583">
        <v>581</v>
      </c>
    </row>
    <row r="584" spans="25:27">
      <c r="Y584">
        <v>88</v>
      </c>
      <c r="Z584" s="30">
        <f t="shared" si="38"/>
        <v>41.209915844263421</v>
      </c>
      <c r="AA584">
        <v>582</v>
      </c>
    </row>
    <row r="585" spans="25:27">
      <c r="Y585">
        <v>87</v>
      </c>
      <c r="Z585" s="30">
        <f t="shared" si="38"/>
        <v>39.820936462826069</v>
      </c>
      <c r="AA585">
        <v>583</v>
      </c>
    </row>
    <row r="586" spans="25:27">
      <c r="Y586">
        <v>86</v>
      </c>
      <c r="Z586" s="30">
        <f t="shared" si="38"/>
        <v>38.463523420241508</v>
      </c>
      <c r="AA586">
        <v>584</v>
      </c>
    </row>
    <row r="587" spans="25:27">
      <c r="Y587">
        <v>85</v>
      </c>
      <c r="Z587" s="30">
        <f t="shared" si="38"/>
        <v>37.137313885028703</v>
      </c>
      <c r="AA587">
        <v>585</v>
      </c>
    </row>
    <row r="588" spans="25:27">
      <c r="Y588">
        <v>84</v>
      </c>
      <c r="Z588" s="30">
        <f t="shared" si="38"/>
        <v>35.841945025706572</v>
      </c>
      <c r="AA588">
        <v>586</v>
      </c>
    </row>
    <row r="589" spans="25:27">
      <c r="Y589">
        <v>83</v>
      </c>
      <c r="Z589" s="30">
        <f t="shared" si="38"/>
        <v>34.577054010794072</v>
      </c>
      <c r="AA589">
        <v>587</v>
      </c>
    </row>
    <row r="590" spans="25:27">
      <c r="Y590">
        <v>82</v>
      </c>
      <c r="Z590" s="30">
        <f t="shared" si="38"/>
        <v>33.342278008810098</v>
      </c>
      <c r="AA590">
        <v>588</v>
      </c>
    </row>
    <row r="591" spans="25:27">
      <c r="Y591">
        <v>81</v>
      </c>
      <c r="Z591" s="30">
        <f t="shared" si="38"/>
        <v>32.137254188273623</v>
      </c>
      <c r="AA591">
        <v>589</v>
      </c>
    </row>
    <row r="592" spans="25:27">
      <c r="Y592">
        <v>80</v>
      </c>
      <c r="Z592" s="30">
        <f t="shared" si="38"/>
        <v>30.961619717703556</v>
      </c>
      <c r="AA592">
        <v>590</v>
      </c>
    </row>
    <row r="593" spans="25:27">
      <c r="Y593">
        <v>79</v>
      </c>
      <c r="Z593" s="30">
        <f t="shared" si="38"/>
        <v>29.815011765618827</v>
      </c>
      <c r="AA593">
        <v>591</v>
      </c>
    </row>
    <row r="594" spans="25:27">
      <c r="Y594">
        <v>78</v>
      </c>
      <c r="Z594" s="30">
        <f t="shared" si="38"/>
        <v>28.697067500538392</v>
      </c>
      <c r="AA594">
        <v>592</v>
      </c>
    </row>
    <row r="595" spans="25:27">
      <c r="Y595">
        <v>77</v>
      </c>
      <c r="Z595" s="30">
        <f t="shared" si="38"/>
        <v>27.607424090981162</v>
      </c>
      <c r="AA595">
        <v>593</v>
      </c>
    </row>
    <row r="596" spans="25:27">
      <c r="Y596">
        <v>76</v>
      </c>
      <c r="Z596" s="30">
        <f t="shared" si="38"/>
        <v>26.545718705466086</v>
      </c>
      <c r="AA596">
        <v>594</v>
      </c>
    </row>
    <row r="597" spans="25:27">
      <c r="Y597">
        <v>75</v>
      </c>
      <c r="Z597" s="30">
        <f t="shared" si="38"/>
        <v>25.511588512512084</v>
      </c>
      <c r="AA597">
        <v>595</v>
      </c>
    </row>
    <row r="598" spans="25:27">
      <c r="Y598">
        <v>74</v>
      </c>
      <c r="Z598" s="30">
        <f t="shared" si="38"/>
        <v>24.5046706806381</v>
      </c>
      <c r="AA598">
        <v>596</v>
      </c>
    </row>
    <row r="599" spans="25:27">
      <c r="Y599">
        <v>73</v>
      </c>
      <c r="Z599" s="30">
        <f t="shared" si="38"/>
        <v>23.524602378363053</v>
      </c>
      <c r="AA599">
        <v>597</v>
      </c>
    </row>
    <row r="600" spans="25:27">
      <c r="Y600">
        <v>72</v>
      </c>
      <c r="Z600" s="30">
        <f t="shared" si="38"/>
        <v>22.571020774205895</v>
      </c>
      <c r="AA600">
        <v>598</v>
      </c>
    </row>
    <row r="601" spans="25:27">
      <c r="Y601">
        <v>71</v>
      </c>
      <c r="Z601" s="30">
        <f t="shared" si="38"/>
        <v>21.643563036685535</v>
      </c>
      <c r="AA601">
        <v>599</v>
      </c>
    </row>
    <row r="602" spans="25:27">
      <c r="Y602">
        <v>70</v>
      </c>
      <c r="Z602" s="30">
        <f t="shared" si="38"/>
        <v>20.741866334320939</v>
      </c>
      <c r="AA602">
        <v>600</v>
      </c>
    </row>
    <row r="603" spans="25:27">
      <c r="Y603">
        <v>69</v>
      </c>
      <c r="Z603" s="30">
        <f t="shared" si="38"/>
        <v>19.865567835631008</v>
      </c>
      <c r="AA603">
        <v>601</v>
      </c>
    </row>
    <row r="604" spans="25:27">
      <c r="Y604">
        <v>68</v>
      </c>
      <c r="Z604" s="30">
        <f t="shared" si="38"/>
        <v>19.014304709134692</v>
      </c>
      <c r="AA604">
        <v>602</v>
      </c>
    </row>
    <row r="605" spans="25:27">
      <c r="Y605">
        <v>67</v>
      </c>
      <c r="Z605" s="30">
        <f t="shared" si="38"/>
        <v>18.187714123350926</v>
      </c>
      <c r="AA605">
        <v>603</v>
      </c>
    </row>
    <row r="606" spans="25:27">
      <c r="Y606">
        <v>66</v>
      </c>
      <c r="Z606" s="30">
        <f t="shared" si="38"/>
        <v>17.38543324679863</v>
      </c>
      <c r="AA606">
        <v>604</v>
      </c>
    </row>
    <row r="607" spans="25:27">
      <c r="Y607">
        <v>65</v>
      </c>
      <c r="Z607" s="30">
        <f t="shared" si="38"/>
        <v>16.607099247996757</v>
      </c>
      <c r="AA607">
        <v>605</v>
      </c>
    </row>
    <row r="608" spans="25:27">
      <c r="Y608">
        <v>64</v>
      </c>
      <c r="Z608" s="30">
        <f t="shared" si="38"/>
        <v>15.852349295464215</v>
      </c>
      <c r="AA608">
        <v>606</v>
      </c>
    </row>
    <row r="609" spans="25:27">
      <c r="Y609">
        <v>63</v>
      </c>
      <c r="Z609" s="30">
        <f t="shared" si="38"/>
        <v>15.120820557719961</v>
      </c>
      <c r="AA609">
        <v>607</v>
      </c>
    </row>
    <row r="610" spans="25:27">
      <c r="Y610">
        <v>62</v>
      </c>
      <c r="Z610" s="30">
        <f t="shared" si="38"/>
        <v>14.412150203282911</v>
      </c>
      <c r="AA610">
        <v>608</v>
      </c>
    </row>
    <row r="611" spans="25:27">
      <c r="Y611">
        <v>61</v>
      </c>
      <c r="Z611" s="30">
        <f t="shared" si="38"/>
        <v>13.725975400672016</v>
      </c>
      <c r="AA611">
        <v>609</v>
      </c>
    </row>
    <row r="612" spans="25:27">
      <c r="Y612">
        <v>60</v>
      </c>
      <c r="Z612" s="30">
        <f t="shared" si="38"/>
        <v>13.061933318406187</v>
      </c>
      <c r="AA612">
        <v>610</v>
      </c>
    </row>
    <row r="613" spans="25:27">
      <c r="Y613">
        <v>59</v>
      </c>
      <c r="Z613" s="30">
        <f t="shared" si="38"/>
        <v>12.419661125004371</v>
      </c>
      <c r="AA613">
        <v>611</v>
      </c>
    </row>
    <row r="614" spans="25:27">
      <c r="Y614">
        <v>58</v>
      </c>
      <c r="Z614" s="30">
        <f t="shared" si="38"/>
        <v>11.798795988985498</v>
      </c>
      <c r="AA614">
        <v>612</v>
      </c>
    </row>
    <row r="615" spans="25:27">
      <c r="Y615">
        <v>57</v>
      </c>
      <c r="Z615" s="30">
        <f t="shared" si="38"/>
        <v>11.1989750788685</v>
      </c>
      <c r="AA615">
        <v>613</v>
      </c>
    </row>
    <row r="616" spans="25:27">
      <c r="Y616">
        <v>56</v>
      </c>
      <c r="Z616" s="30">
        <f t="shared" si="38"/>
        <v>10.619835563172318</v>
      </c>
      <c r="AA616">
        <v>614</v>
      </c>
    </row>
    <row r="617" spans="25:27">
      <c r="Y617">
        <v>55</v>
      </c>
      <c r="Z617" s="30">
        <f t="shared" si="38"/>
        <v>10.061014610415873</v>
      </c>
      <c r="AA617">
        <v>615</v>
      </c>
    </row>
    <row r="618" spans="25:27">
      <c r="Y618">
        <v>54</v>
      </c>
      <c r="Z618" s="30">
        <f t="shared" si="38"/>
        <v>9.522149389118109</v>
      </c>
      <c r="AA618">
        <v>616</v>
      </c>
    </row>
    <row r="619" spans="25:27">
      <c r="Y619">
        <v>53</v>
      </c>
      <c r="Z619" s="30">
        <f t="shared" si="38"/>
        <v>9.0028770677979537</v>
      </c>
      <c r="AA619">
        <v>617</v>
      </c>
    </row>
    <row r="620" spans="25:27">
      <c r="Y620">
        <v>52</v>
      </c>
      <c r="Z620" s="30">
        <f t="shared" si="38"/>
        <v>8.5028348149743369</v>
      </c>
      <c r="AA620">
        <v>618</v>
      </c>
    </row>
    <row r="621" spans="25:27">
      <c r="Y621">
        <v>51</v>
      </c>
      <c r="Z621" s="30">
        <f t="shared" si="38"/>
        <v>8.0216597991661995</v>
      </c>
      <c r="AA621">
        <v>619</v>
      </c>
    </row>
    <row r="622" spans="25:27">
      <c r="Y622">
        <v>50</v>
      </c>
      <c r="Z622" s="30">
        <f t="shared" si="38"/>
        <v>7.5589891888924683</v>
      </c>
      <c r="AA622">
        <v>620</v>
      </c>
    </row>
    <row r="623" spans="25:27">
      <c r="Y623">
        <v>49</v>
      </c>
      <c r="Z623" s="30">
        <f t="shared" si="38"/>
        <v>7.1144601526720814</v>
      </c>
      <c r="AA623">
        <v>621</v>
      </c>
    </row>
    <row r="624" spans="25:27">
      <c r="Y624">
        <v>48</v>
      </c>
      <c r="Z624" s="30">
        <f t="shared" si="38"/>
        <v>6.6877098590239674</v>
      </c>
      <c r="AA624">
        <v>622</v>
      </c>
    </row>
    <row r="625" spans="25:27">
      <c r="Y625">
        <v>47</v>
      </c>
      <c r="Z625" s="30">
        <f t="shared" si="38"/>
        <v>6.2783754764670627</v>
      </c>
      <c r="AA625">
        <v>623</v>
      </c>
    </row>
    <row r="626" spans="25:27">
      <c r="Y626">
        <v>46</v>
      </c>
      <c r="Z626" s="30">
        <f t="shared" si="38"/>
        <v>5.8860941735202985</v>
      </c>
      <c r="AA626">
        <v>624</v>
      </c>
    </row>
    <row r="627" spans="25:27">
      <c r="Y627">
        <v>45</v>
      </c>
      <c r="Z627" s="30">
        <f t="shared" si="38"/>
        <v>5.5105031187026094</v>
      </c>
      <c r="AA627">
        <v>625</v>
      </c>
    </row>
    <row r="628" spans="25:27">
      <c r="Y628">
        <v>44</v>
      </c>
      <c r="Z628" s="30">
        <f t="shared" si="38"/>
        <v>5.1512394805329276</v>
      </c>
      <c r="AA628">
        <v>626</v>
      </c>
    </row>
    <row r="629" spans="25:27">
      <c r="Y629">
        <v>43</v>
      </c>
      <c r="Z629" s="30">
        <f t="shared" si="38"/>
        <v>4.8079404275301885</v>
      </c>
      <c r="AA629">
        <v>627</v>
      </c>
    </row>
    <row r="630" spans="25:27">
      <c r="Y630">
        <v>42</v>
      </c>
      <c r="Z630" s="30">
        <f t="shared" si="38"/>
        <v>4.4802431282133215</v>
      </c>
      <c r="AA630">
        <v>628</v>
      </c>
    </row>
    <row r="631" spans="25:27">
      <c r="Y631">
        <v>41</v>
      </c>
      <c r="Z631" s="30">
        <f t="shared" si="38"/>
        <v>4.1677847511012622</v>
      </c>
      <c r="AA631">
        <v>629</v>
      </c>
    </row>
    <row r="632" spans="25:27">
      <c r="Y632">
        <v>40</v>
      </c>
      <c r="Z632" s="30">
        <f t="shared" si="38"/>
        <v>3.8702024647129445</v>
      </c>
      <c r="AA632">
        <v>630</v>
      </c>
    </row>
    <row r="633" spans="25:27">
      <c r="Y633">
        <v>39</v>
      </c>
      <c r="Z633" s="30">
        <f t="shared" si="38"/>
        <v>3.587133437567299</v>
      </c>
      <c r="AA633">
        <v>631</v>
      </c>
    </row>
    <row r="634" spans="25:27">
      <c r="Y634">
        <v>38</v>
      </c>
      <c r="Z634" s="30">
        <f t="shared" si="38"/>
        <v>3.3182148381832608</v>
      </c>
      <c r="AA634">
        <v>632</v>
      </c>
    </row>
    <row r="635" spans="25:27">
      <c r="Y635">
        <v>37</v>
      </c>
      <c r="Z635" s="30">
        <f t="shared" si="38"/>
        <v>3.0630838350797625</v>
      </c>
      <c r="AA635">
        <v>633</v>
      </c>
    </row>
    <row r="636" spans="25:27">
      <c r="Y636">
        <v>36</v>
      </c>
      <c r="Z636" s="30">
        <f t="shared" si="38"/>
        <v>2.8213775967757369</v>
      </c>
      <c r="AA636">
        <v>634</v>
      </c>
    </row>
    <row r="637" spans="25:27">
      <c r="Y637">
        <v>35</v>
      </c>
      <c r="Z637" s="30">
        <f t="shared" si="38"/>
        <v>2.5927332917901174</v>
      </c>
      <c r="AA637">
        <v>635</v>
      </c>
    </row>
    <row r="638" spans="25:27">
      <c r="Y638">
        <v>34</v>
      </c>
      <c r="Z638" s="30">
        <f t="shared" si="38"/>
        <v>2.3767880886418364</v>
      </c>
      <c r="AA638">
        <v>636</v>
      </c>
    </row>
    <row r="639" spans="25:27">
      <c r="Y639">
        <v>33</v>
      </c>
      <c r="Z639" s="30">
        <f t="shared" si="38"/>
        <v>2.1731791558498288</v>
      </c>
      <c r="AA639">
        <v>637</v>
      </c>
    </row>
    <row r="640" spans="25:27">
      <c r="Y640">
        <v>32</v>
      </c>
      <c r="Z640" s="30">
        <f t="shared" si="38"/>
        <v>1.9815436619330269</v>
      </c>
      <c r="AA640">
        <v>638</v>
      </c>
    </row>
    <row r="641" spans="25:27">
      <c r="Y641">
        <v>31</v>
      </c>
      <c r="Z641" s="30">
        <f t="shared" si="38"/>
        <v>1.8015187754103639</v>
      </c>
      <c r="AA641">
        <v>639</v>
      </c>
    </row>
    <row r="642" spans="25:27">
      <c r="Y642">
        <v>30</v>
      </c>
      <c r="Z642" s="30">
        <f t="shared" si="38"/>
        <v>1.6327416648007733</v>
      </c>
      <c r="AA642">
        <v>640</v>
      </c>
    </row>
    <row r="643" spans="25:27">
      <c r="Y643">
        <v>29</v>
      </c>
      <c r="Z643" s="30">
        <f t="shared" ref="Z643:Z672" si="39">H101</f>
        <v>1.4748494986231873</v>
      </c>
      <c r="AA643">
        <v>641</v>
      </c>
    </row>
    <row r="644" spans="25:27">
      <c r="Y644">
        <v>28</v>
      </c>
      <c r="Z644" s="30">
        <f t="shared" si="39"/>
        <v>1.3274794453965397</v>
      </c>
      <c r="AA644">
        <v>642</v>
      </c>
    </row>
    <row r="645" spans="25:27">
      <c r="Y645">
        <v>27</v>
      </c>
      <c r="Z645" s="30">
        <f t="shared" si="39"/>
        <v>1.1902686736397636</v>
      </c>
      <c r="AA645">
        <v>643</v>
      </c>
    </row>
    <row r="646" spans="25:27">
      <c r="Y646">
        <v>26</v>
      </c>
      <c r="Z646" s="30">
        <f t="shared" si="39"/>
        <v>1.0628543518717921</v>
      </c>
      <c r="AA646">
        <v>644</v>
      </c>
    </row>
    <row r="647" spans="25:27">
      <c r="Y647">
        <v>25</v>
      </c>
      <c r="Z647" s="30">
        <f t="shared" si="39"/>
        <v>0.94487364861155854</v>
      </c>
      <c r="AA647">
        <v>645</v>
      </c>
    </row>
    <row r="648" spans="25:27">
      <c r="Y648">
        <v>24</v>
      </c>
      <c r="Z648" s="30">
        <f t="shared" si="39"/>
        <v>0.83596373237799593</v>
      </c>
      <c r="AA648">
        <v>646</v>
      </c>
    </row>
    <row r="649" spans="25:27">
      <c r="Y649">
        <v>23</v>
      </c>
      <c r="Z649" s="30">
        <f t="shared" si="39"/>
        <v>0.73576177169003731</v>
      </c>
      <c r="AA649">
        <v>647</v>
      </c>
    </row>
    <row r="650" spans="25:27">
      <c r="Y650">
        <v>22</v>
      </c>
      <c r="Z650" s="30">
        <f t="shared" si="39"/>
        <v>0.64390493506661595</v>
      </c>
      <c r="AA650">
        <v>648</v>
      </c>
    </row>
    <row r="651" spans="25:27">
      <c r="Y651">
        <v>21</v>
      </c>
      <c r="Z651" s="30">
        <f t="shared" si="39"/>
        <v>0.56003039102666519</v>
      </c>
      <c r="AA651">
        <v>649</v>
      </c>
    </row>
    <row r="652" spans="25:27">
      <c r="Y652">
        <v>20</v>
      </c>
      <c r="Z652" s="30">
        <f t="shared" si="39"/>
        <v>0.48377530808911806</v>
      </c>
      <c r="AA652">
        <v>650</v>
      </c>
    </row>
    <row r="653" spans="25:27">
      <c r="Y653">
        <v>19</v>
      </c>
      <c r="Z653" s="30">
        <f t="shared" si="39"/>
        <v>0.4147768547729076</v>
      </c>
      <c r="AA653">
        <v>651</v>
      </c>
    </row>
    <row r="654" spans="25:27">
      <c r="Y654">
        <v>18</v>
      </c>
      <c r="Z654" s="30">
        <f t="shared" si="39"/>
        <v>0.35267219959696711</v>
      </c>
      <c r="AA654">
        <v>652</v>
      </c>
    </row>
    <row r="655" spans="25:27">
      <c r="Y655">
        <v>17</v>
      </c>
      <c r="Z655" s="30">
        <f t="shared" si="39"/>
        <v>0.29709851108022955</v>
      </c>
      <c r="AA655">
        <v>653</v>
      </c>
    </row>
    <row r="656" spans="25:27">
      <c r="Y656">
        <v>16</v>
      </c>
      <c r="Z656" s="30">
        <f t="shared" si="39"/>
        <v>0.24769295774162836</v>
      </c>
      <c r="AA656">
        <v>654</v>
      </c>
    </row>
    <row r="657" spans="25:27">
      <c r="Y657">
        <v>15</v>
      </c>
      <c r="Z657" s="30">
        <f t="shared" si="39"/>
        <v>0.20409270810009666</v>
      </c>
      <c r="AA657">
        <v>655</v>
      </c>
    </row>
    <row r="658" spans="25:27">
      <c r="Y658">
        <v>14</v>
      </c>
      <c r="Z658" s="30">
        <f t="shared" si="39"/>
        <v>0.16593493067456747</v>
      </c>
      <c r="AA658">
        <v>656</v>
      </c>
    </row>
    <row r="659" spans="25:27">
      <c r="Y659">
        <v>13</v>
      </c>
      <c r="Z659" s="30">
        <f t="shared" si="39"/>
        <v>0.13285679398397401</v>
      </c>
      <c r="AA659">
        <v>657</v>
      </c>
    </row>
    <row r="660" spans="25:27">
      <c r="Y660">
        <v>12</v>
      </c>
      <c r="Z660" s="30">
        <f t="shared" si="39"/>
        <v>0.10449546654724949</v>
      </c>
      <c r="AA660">
        <v>658</v>
      </c>
    </row>
    <row r="661" spans="25:27">
      <c r="Y661">
        <v>11</v>
      </c>
      <c r="Z661" s="30">
        <f t="shared" si="39"/>
        <v>8.0488116883326993E-2</v>
      </c>
      <c r="AA661">
        <v>659</v>
      </c>
    </row>
    <row r="662" spans="25:27">
      <c r="Y662">
        <v>10</v>
      </c>
      <c r="Z662" s="30">
        <f t="shared" si="39"/>
        <v>6.0471913511139758E-2</v>
      </c>
      <c r="AA662">
        <v>660</v>
      </c>
    </row>
    <row r="663" spans="25:27">
      <c r="Y663">
        <v>9</v>
      </c>
      <c r="Z663" s="30">
        <f t="shared" si="39"/>
        <v>4.4084024949620888E-2</v>
      </c>
      <c r="AA663">
        <v>661</v>
      </c>
    </row>
    <row r="664" spans="25:27">
      <c r="Y664">
        <v>8</v>
      </c>
      <c r="Z664" s="30">
        <f t="shared" si="39"/>
        <v>3.0961619717703545E-2</v>
      </c>
      <c r="AA664">
        <v>662</v>
      </c>
    </row>
    <row r="665" spans="25:27">
      <c r="Y665">
        <v>7</v>
      </c>
      <c r="Z665" s="30">
        <f t="shared" si="39"/>
        <v>2.0741866334320933E-2</v>
      </c>
      <c r="AA665">
        <v>663</v>
      </c>
    </row>
    <row r="666" spans="25:27">
      <c r="Y666">
        <v>6</v>
      </c>
      <c r="Z666" s="30">
        <f t="shared" si="39"/>
        <v>1.3061933318406186E-2</v>
      </c>
      <c r="AA666">
        <v>664</v>
      </c>
    </row>
    <row r="667" spans="25:27">
      <c r="Y667">
        <v>5</v>
      </c>
      <c r="Z667" s="30">
        <f t="shared" si="39"/>
        <v>7.5589891888924697E-3</v>
      </c>
      <c r="AA667">
        <v>665</v>
      </c>
    </row>
    <row r="668" spans="25:27">
      <c r="Y668">
        <v>4</v>
      </c>
      <c r="Z668" s="30">
        <f t="shared" si="39"/>
        <v>3.8702024647129431E-3</v>
      </c>
      <c r="AA668">
        <v>666</v>
      </c>
    </row>
    <row r="669" spans="25:27">
      <c r="Y669">
        <v>3</v>
      </c>
      <c r="Z669" s="30">
        <f t="shared" si="39"/>
        <v>1.6327416648007733E-3</v>
      </c>
      <c r="AA669">
        <v>667</v>
      </c>
    </row>
    <row r="670" spans="25:27">
      <c r="Y670">
        <v>2</v>
      </c>
      <c r="Z670" s="30">
        <f t="shared" si="39"/>
        <v>4.8377530808911789E-4</v>
      </c>
      <c r="AA670">
        <v>668</v>
      </c>
    </row>
    <row r="671" spans="25:27">
      <c r="Y671">
        <v>1</v>
      </c>
      <c r="Z671" s="30">
        <f t="shared" si="39"/>
        <v>6.0471913511139737E-5</v>
      </c>
      <c r="AA671">
        <v>669</v>
      </c>
    </row>
    <row r="672" spans="25:27">
      <c r="Y672">
        <v>0</v>
      </c>
      <c r="Z672" s="30">
        <f t="shared" si="39"/>
        <v>0</v>
      </c>
      <c r="AA672">
        <v>670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4">
    <tabColor rgb="FFFFFF00"/>
  </sheetPr>
  <dimension ref="A1:U235"/>
  <sheetViews>
    <sheetView tabSelected="1" zoomScaleNormal="100" workbookViewId="0">
      <pane ySplit="1" topLeftCell="A109" activePane="bottomLeft" state="frozen"/>
      <selection activeCell="E1" sqref="E1"/>
      <selection pane="bottomLeft" activeCell="J123" sqref="J123"/>
    </sheetView>
  </sheetViews>
  <sheetFormatPr baseColWidth="10" defaultColWidth="10.3984375" defaultRowHeight="15.75"/>
  <cols>
    <col min="1" max="1" width="13.3984375" bestFit="1" customWidth="1"/>
    <col min="3" max="3" width="0" hidden="1" customWidth="1"/>
    <col min="4" max="4" width="11.3984375" style="7"/>
    <col min="5" max="9" width="11.3984375" customWidth="1"/>
    <col min="11" max="11" width="9.3984375" style="21" customWidth="1"/>
    <col min="12" max="12" width="13.3984375" style="10" bestFit="1" customWidth="1"/>
    <col min="13" max="13" width="19.59765625" style="4" bestFit="1" customWidth="1"/>
    <col min="14" max="14" width="10.3984375" customWidth="1"/>
  </cols>
  <sheetData>
    <row r="1" spans="1:17" ht="47.25">
      <c r="A1" s="5" t="s">
        <v>27</v>
      </c>
      <c r="B1" s="5" t="s">
        <v>28</v>
      </c>
      <c r="C1" s="5" t="s">
        <v>29</v>
      </c>
      <c r="D1" s="8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290</v>
      </c>
      <c r="J1" s="6" t="s">
        <v>0</v>
      </c>
      <c r="K1" s="17" t="s">
        <v>3</v>
      </c>
      <c r="L1" s="15" t="s">
        <v>35</v>
      </c>
      <c r="M1" s="5" t="s">
        <v>36</v>
      </c>
      <c r="N1" s="5" t="s">
        <v>37</v>
      </c>
      <c r="Q1" t="s">
        <v>38</v>
      </c>
    </row>
    <row r="2" spans="1:17">
      <c r="A2" s="1" t="s">
        <v>39</v>
      </c>
      <c r="B2" s="1" t="s">
        <v>40</v>
      </c>
      <c r="C2" s="1">
        <v>1</v>
      </c>
      <c r="D2" s="9" t="s">
        <v>41</v>
      </c>
      <c r="E2" s="1">
        <f>309+17</f>
        <v>326</v>
      </c>
      <c r="F2" s="1"/>
      <c r="G2" s="11">
        <f>L2/E2</f>
        <v>0.33435582822085891</v>
      </c>
      <c r="H2" s="11"/>
      <c r="I2" s="11"/>
      <c r="J2" s="2">
        <v>244</v>
      </c>
      <c r="K2" s="18">
        <f>(E2-J2)*G2</f>
        <v>27.417177914110429</v>
      </c>
      <c r="L2" s="16">
        <v>109</v>
      </c>
      <c r="M2" s="3" t="s">
        <v>42</v>
      </c>
      <c r="N2" s="1">
        <v>109</v>
      </c>
    </row>
    <row r="3" spans="1:17">
      <c r="A3" s="1" t="s">
        <v>39</v>
      </c>
      <c r="B3" s="1" t="s">
        <v>40</v>
      </c>
      <c r="C3" s="1">
        <v>1</v>
      </c>
      <c r="D3" s="24" t="s">
        <v>43</v>
      </c>
      <c r="E3" s="1">
        <v>579</v>
      </c>
      <c r="F3" s="1"/>
      <c r="G3" s="1"/>
      <c r="H3" s="1"/>
      <c r="I3" s="1"/>
      <c r="J3" s="2">
        <v>140</v>
      </c>
      <c r="K3" s="19">
        <f>LOOKUP($J3,'300 hL comp bas'!$A$2:$A$585,'300 hL comp bas'!$D$2:$D$585)</f>
        <v>273.1379</v>
      </c>
      <c r="L3" s="16">
        <v>300</v>
      </c>
      <c r="M3" s="3" t="s">
        <v>42</v>
      </c>
      <c r="N3" s="1">
        <v>311.39999999999998</v>
      </c>
    </row>
    <row r="4" spans="1:17">
      <c r="A4" s="1" t="s">
        <v>39</v>
      </c>
      <c r="B4" s="1" t="s">
        <v>40</v>
      </c>
      <c r="C4" s="1">
        <v>1</v>
      </c>
      <c r="D4" s="24" t="s">
        <v>44</v>
      </c>
      <c r="E4" s="1">
        <v>579</v>
      </c>
      <c r="F4" s="1"/>
      <c r="G4" s="1"/>
      <c r="H4" s="1"/>
      <c r="I4" s="1"/>
      <c r="J4" s="2">
        <v>336</v>
      </c>
      <c r="K4" s="19">
        <f>LOOKUP($J4,'300 hL comp bas'!$A$2:$A$585,'300 hL comp bas'!$D$2:$D$585)</f>
        <v>152.66505904600223</v>
      </c>
      <c r="L4" s="16">
        <v>300</v>
      </c>
      <c r="M4" s="3" t="s">
        <v>42</v>
      </c>
      <c r="N4" s="1">
        <v>311.42</v>
      </c>
    </row>
    <row r="5" spans="1:17">
      <c r="A5" s="1" t="s">
        <v>39</v>
      </c>
      <c r="B5" s="1" t="s">
        <v>40</v>
      </c>
      <c r="C5" s="1">
        <v>1</v>
      </c>
      <c r="D5" s="24" t="s">
        <v>45</v>
      </c>
      <c r="E5" s="1">
        <v>579</v>
      </c>
      <c r="F5" s="1"/>
      <c r="G5" s="1"/>
      <c r="H5" s="1"/>
      <c r="I5" s="1"/>
      <c r="J5" s="2">
        <v>184</v>
      </c>
      <c r="K5" s="19">
        <f>LOOKUP($J5,'465 hL comp bas'!$A$2:$A$585,'465 hL comp bas'!$D$2:$D$585)</f>
        <v>380.8947654440006</v>
      </c>
      <c r="L5" s="16">
        <v>465</v>
      </c>
      <c r="M5" s="3" t="s">
        <v>42</v>
      </c>
      <c r="N5" s="1">
        <v>466.14</v>
      </c>
    </row>
    <row r="6" spans="1:17">
      <c r="A6" s="1" t="s">
        <v>39</v>
      </c>
      <c r="B6" s="1" t="s">
        <v>40</v>
      </c>
      <c r="C6" s="1">
        <v>1</v>
      </c>
      <c r="D6" s="24" t="s">
        <v>46</v>
      </c>
      <c r="E6" s="1">
        <v>579</v>
      </c>
      <c r="F6" s="1"/>
      <c r="G6" s="1"/>
      <c r="H6" s="1"/>
      <c r="I6" s="1"/>
      <c r="J6" s="2">
        <v>500</v>
      </c>
      <c r="K6" s="19">
        <f>LOOKUP($J6,'465 hL comp bas'!$A$2:$A$585,'465 hL comp bas'!$D$2:$D$585)</f>
        <v>103.40531072099915</v>
      </c>
      <c r="L6" s="16">
        <v>465</v>
      </c>
      <c r="M6" s="3" t="s">
        <v>42</v>
      </c>
      <c r="N6" s="1">
        <v>466.14</v>
      </c>
    </row>
    <row r="7" spans="1:17">
      <c r="A7" s="1" t="s">
        <v>39</v>
      </c>
      <c r="B7" s="1" t="s">
        <v>40</v>
      </c>
      <c r="C7" s="1">
        <v>1</v>
      </c>
      <c r="D7" s="24" t="s">
        <v>47</v>
      </c>
      <c r="E7" s="1">
        <v>579</v>
      </c>
      <c r="F7" s="1"/>
      <c r="G7" s="1"/>
      <c r="H7" s="1"/>
      <c r="I7" s="1"/>
      <c r="J7" s="2">
        <v>150</v>
      </c>
      <c r="K7" s="19">
        <f>LOOKUP($J7,'625 hL comp bas'!$A$2:$A$581,'625 hL comp bas'!$D$2:$D$581)</f>
        <v>542.92250000000001</v>
      </c>
      <c r="L7" s="16">
        <v>625</v>
      </c>
      <c r="M7" s="3" t="s">
        <v>42</v>
      </c>
      <c r="N7" s="1">
        <v>626.21</v>
      </c>
    </row>
    <row r="8" spans="1:17">
      <c r="A8" s="1" t="s">
        <v>39</v>
      </c>
      <c r="B8" s="1" t="s">
        <v>40</v>
      </c>
      <c r="C8" s="1">
        <v>1</v>
      </c>
      <c r="D8" s="24" t="s">
        <v>48</v>
      </c>
      <c r="E8" s="1">
        <v>579</v>
      </c>
      <c r="F8" s="1"/>
      <c r="G8" s="1"/>
      <c r="H8" s="1"/>
      <c r="I8" s="1"/>
      <c r="J8" s="2">
        <v>238</v>
      </c>
      <c r="K8" s="19">
        <f>LOOKUP($J8,'625 hL comp bas'!$A$2:$A$581,'625 hL comp bas'!$D$2:$D$581)</f>
        <v>432.48250000000002</v>
      </c>
      <c r="L8" s="16">
        <v>625</v>
      </c>
      <c r="M8" s="3" t="s">
        <v>42</v>
      </c>
      <c r="N8" s="1">
        <v>626.21</v>
      </c>
    </row>
    <row r="9" spans="1:17">
      <c r="A9" s="1" t="s">
        <v>39</v>
      </c>
      <c r="B9" s="1" t="s">
        <v>40</v>
      </c>
      <c r="C9" s="1">
        <v>1</v>
      </c>
      <c r="D9" s="24" t="s">
        <v>49</v>
      </c>
      <c r="E9" s="1">
        <v>880</v>
      </c>
      <c r="F9" s="1"/>
      <c r="G9" s="1"/>
      <c r="H9" s="1"/>
      <c r="I9" s="1"/>
      <c r="J9" s="2">
        <v>160</v>
      </c>
      <c r="K9" s="19">
        <f>LOOKUP($J9,'1250 hL comp bas'!$A$2:$A$873,'1250 hL comp bas'!$D$2:$D$873)</f>
        <v>1130.8677306117099</v>
      </c>
      <c r="L9" s="16">
        <v>1250</v>
      </c>
      <c r="M9" s="3" t="s">
        <v>42</v>
      </c>
      <c r="N9" s="1">
        <v>1248.73</v>
      </c>
    </row>
    <row r="10" spans="1:17">
      <c r="A10" s="1" t="s">
        <v>39</v>
      </c>
      <c r="B10" s="1" t="s">
        <v>40</v>
      </c>
      <c r="C10" s="1">
        <v>1</v>
      </c>
      <c r="D10" s="24" t="s">
        <v>50</v>
      </c>
      <c r="E10" s="1">
        <v>880</v>
      </c>
      <c r="F10" s="1"/>
      <c r="G10" s="1"/>
      <c r="H10" s="1"/>
      <c r="I10" s="1"/>
      <c r="J10" s="2">
        <v>89</v>
      </c>
      <c r="K10" s="19">
        <f>LOOKUP($J10,'1250 hL comp bas'!$A$2:$A$873,'1250 hL comp bas'!$D$2:$D$873)</f>
        <v>1238.1806000000001</v>
      </c>
      <c r="L10" s="16">
        <v>1250</v>
      </c>
      <c r="M10" s="3" t="s">
        <v>42</v>
      </c>
      <c r="N10" s="1">
        <v>1248.73</v>
      </c>
    </row>
    <row r="11" spans="1:17">
      <c r="A11" s="1" t="s">
        <v>39</v>
      </c>
      <c r="B11" s="1" t="s">
        <v>40</v>
      </c>
      <c r="C11" s="1">
        <v>1</v>
      </c>
      <c r="D11" s="9" t="s">
        <v>51</v>
      </c>
      <c r="E11" s="1">
        <v>1160</v>
      </c>
      <c r="F11" s="1"/>
      <c r="G11" s="1"/>
      <c r="H11" s="1"/>
      <c r="I11" s="1"/>
      <c r="J11" s="2">
        <v>180</v>
      </c>
      <c r="K11" s="19">
        <f>LOOKUP($E11-$J11,'2415 hL'!$A$2:$A$1153,'2415 hL'!$D$2:$D$1153)</f>
        <v>2178.86</v>
      </c>
      <c r="L11" s="16">
        <v>2415</v>
      </c>
      <c r="M11" s="3" t="s">
        <v>42</v>
      </c>
      <c r="N11" s="1">
        <v>2422.67</v>
      </c>
    </row>
    <row r="12" spans="1:17">
      <c r="A12" s="1" t="s">
        <v>39</v>
      </c>
      <c r="B12" s="1" t="s">
        <v>40</v>
      </c>
      <c r="C12" s="1">
        <v>1</v>
      </c>
      <c r="D12" s="9" t="s">
        <v>52</v>
      </c>
      <c r="E12" s="1">
        <v>1160</v>
      </c>
      <c r="F12" s="1"/>
      <c r="G12" s="1"/>
      <c r="H12" s="1"/>
      <c r="I12" s="1"/>
      <c r="J12" s="2">
        <v>45</v>
      </c>
      <c r="K12" s="19">
        <f>LOOKUP($E12-$J12,'2415 hL'!$A$2:$A$1153,'2415 hL'!$D$2:$D$1153)</f>
        <v>2419.87</v>
      </c>
      <c r="L12" s="16">
        <v>2415</v>
      </c>
      <c r="M12" s="3" t="s">
        <v>42</v>
      </c>
      <c r="N12" s="1">
        <v>2422.67</v>
      </c>
    </row>
    <row r="13" spans="1:17">
      <c r="A13" s="1" t="s">
        <v>39</v>
      </c>
      <c r="B13" s="1" t="s">
        <v>40</v>
      </c>
      <c r="C13" s="1">
        <v>2</v>
      </c>
      <c r="D13" s="9" t="s">
        <v>53</v>
      </c>
      <c r="E13" s="1">
        <v>542</v>
      </c>
      <c r="F13" s="1"/>
      <c r="G13" s="1"/>
      <c r="H13" s="1"/>
      <c r="I13" s="1"/>
      <c r="J13" s="2">
        <v>92</v>
      </c>
      <c r="K13" s="19">
        <f>LOOKUP($E13-$J13,'300 hL comp haut'!$A$2:$A$544,'300 hL comp haut'!$D$2:$D$544)</f>
        <v>288.17</v>
      </c>
      <c r="L13" s="16">
        <v>300</v>
      </c>
      <c r="M13" s="3" t="s">
        <v>42</v>
      </c>
      <c r="N13" s="1">
        <v>301.31</v>
      </c>
    </row>
    <row r="14" spans="1:17">
      <c r="A14" s="1" t="s">
        <v>39</v>
      </c>
      <c r="B14" s="1" t="s">
        <v>40</v>
      </c>
      <c r="C14" s="1">
        <v>2</v>
      </c>
      <c r="D14" s="9" t="s">
        <v>54</v>
      </c>
      <c r="E14" s="1">
        <v>542</v>
      </c>
      <c r="F14" s="1"/>
      <c r="G14" s="1"/>
      <c r="H14" s="1"/>
      <c r="I14" s="1"/>
      <c r="J14" s="2">
        <v>67</v>
      </c>
      <c r="K14" s="19">
        <f>LOOKUP($E14-$J14,'300 hL comp haut'!$A$2:$A$544,'300 hL comp haut'!$D$2:$D$544)</f>
        <v>299.10000000000002</v>
      </c>
      <c r="L14" s="16">
        <v>300</v>
      </c>
      <c r="M14" s="3" t="s">
        <v>42</v>
      </c>
      <c r="N14" s="1">
        <v>301.31</v>
      </c>
    </row>
    <row r="15" spans="1:17">
      <c r="A15" s="1" t="s">
        <v>39</v>
      </c>
      <c r="B15" s="1" t="s">
        <v>40</v>
      </c>
      <c r="C15" s="1">
        <v>2</v>
      </c>
      <c r="D15" s="9" t="s">
        <v>55</v>
      </c>
      <c r="E15" s="1">
        <v>542</v>
      </c>
      <c r="F15" s="1"/>
      <c r="G15" s="1"/>
      <c r="H15" s="1"/>
      <c r="I15" s="1"/>
      <c r="J15" s="2">
        <v>120</v>
      </c>
      <c r="K15" s="19">
        <f>LOOKUP($E15-$J15,'455 hL comp haut'!$A$2:$A$544,'455 hL comp haut'!$D$2:$D$544)</f>
        <v>413.15</v>
      </c>
      <c r="L15" s="16">
        <v>455</v>
      </c>
      <c r="M15" s="3" t="s">
        <v>42</v>
      </c>
      <c r="N15" s="1">
        <v>461.42</v>
      </c>
    </row>
    <row r="16" spans="1:17">
      <c r="A16" s="1" t="s">
        <v>39</v>
      </c>
      <c r="B16" s="1" t="s">
        <v>40</v>
      </c>
      <c r="C16" s="1">
        <v>2</v>
      </c>
      <c r="D16" s="9" t="s">
        <v>56</v>
      </c>
      <c r="E16" s="1">
        <v>542</v>
      </c>
      <c r="F16" s="1"/>
      <c r="G16" s="1"/>
      <c r="H16" s="1"/>
      <c r="I16" s="1"/>
      <c r="J16" s="2">
        <v>229</v>
      </c>
      <c r="K16" s="19">
        <f>LOOKUP($E16-$J16,'455 hL comp haut'!$A$2:$A$544,'455 hL comp haut'!$D$2:$D$544)</f>
        <v>311.99</v>
      </c>
      <c r="L16" s="16">
        <v>455</v>
      </c>
      <c r="M16" s="3" t="s">
        <v>42</v>
      </c>
      <c r="N16" s="1">
        <v>461.42</v>
      </c>
    </row>
    <row r="17" spans="1:14">
      <c r="A17" s="1" t="s">
        <v>39</v>
      </c>
      <c r="B17" s="1" t="s">
        <v>40</v>
      </c>
      <c r="C17" s="1">
        <v>2</v>
      </c>
      <c r="D17" s="9" t="s">
        <v>57</v>
      </c>
      <c r="E17" s="1">
        <v>542</v>
      </c>
      <c r="F17" s="1"/>
      <c r="G17" s="1"/>
      <c r="H17" s="1"/>
      <c r="I17" s="1"/>
      <c r="J17" s="2">
        <v>92</v>
      </c>
      <c r="K17" s="19">
        <f>LOOKUP($E17-$J17,'625 hL comp haut'!$A$2:$A$544,'625 hL comp haut'!$D$2:$D$544)</f>
        <v>599.66999999999996</v>
      </c>
      <c r="L17" s="16">
        <v>625</v>
      </c>
      <c r="M17" s="3" t="s">
        <v>42</v>
      </c>
      <c r="N17" s="1">
        <v>633.04999999999995</v>
      </c>
    </row>
    <row r="18" spans="1:14">
      <c r="A18" s="1" t="s">
        <v>39</v>
      </c>
      <c r="B18" s="1" t="s">
        <v>40</v>
      </c>
      <c r="C18" s="1">
        <v>2</v>
      </c>
      <c r="D18" s="9" t="s">
        <v>58</v>
      </c>
      <c r="E18" s="1">
        <v>542</v>
      </c>
      <c r="F18" s="1"/>
      <c r="G18" s="1"/>
      <c r="H18" s="1"/>
      <c r="I18" s="1"/>
      <c r="J18" s="2">
        <v>60</v>
      </c>
      <c r="K18" s="19">
        <f>LOOKUP($E18-$J18,'625 hL comp haut'!$A$2:$A$544,'625 hL comp haut'!$D$2:$D$544)</f>
        <v>628.07000000000005</v>
      </c>
      <c r="L18" s="16">
        <v>625</v>
      </c>
      <c r="M18" s="3" t="s">
        <v>42</v>
      </c>
      <c r="N18" s="1">
        <v>633.04999999999995</v>
      </c>
    </row>
    <row r="19" spans="1:14">
      <c r="A19" s="1" t="s">
        <v>39</v>
      </c>
      <c r="B19" s="1" t="s">
        <v>40</v>
      </c>
      <c r="C19" s="1">
        <v>2</v>
      </c>
      <c r="D19" s="9" t="s">
        <v>59</v>
      </c>
      <c r="E19" s="1">
        <v>251</v>
      </c>
      <c r="F19" s="1"/>
      <c r="G19" s="1"/>
      <c r="H19" s="1"/>
      <c r="I19" s="1"/>
      <c r="J19" s="2">
        <v>110</v>
      </c>
      <c r="K19" s="19">
        <f>LOOKUP($E19-$J19,'335 hL comp haut'!$A$2:$A$253,'335 hL comp haut'!$D$2:$D$253)</f>
        <v>268.67</v>
      </c>
      <c r="L19" s="16">
        <v>335</v>
      </c>
      <c r="M19" s="3" t="s">
        <v>42</v>
      </c>
      <c r="N19" s="1">
        <v>345</v>
      </c>
    </row>
    <row r="20" spans="1:14">
      <c r="A20" s="1" t="s">
        <v>39</v>
      </c>
      <c r="B20" s="1" t="s">
        <v>40</v>
      </c>
      <c r="C20" s="1">
        <v>2</v>
      </c>
      <c r="D20" s="9" t="s">
        <v>60</v>
      </c>
      <c r="E20" s="1">
        <v>251</v>
      </c>
      <c r="F20" s="1"/>
      <c r="G20" s="1"/>
      <c r="H20" s="1"/>
      <c r="I20" s="1"/>
      <c r="J20" s="2">
        <v>88</v>
      </c>
      <c r="K20" s="19">
        <f>LOOKUP($E20-$J20,'335 hL comp haut'!$A$2:$A$253,'335 hL comp haut'!$D$2:$D$253)</f>
        <v>303.62</v>
      </c>
      <c r="L20" s="16">
        <v>335</v>
      </c>
      <c r="M20" s="3" t="s">
        <v>42</v>
      </c>
      <c r="N20" s="1">
        <v>345</v>
      </c>
    </row>
    <row r="21" spans="1:14">
      <c r="A21" s="1" t="s">
        <v>39</v>
      </c>
      <c r="B21" s="1" t="s">
        <v>61</v>
      </c>
      <c r="C21" s="1">
        <v>1</v>
      </c>
      <c r="D21" s="9" t="s">
        <v>62</v>
      </c>
      <c r="E21" s="1">
        <v>520</v>
      </c>
      <c r="F21" s="1"/>
      <c r="G21" s="11">
        <f>L21/E21</f>
        <v>1.6346153846153846</v>
      </c>
      <c r="H21" s="11">
        <v>60</v>
      </c>
      <c r="I21" s="11"/>
      <c r="J21" s="2">
        <v>200</v>
      </c>
      <c r="K21" s="18">
        <f>IF(J21&lt;60,"",(H21+E21-J21)*G21)</f>
        <v>621.15384615384619</v>
      </c>
      <c r="L21" s="16">
        <v>850</v>
      </c>
      <c r="M21" s="3" t="s">
        <v>42</v>
      </c>
      <c r="N21" s="1">
        <v>850</v>
      </c>
    </row>
    <row r="22" spans="1:14">
      <c r="A22" s="1" t="s">
        <v>39</v>
      </c>
      <c r="B22" s="1" t="s">
        <v>61</v>
      </c>
      <c r="C22" s="1">
        <v>1</v>
      </c>
      <c r="D22" s="24" t="s">
        <v>63</v>
      </c>
      <c r="E22" s="1">
        <v>579</v>
      </c>
      <c r="F22" s="1"/>
      <c r="G22" s="1"/>
      <c r="H22" s="1"/>
      <c r="I22" s="1"/>
      <c r="J22" s="2">
        <v>308</v>
      </c>
      <c r="K22" s="19">
        <f>LOOKUP($J22,'300 hL comp bas'!$A$2:$A$585,'300 hL comp bas'!$D$2:$D$585)</f>
        <v>169.87534567800219</v>
      </c>
      <c r="L22" s="16">
        <v>300</v>
      </c>
      <c r="M22" s="3" t="s">
        <v>42</v>
      </c>
      <c r="N22" s="1">
        <v>311.42</v>
      </c>
    </row>
    <row r="23" spans="1:14">
      <c r="A23" s="1" t="s">
        <v>39</v>
      </c>
      <c r="B23" s="1" t="s">
        <v>61</v>
      </c>
      <c r="C23" s="1">
        <v>1</v>
      </c>
      <c r="D23" s="24" t="s">
        <v>64</v>
      </c>
      <c r="E23" s="1">
        <v>579</v>
      </c>
      <c r="F23" s="1"/>
      <c r="G23" s="1"/>
      <c r="H23" s="1"/>
      <c r="I23" s="1"/>
      <c r="J23" s="2">
        <v>106</v>
      </c>
      <c r="K23" s="19">
        <f>LOOKUP($J23,'300 hL comp bas'!$A$2:$A$585,'300 hL comp bas'!$D$2:$D$585)</f>
        <v>294.28520000000003</v>
      </c>
      <c r="L23" s="16">
        <v>300</v>
      </c>
      <c r="M23" s="3" t="s">
        <v>42</v>
      </c>
      <c r="N23" s="1">
        <v>311.42</v>
      </c>
    </row>
    <row r="24" spans="1:14">
      <c r="A24" s="1" t="s">
        <v>39</v>
      </c>
      <c r="B24" s="1" t="s">
        <v>61</v>
      </c>
      <c r="C24" s="1">
        <v>1</v>
      </c>
      <c r="D24" s="24" t="s">
        <v>65</v>
      </c>
      <c r="E24" s="1">
        <v>579</v>
      </c>
      <c r="F24" s="1"/>
      <c r="G24" s="1"/>
      <c r="H24" s="1"/>
      <c r="I24" s="1"/>
      <c r="J24" s="2">
        <v>160</v>
      </c>
      <c r="K24" s="19">
        <f>LOOKUP($J24,'465 hL comp bas'!$A$2:$A$585,'465 hL comp bas'!$D$2:$D$585)</f>
        <v>401.31204973800016</v>
      </c>
      <c r="L24" s="16">
        <v>465</v>
      </c>
      <c r="M24" s="3" t="s">
        <v>42</v>
      </c>
      <c r="N24" s="1">
        <v>466.14</v>
      </c>
    </row>
    <row r="25" spans="1:14">
      <c r="A25" s="1" t="s">
        <v>39</v>
      </c>
      <c r="B25" s="1" t="s">
        <v>61</v>
      </c>
      <c r="C25" s="1">
        <v>1</v>
      </c>
      <c r="D25" s="24" t="s">
        <v>66</v>
      </c>
      <c r="E25" s="1">
        <v>579</v>
      </c>
      <c r="F25" s="1"/>
      <c r="G25" s="1"/>
      <c r="H25" s="1"/>
      <c r="I25" s="1"/>
      <c r="J25" s="2">
        <v>380</v>
      </c>
      <c r="K25" s="19">
        <f>LOOKUP($J25,'465 hL comp bas'!$A$2:$A$585,'465 hL comp bas'!$D$2:$D$585)</f>
        <v>208.27590732199974</v>
      </c>
      <c r="L25" s="16">
        <v>465</v>
      </c>
      <c r="M25" s="3" t="s">
        <v>42</v>
      </c>
      <c r="N25" s="1">
        <v>466.14</v>
      </c>
    </row>
    <row r="26" spans="1:14">
      <c r="A26" s="1" t="s">
        <v>39</v>
      </c>
      <c r="B26" s="1" t="s">
        <v>61</v>
      </c>
      <c r="C26" s="1">
        <v>1</v>
      </c>
      <c r="D26" s="24" t="s">
        <v>67</v>
      </c>
      <c r="E26" s="1">
        <v>579</v>
      </c>
      <c r="F26" s="1"/>
      <c r="G26" s="1"/>
      <c r="H26" s="1"/>
      <c r="I26" s="1"/>
      <c r="J26" s="2">
        <v>120</v>
      </c>
      <c r="K26" s="19">
        <f>LOOKUP($J26,'625 hL comp bas'!$A$2:$A$581,'625 hL comp bas'!$D$2:$D$581)</f>
        <v>580.65570000000002</v>
      </c>
      <c r="L26" s="16">
        <v>625</v>
      </c>
      <c r="M26" s="3" t="s">
        <v>42</v>
      </c>
      <c r="N26" s="1">
        <v>626.21</v>
      </c>
    </row>
    <row r="27" spans="1:14">
      <c r="A27" s="1" t="s">
        <v>39</v>
      </c>
      <c r="B27" s="1" t="s">
        <v>61</v>
      </c>
      <c r="C27" s="1">
        <v>1</v>
      </c>
      <c r="D27" s="24" t="s">
        <v>68</v>
      </c>
      <c r="E27" s="1">
        <v>579</v>
      </c>
      <c r="F27" s="1"/>
      <c r="G27" s="1"/>
      <c r="H27" s="1"/>
      <c r="I27" s="1"/>
      <c r="J27" s="2">
        <v>105</v>
      </c>
      <c r="K27" s="19">
        <f>LOOKUP($J27,'625 hL comp bas'!$A$2:$A$581,'625 hL comp bas'!$D$2:$D$581)</f>
        <v>599.62800000000004</v>
      </c>
      <c r="L27" s="16">
        <v>625</v>
      </c>
      <c r="M27" s="3" t="s">
        <v>42</v>
      </c>
      <c r="N27" s="1">
        <v>626.21</v>
      </c>
    </row>
    <row r="28" spans="1:14">
      <c r="A28" s="1" t="s">
        <v>39</v>
      </c>
      <c r="B28" s="1" t="s">
        <v>61</v>
      </c>
      <c r="C28" s="1">
        <v>1</v>
      </c>
      <c r="D28" s="24" t="s">
        <v>69</v>
      </c>
      <c r="E28" s="1">
        <v>880</v>
      </c>
      <c r="F28" s="1"/>
      <c r="G28" s="1"/>
      <c r="H28" s="1"/>
      <c r="I28" s="1"/>
      <c r="J28" s="2">
        <v>205</v>
      </c>
      <c r="K28" s="19">
        <f>LOOKUP($J28,'1250 hL comp bas ISOTHERMES'!$A$2:$A$873,'1250 hL comp bas ISOTHERMES'!$D$2:$D$873)</f>
        <v>1095.8278253376009</v>
      </c>
      <c r="L28" s="16">
        <v>1250</v>
      </c>
      <c r="M28" s="3" t="s">
        <v>42</v>
      </c>
      <c r="N28" s="1">
        <v>1248.73</v>
      </c>
    </row>
    <row r="29" spans="1:14">
      <c r="A29" s="1" t="s">
        <v>39</v>
      </c>
      <c r="B29" s="1" t="s">
        <v>61</v>
      </c>
      <c r="C29" s="1">
        <v>1</v>
      </c>
      <c r="D29" s="24" t="s">
        <v>70</v>
      </c>
      <c r="E29" s="1">
        <v>880</v>
      </c>
      <c r="F29" s="1"/>
      <c r="G29" s="1"/>
      <c r="H29" s="1"/>
      <c r="I29" s="1"/>
      <c r="J29" s="2">
        <v>156</v>
      </c>
      <c r="K29" s="19">
        <f>LOOKUP($J29,'1250 hL comp bas ISOTHERMES'!$A$2:$A$873,'1250 hL comp bas ISOTHERMES'!$D$2:$D$873)</f>
        <v>1165.6253599999995</v>
      </c>
      <c r="L29" s="16">
        <v>1250</v>
      </c>
      <c r="M29" s="3" t="s">
        <v>42</v>
      </c>
      <c r="N29" s="1">
        <v>1248.73</v>
      </c>
    </row>
    <row r="30" spans="1:14">
      <c r="A30" s="1" t="s">
        <v>39</v>
      </c>
      <c r="B30" s="1" t="s">
        <v>61</v>
      </c>
      <c r="C30" s="1">
        <v>1</v>
      </c>
      <c r="D30" s="9" t="s">
        <v>71</v>
      </c>
      <c r="E30" s="1">
        <v>1160</v>
      </c>
      <c r="F30" s="1"/>
      <c r="G30" s="1"/>
      <c r="H30" s="1"/>
      <c r="I30" s="1"/>
      <c r="J30" s="2">
        <v>230</v>
      </c>
      <c r="K30" s="19">
        <f>LOOKUP($E30-$J30,'2415 hL'!$A$2:$A$1153,'2415 hL'!$D$2:$D$1153)</f>
        <v>2067.9299999999998</v>
      </c>
      <c r="L30" s="16">
        <v>2415</v>
      </c>
      <c r="M30" s="3" t="s">
        <v>42</v>
      </c>
      <c r="N30" s="1">
        <v>2422.67</v>
      </c>
    </row>
    <row r="31" spans="1:14">
      <c r="A31" s="1" t="s">
        <v>39</v>
      </c>
      <c r="B31" s="1" t="s">
        <v>61</v>
      </c>
      <c r="C31" s="1">
        <v>1</v>
      </c>
      <c r="D31" s="9" t="s">
        <v>72</v>
      </c>
      <c r="E31" s="1">
        <v>1160</v>
      </c>
      <c r="F31" s="1"/>
      <c r="G31" s="1"/>
      <c r="H31" s="1"/>
      <c r="I31" s="1"/>
      <c r="J31" s="2">
        <v>270</v>
      </c>
      <c r="K31" s="19">
        <f>LOOKUP($E31-$J31,'2415 hL'!A31:A1182,'2415 hL'!D31:D1182)</f>
        <v>1979.18</v>
      </c>
      <c r="L31" s="16">
        <v>2415</v>
      </c>
      <c r="M31" s="3" t="s">
        <v>42</v>
      </c>
      <c r="N31" s="1">
        <v>2422.67</v>
      </c>
    </row>
    <row r="32" spans="1:14">
      <c r="A32" s="1" t="s">
        <v>39</v>
      </c>
      <c r="B32" s="1" t="s">
        <v>61</v>
      </c>
      <c r="C32" s="1">
        <v>2</v>
      </c>
      <c r="D32" s="9" t="s">
        <v>73</v>
      </c>
      <c r="E32" s="1">
        <v>542</v>
      </c>
      <c r="F32" s="1"/>
      <c r="G32" s="1"/>
      <c r="H32" s="1"/>
      <c r="I32" s="1"/>
      <c r="J32" s="2">
        <v>10</v>
      </c>
      <c r="K32" s="19">
        <f>LOOKUP($E32-$J32,'300 hL comp haut'!$A$2:$A$544,'300 hL comp haut'!$D$2:$D$544)</f>
        <v>301.12</v>
      </c>
      <c r="L32" s="16">
        <v>300</v>
      </c>
      <c r="M32" s="3" t="s">
        <v>42</v>
      </c>
      <c r="N32" s="1">
        <v>301.31</v>
      </c>
    </row>
    <row r="33" spans="1:14">
      <c r="A33" s="1" t="s">
        <v>39</v>
      </c>
      <c r="B33" s="1" t="s">
        <v>61</v>
      </c>
      <c r="C33" s="1">
        <v>2</v>
      </c>
      <c r="D33" s="9" t="s">
        <v>74</v>
      </c>
      <c r="E33" s="1">
        <v>542</v>
      </c>
      <c r="F33" s="1"/>
      <c r="G33" s="1"/>
      <c r="H33" s="1"/>
      <c r="I33" s="1"/>
      <c r="J33" s="2">
        <v>127</v>
      </c>
      <c r="K33" s="19">
        <f>LOOKUP($E33-$J33,'300 hL comp haut'!$A$2:$A$544,'300 hL comp haut'!$D$2:$D$544)</f>
        <v>266.64999999999998</v>
      </c>
      <c r="L33" s="16">
        <v>300</v>
      </c>
      <c r="M33" s="3" t="s">
        <v>42</v>
      </c>
      <c r="N33" s="1">
        <v>301.31</v>
      </c>
    </row>
    <row r="34" spans="1:14">
      <c r="A34" s="1" t="s">
        <v>39</v>
      </c>
      <c r="B34" s="1" t="s">
        <v>61</v>
      </c>
      <c r="C34" s="1">
        <v>2</v>
      </c>
      <c r="D34" s="9" t="s">
        <v>75</v>
      </c>
      <c r="E34" s="1">
        <v>542</v>
      </c>
      <c r="F34" s="1"/>
      <c r="G34" s="1"/>
      <c r="H34" s="1"/>
      <c r="I34" s="1"/>
      <c r="J34" s="2">
        <v>128</v>
      </c>
      <c r="K34" s="19">
        <f>LOOKUP($E34-$J34,'455 hL comp haut'!$A$2:$A$544,'455 hL comp haut'!$D$2:$D$544)</f>
        <v>405.73</v>
      </c>
      <c r="L34" s="16">
        <v>455</v>
      </c>
      <c r="M34" s="3" t="s">
        <v>42</v>
      </c>
      <c r="N34" s="1">
        <v>461.42</v>
      </c>
    </row>
    <row r="35" spans="1:14">
      <c r="A35" s="1" t="s">
        <v>39</v>
      </c>
      <c r="B35" s="1" t="s">
        <v>61</v>
      </c>
      <c r="C35" s="1">
        <v>2</v>
      </c>
      <c r="D35" s="9" t="s">
        <v>76</v>
      </c>
      <c r="E35" s="1">
        <v>542</v>
      </c>
      <c r="F35" s="1"/>
      <c r="G35" s="1"/>
      <c r="H35" s="1"/>
      <c r="I35" s="1"/>
      <c r="J35" s="2">
        <v>278</v>
      </c>
      <c r="K35" s="19">
        <f>LOOKUP($E35-$J35,'455 hL comp haut'!$A$2:$A$544,'455 hL comp haut'!$D$2:$D$544)</f>
        <v>266.51</v>
      </c>
      <c r="L35" s="16">
        <v>455</v>
      </c>
      <c r="M35" s="3" t="s">
        <v>42</v>
      </c>
      <c r="N35" s="1">
        <v>461.42</v>
      </c>
    </row>
    <row r="36" spans="1:14">
      <c r="A36" s="1" t="s">
        <v>39</v>
      </c>
      <c r="B36" s="1" t="s">
        <v>61</v>
      </c>
      <c r="C36" s="1">
        <v>2</v>
      </c>
      <c r="D36" s="9" t="s">
        <v>77</v>
      </c>
      <c r="E36" s="1">
        <v>542</v>
      </c>
      <c r="F36" s="1"/>
      <c r="G36" s="1"/>
      <c r="H36" s="1"/>
      <c r="I36" s="1"/>
      <c r="J36" s="2">
        <v>175</v>
      </c>
      <c r="K36" s="19">
        <f>LOOKUP($E36-$J36,'625 hL comp haut'!$A$2:$A$544,'625 hL comp haut'!$D$2:$D$544)</f>
        <v>495.5</v>
      </c>
      <c r="L36" s="16">
        <v>625</v>
      </c>
      <c r="M36" s="3" t="s">
        <v>42</v>
      </c>
      <c r="N36" s="1">
        <v>633.04999999999995</v>
      </c>
    </row>
    <row r="37" spans="1:14">
      <c r="A37" s="1" t="s">
        <v>39</v>
      </c>
      <c r="B37" s="1" t="s">
        <v>61</v>
      </c>
      <c r="C37" s="1">
        <v>2</v>
      </c>
      <c r="D37" s="9" t="s">
        <v>78</v>
      </c>
      <c r="E37" s="1">
        <v>542</v>
      </c>
      <c r="F37" s="1"/>
      <c r="G37" s="1"/>
      <c r="H37" s="1"/>
      <c r="I37" s="1"/>
      <c r="J37" s="2">
        <v>68</v>
      </c>
      <c r="K37" s="19">
        <f>LOOKUP($E37-$J37,'625 hL comp haut'!$A$2:$A$544,'625 hL comp haut'!$D$2:$D$544)</f>
        <v>624.07000000000005</v>
      </c>
      <c r="L37" s="16">
        <v>625</v>
      </c>
      <c r="M37" s="3" t="s">
        <v>42</v>
      </c>
      <c r="N37" s="1">
        <v>633.04999999999995</v>
      </c>
    </row>
    <row r="38" spans="1:14">
      <c r="A38" s="1" t="s">
        <v>39</v>
      </c>
      <c r="B38" s="1" t="s">
        <v>61</v>
      </c>
      <c r="C38" s="1">
        <v>2</v>
      </c>
      <c r="D38" s="9" t="s">
        <v>79</v>
      </c>
      <c r="E38" s="1">
        <v>251</v>
      </c>
      <c r="F38" s="1"/>
      <c r="G38" s="1"/>
      <c r="H38" s="1"/>
      <c r="I38" s="1"/>
      <c r="J38" s="2">
        <v>63</v>
      </c>
      <c r="K38" s="19">
        <f>LOOKUP($E38-$J38,'335 hL comp haut'!$A$2:$A$253,'335 hL comp haut'!$D$2:$D$253)</f>
        <v>333.73</v>
      </c>
      <c r="L38" s="16">
        <v>335</v>
      </c>
      <c r="M38" s="3" t="s">
        <v>42</v>
      </c>
      <c r="N38" s="1">
        <v>345</v>
      </c>
    </row>
    <row r="39" spans="1:14">
      <c r="A39" s="1" t="s">
        <v>39</v>
      </c>
      <c r="B39" s="1" t="s">
        <v>61</v>
      </c>
      <c r="C39" s="1">
        <v>2</v>
      </c>
      <c r="D39" s="9" t="s">
        <v>80</v>
      </c>
      <c r="E39" s="1">
        <v>251</v>
      </c>
      <c r="F39" s="1"/>
      <c r="G39" s="1"/>
      <c r="H39" s="1"/>
      <c r="I39" s="1"/>
      <c r="J39" s="2">
        <v>84</v>
      </c>
      <c r="K39" s="19">
        <f>LOOKUP($E39-$J39,'335 hL comp haut'!$A$2:$A$253,'335 hL comp haut'!$D$2:$D$253)</f>
        <v>309.95</v>
      </c>
      <c r="L39" s="16">
        <v>335</v>
      </c>
      <c r="M39" s="3" t="s">
        <v>42</v>
      </c>
      <c r="N39" s="1">
        <v>345</v>
      </c>
    </row>
    <row r="40" spans="1:14">
      <c r="A40" s="1" t="s">
        <v>39</v>
      </c>
      <c r="B40" s="1" t="s">
        <v>81</v>
      </c>
      <c r="C40" s="1">
        <v>1</v>
      </c>
      <c r="D40" s="9" t="s">
        <v>82</v>
      </c>
      <c r="E40" s="1">
        <v>520</v>
      </c>
      <c r="F40" s="1"/>
      <c r="G40" s="11">
        <f>L40/E40</f>
        <v>1.6346153846153846</v>
      </c>
      <c r="H40" s="11">
        <v>60</v>
      </c>
      <c r="I40" s="11"/>
      <c r="J40" s="2">
        <v>430</v>
      </c>
      <c r="K40" s="18">
        <f>IF(J40&lt;60,"",(H40+E40-J40)*G40)</f>
        <v>245.19230769230768</v>
      </c>
      <c r="L40" s="16">
        <v>850</v>
      </c>
      <c r="M40" s="3" t="s">
        <v>42</v>
      </c>
      <c r="N40" s="1">
        <v>850</v>
      </c>
    </row>
    <row r="41" spans="1:14">
      <c r="A41" s="1" t="s">
        <v>39</v>
      </c>
      <c r="B41" s="1" t="s">
        <v>81</v>
      </c>
      <c r="C41" s="1">
        <v>1</v>
      </c>
      <c r="D41" s="24" t="s">
        <v>83</v>
      </c>
      <c r="E41" s="1">
        <v>579</v>
      </c>
      <c r="F41" s="1"/>
      <c r="G41" s="1"/>
      <c r="H41" s="1"/>
      <c r="I41" s="1"/>
      <c r="J41" s="2">
        <v>158</v>
      </c>
      <c r="K41" s="19">
        <f>LOOKUP($J41,'300 hL comp bas'!$A$2:$A$585,'300 hL comp bas'!$D$2:$D$585)</f>
        <v>262.07330977800018</v>
      </c>
      <c r="L41" s="16">
        <v>300</v>
      </c>
      <c r="M41" s="3" t="s">
        <v>42</v>
      </c>
      <c r="N41" s="1">
        <v>311.42</v>
      </c>
    </row>
    <row r="42" spans="1:14">
      <c r="A42" s="1" t="s">
        <v>39</v>
      </c>
      <c r="B42" s="1" t="s">
        <v>81</v>
      </c>
      <c r="C42" s="1">
        <v>1</v>
      </c>
      <c r="D42" s="24" t="s">
        <v>84</v>
      </c>
      <c r="E42" s="1">
        <v>579</v>
      </c>
      <c r="F42" s="1"/>
      <c r="G42" s="1"/>
      <c r="H42" s="1"/>
      <c r="I42" s="1"/>
      <c r="J42" s="2">
        <v>130</v>
      </c>
      <c r="K42" s="19">
        <f>LOOKUP($J42,'300 hL comp bas'!$A$2:$A$585,'300 hL comp bas'!$D$2:$D$585)</f>
        <v>279.30529999999999</v>
      </c>
      <c r="L42" s="16">
        <v>300</v>
      </c>
      <c r="M42" s="3" t="s">
        <v>42</v>
      </c>
      <c r="N42" s="1">
        <v>311.42</v>
      </c>
    </row>
    <row r="43" spans="1:14">
      <c r="A43" s="1" t="s">
        <v>39</v>
      </c>
      <c r="B43" s="1" t="s">
        <v>81</v>
      </c>
      <c r="C43" s="1">
        <v>1</v>
      </c>
      <c r="D43" s="24" t="s">
        <v>85</v>
      </c>
      <c r="E43" s="1">
        <v>579</v>
      </c>
      <c r="F43" s="1"/>
      <c r="G43" s="1"/>
      <c r="H43" s="1"/>
      <c r="I43" s="1"/>
      <c r="J43" s="2">
        <v>125</v>
      </c>
      <c r="K43" s="19">
        <f>LOOKUP($J43,'465 hL comp bas'!$A$2:$A$585,'465 hL comp bas'!$D$2:$D$585)</f>
        <v>432.03913999999992</v>
      </c>
      <c r="L43" s="16">
        <v>465</v>
      </c>
      <c r="M43" s="3" t="s">
        <v>42</v>
      </c>
      <c r="N43" s="1">
        <v>466.14</v>
      </c>
    </row>
    <row r="44" spans="1:14">
      <c r="A44" s="1" t="s">
        <v>39</v>
      </c>
      <c r="B44" s="1" t="s">
        <v>81</v>
      </c>
      <c r="C44" s="1">
        <v>1</v>
      </c>
      <c r="D44" s="24" t="s">
        <v>86</v>
      </c>
      <c r="E44" s="1">
        <v>579</v>
      </c>
      <c r="F44" s="1"/>
      <c r="G44" s="1"/>
      <c r="H44" s="1"/>
      <c r="I44" s="1"/>
      <c r="J44" s="2">
        <v>177</v>
      </c>
      <c r="K44" s="19">
        <f>LOOKUP($J44,'465 hL comp bas'!$A$2:$A$585,'465 hL comp bas'!$D$2:$D$585)</f>
        <v>386.46311570600045</v>
      </c>
      <c r="L44" s="16">
        <v>465</v>
      </c>
      <c r="M44" s="3" t="s">
        <v>42</v>
      </c>
      <c r="N44" s="1">
        <v>466.14</v>
      </c>
    </row>
    <row r="45" spans="1:14">
      <c r="A45" s="1" t="s">
        <v>39</v>
      </c>
      <c r="B45" s="1" t="s">
        <v>81</v>
      </c>
      <c r="C45" s="1">
        <v>1</v>
      </c>
      <c r="D45" s="24" t="s">
        <v>87</v>
      </c>
      <c r="E45" s="1">
        <v>579</v>
      </c>
      <c r="F45" s="1"/>
      <c r="G45" s="1"/>
      <c r="H45" s="1"/>
      <c r="I45" s="1"/>
      <c r="J45" s="2">
        <v>274</v>
      </c>
      <c r="K45" s="19">
        <f>LOOKUP($J45,'625 hL comp bas'!$A$2:$A$581,'625 hL comp bas'!$D$2:$D$581)</f>
        <v>387.30250000000001</v>
      </c>
      <c r="L45" s="16">
        <v>625</v>
      </c>
      <c r="M45" s="3" t="s">
        <v>42</v>
      </c>
      <c r="N45" s="1">
        <v>626.21</v>
      </c>
    </row>
    <row r="46" spans="1:14">
      <c r="A46" s="1" t="s">
        <v>39</v>
      </c>
      <c r="B46" s="1" t="s">
        <v>81</v>
      </c>
      <c r="C46" s="1">
        <v>1</v>
      </c>
      <c r="D46" s="24" t="s">
        <v>88</v>
      </c>
      <c r="E46" s="1">
        <v>579</v>
      </c>
      <c r="F46" s="1"/>
      <c r="G46" s="1"/>
      <c r="H46" s="1"/>
      <c r="I46" s="1"/>
      <c r="J46" s="2">
        <v>240</v>
      </c>
      <c r="K46" s="19">
        <f>LOOKUP($J46,'625 hL comp bas'!$A$2:$A$581,'625 hL comp bas'!$D$2:$D$581)</f>
        <v>429.97250000000003</v>
      </c>
      <c r="L46" s="16">
        <v>625</v>
      </c>
      <c r="M46" s="3" t="s">
        <v>42</v>
      </c>
      <c r="N46" s="1">
        <v>626.21</v>
      </c>
    </row>
    <row r="47" spans="1:14">
      <c r="A47" s="1" t="s">
        <v>39</v>
      </c>
      <c r="B47" s="1" t="s">
        <v>81</v>
      </c>
      <c r="C47" s="1">
        <v>1</v>
      </c>
      <c r="D47" s="24" t="s">
        <v>89</v>
      </c>
      <c r="E47" s="1">
        <v>880</v>
      </c>
      <c r="F47" s="1"/>
      <c r="G47" s="1"/>
      <c r="H47" s="1"/>
      <c r="I47" s="1"/>
      <c r="J47" s="2">
        <v>100</v>
      </c>
      <c r="K47" s="19">
        <f>LOOKUP($J47,'1250 hL comp bas ISOTHERMES'!$A$2:$A$873,'1250 hL comp bas ISOTHERMES'!$D$2:$D$873)</f>
        <v>1237.1559999999995</v>
      </c>
      <c r="L47" s="16">
        <v>1250</v>
      </c>
      <c r="M47" s="3" t="s">
        <v>42</v>
      </c>
      <c r="N47" s="1">
        <v>1248.73</v>
      </c>
    </row>
    <row r="48" spans="1:14">
      <c r="A48" s="1" t="s">
        <v>39</v>
      </c>
      <c r="B48" s="1" t="s">
        <v>81</v>
      </c>
      <c r="C48" s="1">
        <v>1</v>
      </c>
      <c r="D48" s="24" t="s">
        <v>90</v>
      </c>
      <c r="E48" s="1">
        <v>880</v>
      </c>
      <c r="F48" s="1"/>
      <c r="G48" s="1"/>
      <c r="H48" s="1"/>
      <c r="I48" s="1"/>
      <c r="J48" s="2">
        <v>245</v>
      </c>
      <c r="K48" s="19">
        <f>LOOKUP($J48,'1250 hL comp bas ISOTHERMES'!$A$2:$A$873,'1250 hL comp bas ISOTHERMES'!$D$2:$D$873)</f>
        <v>1038.7248788424019</v>
      </c>
      <c r="L48" s="16">
        <v>1250</v>
      </c>
      <c r="M48" s="3" t="s">
        <v>42</v>
      </c>
      <c r="N48" s="1">
        <v>1248.73</v>
      </c>
    </row>
    <row r="49" spans="1:14">
      <c r="A49" s="1" t="s">
        <v>39</v>
      </c>
      <c r="B49" s="1" t="s">
        <v>81</v>
      </c>
      <c r="C49" s="1">
        <v>1</v>
      </c>
      <c r="D49" s="9" t="s">
        <v>91</v>
      </c>
      <c r="E49" s="1">
        <v>1160</v>
      </c>
      <c r="F49" s="1"/>
      <c r="G49" s="1"/>
      <c r="H49" s="1"/>
      <c r="I49" s="1"/>
      <c r="J49" s="2">
        <v>270</v>
      </c>
      <c r="K49" s="19">
        <f>LOOKUP($E49-$J49,'2415 hL'!$A$2:$A$1153,'2415 hL'!$D$2:$D$1153)</f>
        <v>1979.18</v>
      </c>
      <c r="L49" s="16">
        <v>2415</v>
      </c>
      <c r="M49" s="3" t="s">
        <v>42</v>
      </c>
      <c r="N49" s="1">
        <v>2422.67</v>
      </c>
    </row>
    <row r="50" spans="1:14">
      <c r="A50" s="1" t="s">
        <v>39</v>
      </c>
      <c r="B50" s="1" t="s">
        <v>81</v>
      </c>
      <c r="C50" s="1">
        <v>1</v>
      </c>
      <c r="D50" s="9" t="s">
        <v>92</v>
      </c>
      <c r="E50" s="1">
        <v>1160</v>
      </c>
      <c r="F50" s="1"/>
      <c r="G50" s="1"/>
      <c r="H50" s="1"/>
      <c r="I50" s="1"/>
      <c r="J50" s="2">
        <v>318</v>
      </c>
      <c r="K50" s="19">
        <f>LOOKUP($E50-$J50,'2415 hL'!$A$2:$A$1153,'2415 hL'!$D$2:$D$1153)</f>
        <v>1872.68</v>
      </c>
      <c r="L50" s="16">
        <v>2415</v>
      </c>
      <c r="M50" s="3" t="s">
        <v>42</v>
      </c>
      <c r="N50" s="1">
        <v>2422.67</v>
      </c>
    </row>
    <row r="51" spans="1:14">
      <c r="A51" s="1" t="s">
        <v>39</v>
      </c>
      <c r="B51" s="1" t="s">
        <v>81</v>
      </c>
      <c r="C51" s="1">
        <v>2</v>
      </c>
      <c r="D51" s="9" t="s">
        <v>93</v>
      </c>
      <c r="E51" s="1">
        <v>542</v>
      </c>
      <c r="F51" s="1"/>
      <c r="G51" s="1"/>
      <c r="H51" s="1"/>
      <c r="I51" s="1"/>
      <c r="J51" s="2"/>
      <c r="K51" s="19">
        <f>LOOKUP($E51-$J51,'300 hL comp haut'!$A$2:$A$544,'300 hL comp haut'!$D$2:$D$544)</f>
        <v>301.31</v>
      </c>
      <c r="L51" s="16">
        <v>300</v>
      </c>
      <c r="M51" s="3" t="s">
        <v>42</v>
      </c>
      <c r="N51" s="1">
        <v>301.31</v>
      </c>
    </row>
    <row r="52" spans="1:14">
      <c r="A52" s="1" t="s">
        <v>39</v>
      </c>
      <c r="B52" s="1" t="s">
        <v>81</v>
      </c>
      <c r="C52" s="1">
        <v>2</v>
      </c>
      <c r="D52" s="9" t="s">
        <v>94</v>
      </c>
      <c r="E52" s="1">
        <v>542</v>
      </c>
      <c r="F52" s="1"/>
      <c r="G52" s="1"/>
      <c r="H52" s="1"/>
      <c r="I52" s="1"/>
      <c r="J52" s="2">
        <v>315</v>
      </c>
      <c r="K52" s="19">
        <f>LOOKUP($E52-$J52,'300 hL comp haut'!$A$2:$A$544,'300 hL comp haut'!$D$2:$D$544)</f>
        <v>151.09</v>
      </c>
      <c r="L52" s="16">
        <v>300</v>
      </c>
      <c r="M52" s="3" t="s">
        <v>42</v>
      </c>
      <c r="N52" s="1">
        <v>301.31</v>
      </c>
    </row>
    <row r="53" spans="1:14">
      <c r="A53" s="1" t="s">
        <v>39</v>
      </c>
      <c r="B53" s="1" t="s">
        <v>81</v>
      </c>
      <c r="C53" s="1">
        <v>2</v>
      </c>
      <c r="D53" s="9" t="s">
        <v>95</v>
      </c>
      <c r="E53" s="1">
        <v>542</v>
      </c>
      <c r="F53" s="1"/>
      <c r="G53" s="1"/>
      <c r="H53" s="1"/>
      <c r="I53" s="1"/>
      <c r="J53" s="2">
        <v>77</v>
      </c>
      <c r="K53" s="19">
        <f>LOOKUP($E53-$J53,'455 hL comp haut'!$A$2:$A$544,'455 hL comp haut'!$D$2:$D$544)</f>
        <v>451.9</v>
      </c>
      <c r="L53" s="16">
        <v>455</v>
      </c>
      <c r="M53" s="3" t="s">
        <v>42</v>
      </c>
      <c r="N53" s="1">
        <v>461.42</v>
      </c>
    </row>
    <row r="54" spans="1:14">
      <c r="A54" s="1" t="s">
        <v>39</v>
      </c>
      <c r="B54" s="1" t="s">
        <v>81</v>
      </c>
      <c r="C54" s="1">
        <v>2</v>
      </c>
      <c r="D54" s="9" t="s">
        <v>96</v>
      </c>
      <c r="E54" s="1">
        <v>542</v>
      </c>
      <c r="F54" s="1"/>
      <c r="G54" s="1"/>
      <c r="H54" s="1"/>
      <c r="I54" s="1"/>
      <c r="J54" s="2">
        <v>116</v>
      </c>
      <c r="K54" s="19">
        <f>LOOKUP($E54-$J54,'455 hL comp haut'!$A$2:$A$544,'455 hL comp haut'!$D$2:$D$544)</f>
        <v>416.87</v>
      </c>
      <c r="L54" s="16">
        <v>455</v>
      </c>
      <c r="M54" s="3" t="s">
        <v>42</v>
      </c>
      <c r="N54" s="1">
        <v>461.42</v>
      </c>
    </row>
    <row r="55" spans="1:14">
      <c r="A55" s="1" t="s">
        <v>39</v>
      </c>
      <c r="B55" s="1" t="s">
        <v>81</v>
      </c>
      <c r="C55" s="1">
        <v>2</v>
      </c>
      <c r="D55" s="9" t="s">
        <v>97</v>
      </c>
      <c r="E55" s="1">
        <v>542</v>
      </c>
      <c r="F55" s="1"/>
      <c r="G55" s="1"/>
      <c r="H55" s="1"/>
      <c r="I55" s="1"/>
      <c r="J55" s="2">
        <v>65</v>
      </c>
      <c r="K55" s="19">
        <f>LOOKUP($E55-$J55,'625 hL comp haut'!$A$2:$A$544,'625 hL comp haut'!$D$2:$D$544)</f>
        <v>625.79</v>
      </c>
      <c r="L55" s="16">
        <v>625</v>
      </c>
      <c r="M55" s="3" t="s">
        <v>42</v>
      </c>
      <c r="N55" s="1">
        <v>633.04999999999995</v>
      </c>
    </row>
    <row r="56" spans="1:14">
      <c r="A56" s="1" t="s">
        <v>39</v>
      </c>
      <c r="B56" s="1" t="s">
        <v>81</v>
      </c>
      <c r="C56" s="1">
        <v>2</v>
      </c>
      <c r="D56" s="9" t="s">
        <v>98</v>
      </c>
      <c r="E56" s="1">
        <v>542</v>
      </c>
      <c r="F56" s="1"/>
      <c r="G56" s="1"/>
      <c r="H56" s="1"/>
      <c r="I56" s="1"/>
      <c r="J56" s="2">
        <v>268</v>
      </c>
      <c r="K56" s="19">
        <f>LOOKUP($E56-$J56,'625 hL comp haut'!$A$2:$A$544,'625 hL comp haut'!$D$2:$D$544)</f>
        <v>378.78</v>
      </c>
      <c r="L56" s="16">
        <v>625</v>
      </c>
      <c r="M56" s="3" t="s">
        <v>42</v>
      </c>
      <c r="N56" s="1">
        <v>633.04999999999995</v>
      </c>
    </row>
    <row r="57" spans="1:14">
      <c r="A57" s="1" t="s">
        <v>39</v>
      </c>
      <c r="B57" s="1" t="s">
        <v>81</v>
      </c>
      <c r="C57" s="1">
        <v>2</v>
      </c>
      <c r="D57" s="9" t="s">
        <v>99</v>
      </c>
      <c r="E57" s="1">
        <v>251</v>
      </c>
      <c r="F57" s="1"/>
      <c r="G57" s="1"/>
      <c r="H57" s="1"/>
      <c r="I57" s="1"/>
      <c r="J57" s="2">
        <v>66</v>
      </c>
      <c r="K57" s="19">
        <f>LOOKUP($E57-$J57,'335 hL comp haut'!$A$2:$A$253,'335 hL comp haut'!$D$2:$D$253)</f>
        <v>331.41</v>
      </c>
      <c r="L57" s="16">
        <v>335</v>
      </c>
      <c r="M57" s="3" t="s">
        <v>42</v>
      </c>
      <c r="N57" s="1">
        <v>345</v>
      </c>
    </row>
    <row r="58" spans="1:14">
      <c r="A58" s="1" t="s">
        <v>39</v>
      </c>
      <c r="B58" s="1" t="s">
        <v>81</v>
      </c>
      <c r="C58" s="1">
        <v>2</v>
      </c>
      <c r="D58" s="9" t="s">
        <v>100</v>
      </c>
      <c r="E58" s="1">
        <v>251</v>
      </c>
      <c r="F58" s="1"/>
      <c r="G58" s="1"/>
      <c r="H58" s="1"/>
      <c r="I58" s="1"/>
      <c r="J58" s="2">
        <v>85</v>
      </c>
      <c r="K58" s="19">
        <f>LOOKUP($E58-$J58,'335 hL comp haut'!$A$2:$A$253,'335 hL comp haut'!$D$2:$D$253)</f>
        <v>308.37</v>
      </c>
      <c r="L58" s="16">
        <v>335</v>
      </c>
      <c r="M58" s="3" t="s">
        <v>42</v>
      </c>
      <c r="N58" s="1">
        <v>345</v>
      </c>
    </row>
    <row r="59" spans="1:14">
      <c r="A59" s="1" t="s">
        <v>39</v>
      </c>
      <c r="B59" s="1" t="s">
        <v>101</v>
      </c>
      <c r="C59" s="1">
        <v>1</v>
      </c>
      <c r="D59" s="9" t="s">
        <v>102</v>
      </c>
      <c r="E59" s="1">
        <v>520</v>
      </c>
      <c r="F59" s="1"/>
      <c r="G59" s="11">
        <f>L59/E59</f>
        <v>1.6346153846153846</v>
      </c>
      <c r="H59" s="11">
        <v>60</v>
      </c>
      <c r="I59" s="11"/>
      <c r="J59" s="2">
        <v>68</v>
      </c>
      <c r="K59" s="18">
        <f>IF(J59&lt;60,"",(H59+E59-J59)*G59)</f>
        <v>836.92307692307691</v>
      </c>
      <c r="L59" s="16">
        <v>850</v>
      </c>
      <c r="M59" s="3" t="s">
        <v>42</v>
      </c>
      <c r="N59" s="1">
        <v>850</v>
      </c>
    </row>
    <row r="60" spans="1:14">
      <c r="A60" s="1" t="s">
        <v>39</v>
      </c>
      <c r="B60" s="1" t="s">
        <v>101</v>
      </c>
      <c r="C60" s="1">
        <v>1</v>
      </c>
      <c r="D60" s="24" t="s">
        <v>103</v>
      </c>
      <c r="E60" s="1">
        <v>579</v>
      </c>
      <c r="F60" s="1"/>
      <c r="G60" s="1"/>
      <c r="H60" s="1"/>
      <c r="I60" s="1"/>
      <c r="J60" s="2">
        <v>149</v>
      </c>
      <c r="K60" s="19">
        <f>LOOKUP($J60,'300 hL comp bas'!$A$2:$A$585,'300 hL comp bas'!$D$2:$D$585)</f>
        <v>267.60518762400005</v>
      </c>
      <c r="L60" s="16">
        <v>300</v>
      </c>
      <c r="M60" s="3" t="s">
        <v>42</v>
      </c>
      <c r="N60" s="1">
        <v>311.42</v>
      </c>
    </row>
    <row r="61" spans="1:14">
      <c r="A61" s="1" t="s">
        <v>39</v>
      </c>
      <c r="B61" s="1" t="s">
        <v>101</v>
      </c>
      <c r="C61" s="1">
        <v>1</v>
      </c>
      <c r="D61" s="24" t="s">
        <v>104</v>
      </c>
      <c r="E61" s="1">
        <v>579</v>
      </c>
      <c r="F61" s="1"/>
      <c r="G61" s="1"/>
      <c r="H61" s="1"/>
      <c r="I61" s="1"/>
      <c r="J61" s="2">
        <v>440</v>
      </c>
      <c r="K61" s="19">
        <f>LOOKUP($J61,'300 hL comp bas'!$A$2:$A$585,'300 hL comp bas'!$D$2:$D$585)</f>
        <v>88.74113727000173</v>
      </c>
      <c r="L61" s="16">
        <v>300</v>
      </c>
      <c r="M61" s="3" t="s">
        <v>42</v>
      </c>
      <c r="N61" s="1">
        <v>311.42</v>
      </c>
    </row>
    <row r="62" spans="1:14">
      <c r="A62" s="1" t="s">
        <v>39</v>
      </c>
      <c r="B62" s="1" t="s">
        <v>101</v>
      </c>
      <c r="C62" s="1">
        <v>1</v>
      </c>
      <c r="D62" s="24" t="s">
        <v>105</v>
      </c>
      <c r="E62" s="1">
        <v>579</v>
      </c>
      <c r="F62" s="1"/>
      <c r="G62" s="1"/>
      <c r="H62" s="1"/>
      <c r="I62" s="1"/>
      <c r="J62" s="2">
        <v>122</v>
      </c>
      <c r="K62" s="19">
        <f>LOOKUP($J62,'465 hL comp bas'!$A$2:$A$585,'465 hL comp bas'!$D$2:$D$585)</f>
        <v>434.85199999999998</v>
      </c>
      <c r="L62" s="16">
        <v>465</v>
      </c>
      <c r="M62" s="3" t="s">
        <v>42</v>
      </c>
      <c r="N62" s="1">
        <v>466.14</v>
      </c>
    </row>
    <row r="63" spans="1:14">
      <c r="A63" s="1" t="s">
        <v>39</v>
      </c>
      <c r="B63" s="1" t="s">
        <v>101</v>
      </c>
      <c r="C63" s="1">
        <v>1</v>
      </c>
      <c r="D63" s="24" t="s">
        <v>106</v>
      </c>
      <c r="E63" s="1">
        <v>579</v>
      </c>
      <c r="F63" s="1"/>
      <c r="G63" s="1"/>
      <c r="H63" s="1"/>
      <c r="I63" s="1"/>
      <c r="J63" s="2">
        <v>115</v>
      </c>
      <c r="K63" s="19">
        <f>LOOKUP($J63,'465 hL comp bas'!$A$2:$A$585,'465 hL comp bas'!$D$2:$D$585)</f>
        <v>441.43763999999993</v>
      </c>
      <c r="L63" s="16">
        <v>465</v>
      </c>
      <c r="M63" s="3" t="s">
        <v>42</v>
      </c>
      <c r="N63" s="1">
        <v>466.14</v>
      </c>
    </row>
    <row r="64" spans="1:14">
      <c r="A64" s="1" t="s">
        <v>39</v>
      </c>
      <c r="B64" s="1" t="s">
        <v>101</v>
      </c>
      <c r="C64" s="1">
        <v>1</v>
      </c>
      <c r="D64" s="24" t="s">
        <v>107</v>
      </c>
      <c r="E64" s="1">
        <v>579</v>
      </c>
      <c r="F64" s="1"/>
      <c r="G64" s="1"/>
      <c r="H64" s="1"/>
      <c r="I64" s="1"/>
      <c r="J64" s="2">
        <v>223</v>
      </c>
      <c r="K64" s="19">
        <f>LOOKUP($J64,'625 hL comp bas'!$A$2:$A$581,'625 hL comp bas'!$D$2:$D$581)</f>
        <v>451.3075</v>
      </c>
      <c r="L64" s="16">
        <v>625</v>
      </c>
      <c r="M64" s="3" t="s">
        <v>42</v>
      </c>
      <c r="N64" s="1">
        <v>626.21</v>
      </c>
    </row>
    <row r="65" spans="1:14">
      <c r="A65" s="1" t="s">
        <v>39</v>
      </c>
      <c r="B65" s="1" t="s">
        <v>101</v>
      </c>
      <c r="C65" s="1">
        <v>1</v>
      </c>
      <c r="D65" s="24" t="s">
        <v>108</v>
      </c>
      <c r="E65" s="1">
        <v>579</v>
      </c>
      <c r="F65" s="1"/>
      <c r="G65" s="1"/>
      <c r="H65" s="1"/>
      <c r="I65" s="1"/>
      <c r="J65" s="2">
        <v>154</v>
      </c>
      <c r="K65" s="19">
        <f>LOOKUP($J65,'625 hL comp bas'!$A$2:$A$581,'625 hL comp bas'!$D$2:$D$581)</f>
        <v>537.90250000000003</v>
      </c>
      <c r="L65" s="16">
        <v>625</v>
      </c>
      <c r="M65" s="3" t="s">
        <v>42</v>
      </c>
      <c r="N65" s="1">
        <v>626.21</v>
      </c>
    </row>
    <row r="66" spans="1:14">
      <c r="A66" s="1" t="s">
        <v>39</v>
      </c>
      <c r="B66" s="1" t="s">
        <v>101</v>
      </c>
      <c r="C66" s="1">
        <v>1</v>
      </c>
      <c r="D66" s="24" t="s">
        <v>109</v>
      </c>
      <c r="E66" s="1">
        <v>880</v>
      </c>
      <c r="F66" s="1"/>
      <c r="G66" s="1"/>
      <c r="H66" s="1"/>
      <c r="I66" s="1"/>
      <c r="J66" s="2">
        <v>86</v>
      </c>
      <c r="K66" s="19">
        <f>LOOKUP($J66,'1250 hL comp bas ISOTHERMES'!$A$2:$A$873,'1250 hL comp bas ISOTHERMES'!$D$2:$D$873)</f>
        <v>1244.6639999999998</v>
      </c>
      <c r="L66" s="16">
        <v>1250</v>
      </c>
      <c r="M66" s="3" t="s">
        <v>42</v>
      </c>
      <c r="N66" s="1">
        <v>1248.73</v>
      </c>
    </row>
    <row r="67" spans="1:14">
      <c r="A67" s="1" t="s">
        <v>39</v>
      </c>
      <c r="B67" s="1" t="s">
        <v>101</v>
      </c>
      <c r="C67" s="1">
        <v>1</v>
      </c>
      <c r="D67" s="24" t="s">
        <v>110</v>
      </c>
      <c r="E67" s="1">
        <v>880</v>
      </c>
      <c r="F67" s="1"/>
      <c r="G67" s="1"/>
      <c r="H67" s="1"/>
      <c r="I67" s="1"/>
      <c r="J67" s="2">
        <v>128</v>
      </c>
      <c r="K67" s="19">
        <f>LOOKUP($J67,'1250 hL comp bas ISOTHERMES'!$A$2:$A$873,'1250 hL comp bas ISOTHERMES'!$D$2:$D$873)</f>
        <v>1203.818</v>
      </c>
      <c r="L67" s="16">
        <v>1250</v>
      </c>
      <c r="M67" s="3" t="s">
        <v>42</v>
      </c>
      <c r="N67" s="1">
        <v>1248.73</v>
      </c>
    </row>
    <row r="68" spans="1:14">
      <c r="A68" s="1" t="s">
        <v>39</v>
      </c>
      <c r="B68" s="1" t="s">
        <v>101</v>
      </c>
      <c r="C68" s="1">
        <v>1</v>
      </c>
      <c r="D68" s="9" t="s">
        <v>111</v>
      </c>
      <c r="E68" s="1">
        <v>1160</v>
      </c>
      <c r="F68" s="1"/>
      <c r="G68" s="1"/>
      <c r="H68" s="1"/>
      <c r="I68" s="1"/>
      <c r="J68" s="2">
        <v>109</v>
      </c>
      <c r="K68" s="19">
        <f>LOOKUP($E68-$J68,'2415 hL'!$A$2:$A$1153,'2415 hL'!$D$2:$D$1153)</f>
        <v>2336.39</v>
      </c>
      <c r="L68" s="16">
        <v>2415</v>
      </c>
      <c r="M68" s="3" t="s">
        <v>42</v>
      </c>
      <c r="N68" s="1">
        <v>2422.67</v>
      </c>
    </row>
    <row r="69" spans="1:14">
      <c r="A69" s="1" t="s">
        <v>39</v>
      </c>
      <c r="B69" s="1" t="s">
        <v>101</v>
      </c>
      <c r="C69" s="1">
        <v>1</v>
      </c>
      <c r="D69" s="9" t="s">
        <v>112</v>
      </c>
      <c r="E69" s="1">
        <v>1160</v>
      </c>
      <c r="F69" s="1"/>
      <c r="G69" s="1"/>
      <c r="H69" s="1"/>
      <c r="I69" s="1"/>
      <c r="J69" s="2">
        <v>162</v>
      </c>
      <c r="K69" s="19">
        <f>LOOKUP($E69-$J69,'2415 hL'!$A$2:$A$1153,'2415 hL'!$D$2:$D$1153)</f>
        <v>2218.8000000000002</v>
      </c>
      <c r="L69" s="16">
        <v>2415</v>
      </c>
      <c r="M69" s="3" t="s">
        <v>42</v>
      </c>
      <c r="N69" s="1">
        <v>2422.67</v>
      </c>
    </row>
    <row r="70" spans="1:14">
      <c r="A70" s="1" t="s">
        <v>39</v>
      </c>
      <c r="B70" s="1" t="s">
        <v>101</v>
      </c>
      <c r="C70" s="1">
        <v>2</v>
      </c>
      <c r="D70" s="9" t="s">
        <v>113</v>
      </c>
      <c r="E70" s="1">
        <v>542</v>
      </c>
      <c r="F70" s="1"/>
      <c r="G70" s="1"/>
      <c r="H70" s="1"/>
      <c r="I70" s="1"/>
      <c r="J70" s="2">
        <v>112</v>
      </c>
      <c r="K70" s="19">
        <f>LOOKUP($E70-$J70,'300 hL comp haut'!$A$2:$A$544,'300 hL comp haut'!$D$2:$D$544)</f>
        <v>275.87</v>
      </c>
      <c r="L70" s="16">
        <v>300</v>
      </c>
      <c r="M70" s="3" t="s">
        <v>42</v>
      </c>
      <c r="N70" s="1">
        <v>301.31</v>
      </c>
    </row>
    <row r="71" spans="1:14">
      <c r="A71" s="1" t="s">
        <v>39</v>
      </c>
      <c r="B71" s="1" t="s">
        <v>101</v>
      </c>
      <c r="C71" s="1">
        <v>2</v>
      </c>
      <c r="D71" s="9" t="s">
        <v>114</v>
      </c>
      <c r="E71" s="1">
        <v>542</v>
      </c>
      <c r="F71" s="1"/>
      <c r="G71" s="1"/>
      <c r="H71" s="1"/>
      <c r="I71" s="1"/>
      <c r="J71" s="2">
        <v>57</v>
      </c>
      <c r="K71" s="19">
        <f>LOOKUP($E71-$J71,'300 hL comp haut'!$A$2:$A$544,'300 hL comp haut'!$D$2:$D$544)</f>
        <v>300.12</v>
      </c>
      <c r="L71" s="16">
        <v>300</v>
      </c>
      <c r="M71" s="3" t="s">
        <v>42</v>
      </c>
      <c r="N71" s="1">
        <v>301.31</v>
      </c>
    </row>
    <row r="72" spans="1:14">
      <c r="A72" s="1" t="s">
        <v>39</v>
      </c>
      <c r="B72" s="1" t="s">
        <v>101</v>
      </c>
      <c r="C72" s="1">
        <v>2</v>
      </c>
      <c r="D72" s="9" t="s">
        <v>115</v>
      </c>
      <c r="E72" s="1">
        <v>542</v>
      </c>
      <c r="F72" s="1"/>
      <c r="G72" s="1"/>
      <c r="H72" s="1"/>
      <c r="I72" s="1"/>
      <c r="J72" s="2">
        <v>150</v>
      </c>
      <c r="K72" s="19">
        <f>LOOKUP($E72-$J72,'455 hL comp haut'!$A$2:$A$544,'455 hL comp haut'!$D$2:$D$544)</f>
        <v>385.31</v>
      </c>
      <c r="L72" s="16">
        <v>455</v>
      </c>
      <c r="M72" s="3" t="s">
        <v>42</v>
      </c>
      <c r="N72" s="1">
        <v>461.42</v>
      </c>
    </row>
    <row r="73" spans="1:14">
      <c r="A73" s="1" t="s">
        <v>39</v>
      </c>
      <c r="B73" s="1" t="s">
        <v>101</v>
      </c>
      <c r="C73" s="1">
        <v>2</v>
      </c>
      <c r="D73" s="9" t="s">
        <v>116</v>
      </c>
      <c r="E73" s="1">
        <v>542</v>
      </c>
      <c r="F73" s="1"/>
      <c r="G73" s="1"/>
      <c r="H73" s="1"/>
      <c r="I73" s="1"/>
      <c r="J73" s="2">
        <v>121</v>
      </c>
      <c r="K73" s="19">
        <f>LOOKUP($E73-$J73,'455 hL comp haut'!$A$2:$A$544,'455 hL comp haut'!$D$2:$D$544)</f>
        <v>412.23</v>
      </c>
      <c r="L73" s="16">
        <v>455</v>
      </c>
      <c r="M73" s="3" t="s">
        <v>42</v>
      </c>
      <c r="N73" s="1">
        <v>461.42</v>
      </c>
    </row>
    <row r="74" spans="1:14">
      <c r="A74" s="1" t="s">
        <v>39</v>
      </c>
      <c r="B74" s="1" t="s">
        <v>101</v>
      </c>
      <c r="C74" s="1">
        <v>2</v>
      </c>
      <c r="D74" s="9" t="s">
        <v>117</v>
      </c>
      <c r="E74" s="1">
        <v>542</v>
      </c>
      <c r="F74" s="1"/>
      <c r="G74" s="1"/>
      <c r="H74" s="1"/>
      <c r="I74" s="1"/>
      <c r="J74" s="2">
        <v>163</v>
      </c>
      <c r="K74" s="19">
        <f>LOOKUP($E74-$J74,'625 hL comp haut'!$A$2:$A$544,'625 hL comp haut'!$D$2:$D$544)</f>
        <v>510.56</v>
      </c>
      <c r="L74" s="16">
        <v>625</v>
      </c>
      <c r="M74" s="3" t="s">
        <v>42</v>
      </c>
      <c r="N74" s="1">
        <v>633.04999999999995</v>
      </c>
    </row>
    <row r="75" spans="1:14">
      <c r="A75" s="1" t="s">
        <v>39</v>
      </c>
      <c r="B75" s="1" t="s">
        <v>101</v>
      </c>
      <c r="C75" s="1">
        <v>2</v>
      </c>
      <c r="D75" s="9" t="s">
        <v>118</v>
      </c>
      <c r="E75" s="1">
        <v>542</v>
      </c>
      <c r="F75" s="1"/>
      <c r="G75" s="1"/>
      <c r="H75" s="1"/>
      <c r="I75" s="1"/>
      <c r="J75" s="2">
        <v>95</v>
      </c>
      <c r="K75" s="19">
        <f>LOOKUP($E75-$J75,'625 hL comp haut'!$A$2:$A$544,'625 hL comp haut'!$D$2:$D$544)</f>
        <v>595.91</v>
      </c>
      <c r="L75" s="16">
        <v>625</v>
      </c>
      <c r="M75" s="3" t="s">
        <v>42</v>
      </c>
      <c r="N75" s="1">
        <v>633.04999999999995</v>
      </c>
    </row>
    <row r="76" spans="1:14">
      <c r="A76" s="1" t="s">
        <v>39</v>
      </c>
      <c r="B76" s="1" t="s">
        <v>101</v>
      </c>
      <c r="C76" s="1">
        <v>2</v>
      </c>
      <c r="D76" s="9" t="s">
        <v>119</v>
      </c>
      <c r="E76" s="1">
        <v>251</v>
      </c>
      <c r="F76" s="1"/>
      <c r="G76" s="1"/>
      <c r="H76" s="1"/>
      <c r="I76" s="1"/>
      <c r="J76" s="2">
        <v>245</v>
      </c>
      <c r="K76" s="19">
        <f>LOOKUP($E76-$J76,'335 hL comp haut'!$A$2:$A$253,'335 hL comp haut'!$D$2:$D$253)</f>
        <v>54.19</v>
      </c>
      <c r="L76" s="16">
        <v>335</v>
      </c>
      <c r="M76" s="3" t="s">
        <v>42</v>
      </c>
      <c r="N76" s="1">
        <v>345</v>
      </c>
    </row>
    <row r="77" spans="1:14">
      <c r="A77" s="1" t="s">
        <v>39</v>
      </c>
      <c r="B77" s="1" t="s">
        <v>101</v>
      </c>
      <c r="C77" s="1">
        <v>2</v>
      </c>
      <c r="D77" s="9" t="s">
        <v>120</v>
      </c>
      <c r="E77" s="1">
        <v>251</v>
      </c>
      <c r="F77" s="1"/>
      <c r="G77" s="1"/>
      <c r="H77" s="1"/>
      <c r="I77" s="1"/>
      <c r="J77" s="2">
        <v>106</v>
      </c>
      <c r="K77" s="19">
        <f>LOOKUP($E77-$J77,'335 hL comp haut'!$A$2:$A$253,'335 hL comp haut'!$D$2:$D$253)</f>
        <v>275.02</v>
      </c>
      <c r="L77" s="16">
        <v>335</v>
      </c>
      <c r="M77" s="3" t="s">
        <v>42</v>
      </c>
      <c r="N77" s="1">
        <v>345</v>
      </c>
    </row>
    <row r="78" spans="1:14">
      <c r="A78" s="1" t="s">
        <v>39</v>
      </c>
      <c r="B78" s="1" t="s">
        <v>121</v>
      </c>
      <c r="C78" s="1">
        <v>1</v>
      </c>
      <c r="D78" s="9" t="s">
        <v>122</v>
      </c>
      <c r="E78" s="1">
        <v>520</v>
      </c>
      <c r="F78" s="1"/>
      <c r="G78" s="11">
        <f>L78/E78</f>
        <v>1.6346153846153846</v>
      </c>
      <c r="H78" s="11">
        <v>60</v>
      </c>
      <c r="I78" s="11"/>
      <c r="J78" s="2">
        <v>236</v>
      </c>
      <c r="K78" s="18">
        <f>IF(J78&lt;60,"",(H78+E78-J78)*G78)</f>
        <v>562.30769230769226</v>
      </c>
      <c r="L78" s="16">
        <v>850</v>
      </c>
      <c r="M78" s="3" t="s">
        <v>42</v>
      </c>
      <c r="N78" s="1">
        <v>850</v>
      </c>
    </row>
    <row r="79" spans="1:14">
      <c r="A79" s="1" t="s">
        <v>39</v>
      </c>
      <c r="B79" s="1" t="s">
        <v>121</v>
      </c>
      <c r="C79" s="1">
        <v>1</v>
      </c>
      <c r="D79" s="24" t="s">
        <v>123</v>
      </c>
      <c r="E79" s="1">
        <v>579</v>
      </c>
      <c r="F79" s="1"/>
      <c r="G79" s="1"/>
      <c r="H79" s="1"/>
      <c r="I79" s="1"/>
      <c r="J79" s="2">
        <v>256</v>
      </c>
      <c r="K79" s="19">
        <f>LOOKUP($J79,'300 hL comp bas'!$A$2:$A$585,'300 hL comp bas'!$D$2:$D$585)</f>
        <v>201.8373065660015</v>
      </c>
      <c r="L79" s="16">
        <v>300</v>
      </c>
      <c r="M79" s="3" t="s">
        <v>42</v>
      </c>
      <c r="N79" s="1">
        <v>311.42</v>
      </c>
    </row>
    <row r="80" spans="1:14">
      <c r="A80" s="1" t="s">
        <v>39</v>
      </c>
      <c r="B80" s="1" t="s">
        <v>121</v>
      </c>
      <c r="C80" s="1">
        <v>1</v>
      </c>
      <c r="D80" s="24" t="s">
        <v>124</v>
      </c>
      <c r="E80" s="1">
        <v>579</v>
      </c>
      <c r="F80" s="1"/>
      <c r="G80" s="1"/>
      <c r="H80" s="1"/>
      <c r="I80" s="1"/>
      <c r="J80" s="2">
        <v>270</v>
      </c>
      <c r="K80" s="19">
        <f>LOOKUP($J80,'300 hL comp bas'!$A$2:$A$585,'300 hL comp bas'!$D$2:$D$585)</f>
        <v>193.23216325000169</v>
      </c>
      <c r="L80" s="16">
        <v>300</v>
      </c>
      <c r="M80" s="3" t="s">
        <v>42</v>
      </c>
      <c r="N80" s="1">
        <v>311.42</v>
      </c>
    </row>
    <row r="81" spans="1:14">
      <c r="A81" s="1" t="s">
        <v>39</v>
      </c>
      <c r="B81" s="1" t="s">
        <v>121</v>
      </c>
      <c r="C81" s="1">
        <v>1</v>
      </c>
      <c r="D81" s="24" t="s">
        <v>125</v>
      </c>
      <c r="E81" s="1">
        <v>579</v>
      </c>
      <c r="F81" s="1"/>
      <c r="G81" s="1"/>
      <c r="H81" s="1"/>
      <c r="I81" s="1"/>
      <c r="J81" s="2">
        <v>136</v>
      </c>
      <c r="K81" s="19">
        <f>LOOKUP($J81,'465 hL comp bas'!$A$2:$A$585,'465 hL comp bas'!$D$2:$D$585)</f>
        <v>422.68869999999987</v>
      </c>
      <c r="L81" s="16">
        <v>465</v>
      </c>
      <c r="M81" s="3" t="s">
        <v>42</v>
      </c>
      <c r="N81" s="1">
        <v>466.14</v>
      </c>
    </row>
    <row r="82" spans="1:14">
      <c r="A82" s="1" t="s">
        <v>39</v>
      </c>
      <c r="B82" s="1" t="s">
        <v>121</v>
      </c>
      <c r="C82" s="1">
        <v>1</v>
      </c>
      <c r="D82" s="24" t="s">
        <v>126</v>
      </c>
      <c r="E82" s="1">
        <v>579</v>
      </c>
      <c r="F82" s="1"/>
      <c r="G82" s="1"/>
      <c r="H82" s="1"/>
      <c r="I82" s="1"/>
      <c r="J82" s="2">
        <v>247</v>
      </c>
      <c r="K82" s="19">
        <f>LOOKUP($J82,'465 hL comp bas'!$A$2:$A$585,'465 hL comp bas'!$D$2:$D$585)</f>
        <v>325.21126282400172</v>
      </c>
      <c r="L82" s="16">
        <v>465</v>
      </c>
      <c r="M82" s="3" t="s">
        <v>42</v>
      </c>
      <c r="N82" s="1">
        <v>466.14</v>
      </c>
    </row>
    <row r="83" spans="1:14">
      <c r="A83" s="1" t="s">
        <v>39</v>
      </c>
      <c r="B83" s="1" t="s">
        <v>121</v>
      </c>
      <c r="C83" s="1">
        <v>1</v>
      </c>
      <c r="D83" s="24" t="s">
        <v>127</v>
      </c>
      <c r="E83" s="1">
        <v>582</v>
      </c>
      <c r="F83" s="1"/>
      <c r="G83" s="1"/>
      <c r="H83" s="1"/>
      <c r="I83" s="1"/>
      <c r="J83" s="2">
        <v>286</v>
      </c>
      <c r="K83" s="19">
        <f>LOOKUP($J83,'625 hL comp bas ISOTHERMES'!$A$2:$A$584,'625 hL comp bas ISOTHERMES'!$D$2:$D$584)</f>
        <v>406.14920000000001</v>
      </c>
      <c r="L83" s="16">
        <v>625</v>
      </c>
      <c r="M83" s="3" t="s">
        <v>42</v>
      </c>
      <c r="N83" s="1">
        <v>626.21</v>
      </c>
    </row>
    <row r="84" spans="1:14">
      <c r="A84" s="1" t="s">
        <v>39</v>
      </c>
      <c r="B84" s="1" t="s">
        <v>121</v>
      </c>
      <c r="C84" s="1">
        <v>1</v>
      </c>
      <c r="D84" s="24" t="s">
        <v>128</v>
      </c>
      <c r="E84" s="1">
        <v>582</v>
      </c>
      <c r="F84" s="1"/>
      <c r="G84" s="1"/>
      <c r="H84" s="1"/>
      <c r="I84" s="1"/>
      <c r="J84" s="2">
        <v>201</v>
      </c>
      <c r="K84" s="19">
        <f>LOOKUP($J84,'625 hL comp bas ISOTHERMES'!$A$2:$A$584,'625 hL comp bas ISOTHERMES'!$D$2:$D$584)</f>
        <v>502.7842</v>
      </c>
      <c r="L84" s="16">
        <v>625</v>
      </c>
      <c r="M84" s="3" t="s">
        <v>42</v>
      </c>
      <c r="N84" s="1">
        <v>626.21</v>
      </c>
    </row>
    <row r="85" spans="1:14">
      <c r="A85" s="1" t="s">
        <v>39</v>
      </c>
      <c r="B85" s="1" t="s">
        <v>121</v>
      </c>
      <c r="C85" s="1">
        <v>1</v>
      </c>
      <c r="D85" s="24" t="s">
        <v>129</v>
      </c>
      <c r="E85" s="1">
        <v>880</v>
      </c>
      <c r="F85" s="1"/>
      <c r="G85" s="1"/>
      <c r="H85" s="1"/>
      <c r="I85" s="1"/>
      <c r="J85" s="2">
        <v>263</v>
      </c>
      <c r="K85" s="19">
        <f>LOOKUP($J85,'1250 hL comp bas ISOTHERMES'!$A$2:$A$870,'1250 hL comp bas ISOTHERMES'!$D$2:$D$870)</f>
        <v>1013.3457915112024</v>
      </c>
      <c r="L85" s="16">
        <v>1250</v>
      </c>
      <c r="M85" s="3" t="s">
        <v>42</v>
      </c>
      <c r="N85" s="1">
        <v>1248.73</v>
      </c>
    </row>
    <row r="86" spans="1:14">
      <c r="A86" s="1" t="s">
        <v>39</v>
      </c>
      <c r="B86" s="1" t="s">
        <v>121</v>
      </c>
      <c r="C86" s="1">
        <v>1</v>
      </c>
      <c r="D86" s="24" t="s">
        <v>130</v>
      </c>
      <c r="E86" s="1">
        <v>880</v>
      </c>
      <c r="F86" s="1"/>
      <c r="G86" s="1"/>
      <c r="H86" s="1"/>
      <c r="I86" s="1"/>
      <c r="J86" s="2">
        <v>320</v>
      </c>
      <c r="K86" s="19">
        <f>LOOKUP($J86,'1250 hL comp bas ISOTHERMES'!$A$2:$A$870,'1250 hL comp bas ISOTHERMES'!$D$2:$D$870)</f>
        <v>932.44995064300383</v>
      </c>
      <c r="L86" s="16">
        <v>1250</v>
      </c>
      <c r="M86" s="3" t="s">
        <v>42</v>
      </c>
      <c r="N86" s="1">
        <v>1248.73</v>
      </c>
    </row>
    <row r="87" spans="1:14">
      <c r="A87" s="1" t="s">
        <v>39</v>
      </c>
      <c r="B87" s="1" t="s">
        <v>121</v>
      </c>
      <c r="C87" s="1">
        <v>2</v>
      </c>
      <c r="D87" s="9" t="s">
        <v>131</v>
      </c>
      <c r="E87" s="1">
        <v>542</v>
      </c>
      <c r="F87" s="1"/>
      <c r="G87" s="1"/>
      <c r="H87" s="1"/>
      <c r="I87" s="1"/>
      <c r="J87" s="2">
        <v>78</v>
      </c>
      <c r="K87" s="19">
        <f>LOOKUP($E87-$J87,'300 hL comp haut'!$A$2:$A$544,'300 hL comp haut'!$D$2:$D$544)</f>
        <v>296.02</v>
      </c>
      <c r="L87" s="16">
        <v>300</v>
      </c>
      <c r="M87" s="3" t="s">
        <v>42</v>
      </c>
      <c r="N87" s="1">
        <v>301.31</v>
      </c>
    </row>
    <row r="88" spans="1:14">
      <c r="A88" s="1" t="s">
        <v>39</v>
      </c>
      <c r="B88" s="1" t="s">
        <v>121</v>
      </c>
      <c r="C88" s="1">
        <v>2</v>
      </c>
      <c r="D88" s="9" t="s">
        <v>132</v>
      </c>
      <c r="E88" s="1">
        <v>542</v>
      </c>
      <c r="F88" s="1"/>
      <c r="G88" s="1"/>
      <c r="H88" s="1"/>
      <c r="I88" s="1"/>
      <c r="J88" s="2">
        <v>165</v>
      </c>
      <c r="K88" s="19">
        <f>LOOKUP($E88-$J88,'300 hL comp haut'!$A$2:$A$544,'300 hL comp haut'!$D$2:$D$544)</f>
        <v>243.3</v>
      </c>
      <c r="L88" s="16">
        <v>300</v>
      </c>
      <c r="M88" s="3" t="s">
        <v>42</v>
      </c>
      <c r="N88" s="1">
        <v>301.31</v>
      </c>
    </row>
    <row r="89" spans="1:14">
      <c r="A89" s="1" t="s">
        <v>39</v>
      </c>
      <c r="B89" s="1" t="s">
        <v>121</v>
      </c>
      <c r="C89" s="1">
        <v>2</v>
      </c>
      <c r="D89" s="9" t="s">
        <v>133</v>
      </c>
      <c r="E89" s="1">
        <v>542</v>
      </c>
      <c r="F89" s="1"/>
      <c r="G89" s="1"/>
      <c r="H89" s="1"/>
      <c r="I89" s="1"/>
      <c r="J89" s="2">
        <v>72</v>
      </c>
      <c r="K89" s="19">
        <f>LOOKUP($E89-$J89,'455 hL comp haut'!$A$2:$A$544,'455 hL comp haut'!$D$2:$D$544)</f>
        <v>454.74</v>
      </c>
      <c r="L89" s="16">
        <v>455</v>
      </c>
      <c r="M89" s="3" t="s">
        <v>42</v>
      </c>
      <c r="N89" s="1">
        <v>461.42</v>
      </c>
    </row>
    <row r="90" spans="1:14">
      <c r="A90" s="1" t="s">
        <v>39</v>
      </c>
      <c r="B90" s="1" t="s">
        <v>121</v>
      </c>
      <c r="C90" s="1">
        <v>2</v>
      </c>
      <c r="D90" s="9" t="s">
        <v>134</v>
      </c>
      <c r="E90" s="1">
        <v>542</v>
      </c>
      <c r="F90" s="1"/>
      <c r="G90" s="1"/>
      <c r="H90" s="1"/>
      <c r="I90" s="1"/>
      <c r="J90" s="2">
        <v>245</v>
      </c>
      <c r="K90" s="19">
        <f>LOOKUP($E90-$J90,'455 hL comp haut'!$A$2:$A$544,'455 hL comp haut'!$D$2:$D$544)</f>
        <v>297.14</v>
      </c>
      <c r="L90" s="16">
        <v>455</v>
      </c>
      <c r="M90" s="3" t="s">
        <v>42</v>
      </c>
      <c r="N90" s="1">
        <v>461.42</v>
      </c>
    </row>
    <row r="91" spans="1:14">
      <c r="A91" s="1" t="s">
        <v>39</v>
      </c>
      <c r="B91" s="1" t="s">
        <v>121</v>
      </c>
      <c r="C91" s="1">
        <v>2</v>
      </c>
      <c r="D91" s="9" t="s">
        <v>135</v>
      </c>
      <c r="E91" s="1">
        <v>542</v>
      </c>
      <c r="F91" s="1"/>
      <c r="G91" s="1"/>
      <c r="H91" s="1"/>
      <c r="I91" s="1"/>
      <c r="J91" s="2">
        <v>138</v>
      </c>
      <c r="K91" s="19">
        <f>LOOKUP($E91-$J91,'625 hL comp haut'!$A$2:$A$544,'625 hL comp haut'!$D$2:$D$544)</f>
        <v>541.94000000000005</v>
      </c>
      <c r="L91" s="16">
        <v>625</v>
      </c>
      <c r="M91" s="3" t="s">
        <v>42</v>
      </c>
      <c r="N91" s="1">
        <v>633.04999999999995</v>
      </c>
    </row>
    <row r="92" spans="1:14">
      <c r="A92" s="1" t="s">
        <v>39</v>
      </c>
      <c r="B92" s="1" t="s">
        <v>121</v>
      </c>
      <c r="C92" s="1">
        <v>2</v>
      </c>
      <c r="D92" s="9" t="s">
        <v>136</v>
      </c>
      <c r="E92" s="1">
        <v>542</v>
      </c>
      <c r="F92" s="1"/>
      <c r="G92" s="1"/>
      <c r="H92" s="1"/>
      <c r="I92" s="1"/>
      <c r="J92" s="2">
        <v>165</v>
      </c>
      <c r="K92" s="19">
        <f>LOOKUP($E92-$J92,'625 hL comp haut'!$A$2:$A$544,'625 hL comp haut'!$D$2:$D$544)</f>
        <v>508.05</v>
      </c>
      <c r="L92" s="16">
        <v>625</v>
      </c>
      <c r="M92" s="3" t="s">
        <v>42</v>
      </c>
      <c r="N92" s="1">
        <v>633.04999999999995</v>
      </c>
    </row>
    <row r="93" spans="1:14">
      <c r="A93" s="1" t="s">
        <v>39</v>
      </c>
      <c r="B93" s="1" t="s">
        <v>121</v>
      </c>
      <c r="C93" s="1">
        <v>2</v>
      </c>
      <c r="D93" s="9" t="s">
        <v>137</v>
      </c>
      <c r="E93" s="1">
        <v>251</v>
      </c>
      <c r="F93" s="1"/>
      <c r="G93" s="1"/>
      <c r="H93" s="1"/>
      <c r="I93" s="1"/>
      <c r="J93" s="2">
        <v>75</v>
      </c>
      <c r="K93" s="19">
        <f>LOOKUP($E93-$J93,'335 hL comp haut'!$A$2:$A$253,'335 hL comp haut'!$D$2:$D$253)</f>
        <v>322.41000000000003</v>
      </c>
      <c r="L93" s="16">
        <v>335</v>
      </c>
      <c r="M93" s="3" t="s">
        <v>42</v>
      </c>
      <c r="N93" s="1">
        <v>345</v>
      </c>
    </row>
    <row r="94" spans="1:14">
      <c r="A94" s="1" t="s">
        <v>39</v>
      </c>
      <c r="B94" s="1" t="s">
        <v>121</v>
      </c>
      <c r="C94" s="1">
        <v>2</v>
      </c>
      <c r="D94" s="9" t="s">
        <v>138</v>
      </c>
      <c r="E94" s="1">
        <v>251</v>
      </c>
      <c r="F94" s="1"/>
      <c r="G94" s="1"/>
      <c r="H94" s="1"/>
      <c r="I94" s="1"/>
      <c r="J94" s="2">
        <v>90</v>
      </c>
      <c r="K94" s="19">
        <f>LOOKUP($E94-$J94,'335 hL comp haut'!$A$2:$A$253,'335 hL comp haut'!$D$2:$D$253)</f>
        <v>300.44</v>
      </c>
      <c r="L94" s="16">
        <v>335</v>
      </c>
      <c r="M94" s="3" t="s">
        <v>42</v>
      </c>
      <c r="N94" s="1">
        <v>345</v>
      </c>
    </row>
    <row r="95" spans="1:14">
      <c r="A95" s="1" t="s">
        <v>39</v>
      </c>
      <c r="B95" s="1" t="s">
        <v>139</v>
      </c>
      <c r="C95" s="1">
        <v>1</v>
      </c>
      <c r="D95" s="9" t="s">
        <v>140</v>
      </c>
      <c r="E95" s="1">
        <v>520</v>
      </c>
      <c r="F95" s="1"/>
      <c r="G95" s="11">
        <f>L95/E95</f>
        <v>1.6346153846153846</v>
      </c>
      <c r="H95" s="11">
        <v>60</v>
      </c>
      <c r="I95" s="11"/>
      <c r="J95" s="2">
        <v>60</v>
      </c>
      <c r="K95" s="18">
        <f>IF(J95&lt;60,"",(H95+E95-J95)*G95)</f>
        <v>850</v>
      </c>
      <c r="L95" s="16">
        <v>850</v>
      </c>
      <c r="M95" s="3" t="s">
        <v>42</v>
      </c>
      <c r="N95" s="1">
        <v>850</v>
      </c>
    </row>
    <row r="96" spans="1:14">
      <c r="A96" s="1" t="s">
        <v>39</v>
      </c>
      <c r="B96" s="1" t="s">
        <v>139</v>
      </c>
      <c r="C96" s="1">
        <v>1</v>
      </c>
      <c r="D96" s="24" t="s">
        <v>141</v>
      </c>
      <c r="E96" s="1">
        <v>579</v>
      </c>
      <c r="F96" s="1"/>
      <c r="G96" s="1"/>
      <c r="H96" s="1"/>
      <c r="I96" s="1"/>
      <c r="J96" s="2">
        <v>268</v>
      </c>
      <c r="K96" s="19">
        <f>LOOKUP($J96,'300 hL comp bas'!$A$2:$A$585,'300 hL comp bas'!$D$2:$D$585)</f>
        <v>194.46146943800167</v>
      </c>
      <c r="L96" s="16">
        <v>300</v>
      </c>
      <c r="M96" s="3" t="s">
        <v>42</v>
      </c>
      <c r="N96" s="1">
        <v>311.42</v>
      </c>
    </row>
    <row r="97" spans="1:19">
      <c r="A97" s="1" t="s">
        <v>39</v>
      </c>
      <c r="B97" s="1" t="s">
        <v>139</v>
      </c>
      <c r="C97" s="1">
        <v>1</v>
      </c>
      <c r="D97" s="24" t="s">
        <v>142</v>
      </c>
      <c r="E97" s="1">
        <v>579</v>
      </c>
      <c r="F97" s="1"/>
      <c r="G97" s="1"/>
      <c r="H97" s="1"/>
      <c r="I97" s="1"/>
      <c r="J97" s="2">
        <v>75</v>
      </c>
      <c r="K97" s="19">
        <f>LOOKUP($J97,'300 hL comp bas'!$A$2:$A$585,'300 hL comp bas'!$D$2:$D$585)</f>
        <v>309.74930000000001</v>
      </c>
      <c r="L97" s="16">
        <v>300</v>
      </c>
      <c r="M97" s="3" t="s">
        <v>42</v>
      </c>
      <c r="N97" s="1">
        <v>311.42</v>
      </c>
    </row>
    <row r="98" spans="1:19">
      <c r="A98" s="1" t="s">
        <v>39</v>
      </c>
      <c r="B98" s="1" t="s">
        <v>139</v>
      </c>
      <c r="C98" s="1">
        <v>1</v>
      </c>
      <c r="D98" s="24" t="s">
        <v>143</v>
      </c>
      <c r="E98" s="1">
        <v>579</v>
      </c>
      <c r="F98" s="1"/>
      <c r="G98" s="1"/>
      <c r="H98" s="1"/>
      <c r="I98" s="1"/>
      <c r="J98" s="2">
        <v>102</v>
      </c>
      <c r="K98" s="19">
        <f>LOOKUP($J98,'465 hL comp bas'!$A$2:$A$585,'465 hL comp bas'!$D$2:$D$585)</f>
        <v>452.48151999999993</v>
      </c>
      <c r="L98" s="16">
        <v>465</v>
      </c>
      <c r="M98" s="3" t="s">
        <v>42</v>
      </c>
      <c r="N98" s="1">
        <v>466.14</v>
      </c>
    </row>
    <row r="99" spans="1:19">
      <c r="A99" s="1" t="s">
        <v>39</v>
      </c>
      <c r="B99" s="1" t="s">
        <v>139</v>
      </c>
      <c r="C99" s="1">
        <v>1</v>
      </c>
      <c r="D99" s="24" t="s">
        <v>144</v>
      </c>
      <c r="E99" s="1">
        <v>579</v>
      </c>
      <c r="F99" s="1"/>
      <c r="G99" s="1"/>
      <c r="H99" s="1"/>
      <c r="I99" s="1"/>
      <c r="J99" s="2">
        <v>82</v>
      </c>
      <c r="K99" s="19">
        <f>LOOKUP($J99,'465 hL comp bas'!$A$2:$A$585,'465 hL comp bas'!$D$2:$D$585)</f>
        <v>463.85778000000005</v>
      </c>
      <c r="L99" s="16">
        <v>465</v>
      </c>
      <c r="M99" s="3" t="s">
        <v>42</v>
      </c>
      <c r="N99" s="1">
        <v>466.14</v>
      </c>
    </row>
    <row r="100" spans="1:19">
      <c r="A100" s="1" t="s">
        <v>39</v>
      </c>
      <c r="B100" s="1" t="s">
        <v>139</v>
      </c>
      <c r="C100" s="1">
        <v>1</v>
      </c>
      <c r="D100" s="24" t="s">
        <v>145</v>
      </c>
      <c r="E100" s="1">
        <v>582</v>
      </c>
      <c r="F100" s="1"/>
      <c r="G100" s="1"/>
      <c r="H100" s="1"/>
      <c r="I100" s="1"/>
      <c r="J100" s="2">
        <v>387</v>
      </c>
      <c r="K100" s="19">
        <f>LOOKUP($J100,'625 hL comp bas ISOTHERMES'!$A$2:$A$584,'625 hL comp bas ISOTHERMES'!$D$2:$D$584)</f>
        <v>291.94419999999997</v>
      </c>
      <c r="L100" s="16">
        <v>625</v>
      </c>
      <c r="M100" s="3" t="s">
        <v>42</v>
      </c>
      <c r="N100" s="1">
        <v>626.21</v>
      </c>
    </row>
    <row r="101" spans="1:19">
      <c r="A101" s="1" t="s">
        <v>39</v>
      </c>
      <c r="B101" s="1" t="s">
        <v>139</v>
      </c>
      <c r="C101" s="1">
        <v>1</v>
      </c>
      <c r="D101" s="24" t="s">
        <v>146</v>
      </c>
      <c r="E101" s="1">
        <v>582</v>
      </c>
      <c r="F101" s="1"/>
      <c r="G101" s="1"/>
      <c r="H101" s="1"/>
      <c r="I101" s="1"/>
      <c r="J101" s="2">
        <v>430</v>
      </c>
      <c r="K101" s="19">
        <f>LOOKUP($J101,'625 hL comp bas ISOTHERMES'!$A$2:$A$584,'625 hL comp bas ISOTHERMES'!$D$2:$D$584)</f>
        <v>242.99919999999997</v>
      </c>
      <c r="L101" s="16">
        <v>625</v>
      </c>
      <c r="M101" s="3" t="s">
        <v>42</v>
      </c>
      <c r="N101" s="1">
        <v>626.21</v>
      </c>
    </row>
    <row r="102" spans="1:19">
      <c r="A102" s="1" t="s">
        <v>39</v>
      </c>
      <c r="B102" s="1" t="s">
        <v>139</v>
      </c>
      <c r="C102" s="1">
        <v>1</v>
      </c>
      <c r="D102" s="24" t="s">
        <v>147</v>
      </c>
      <c r="E102" s="1">
        <v>880</v>
      </c>
      <c r="F102" s="1"/>
      <c r="G102" s="1"/>
      <c r="H102" s="1"/>
      <c r="I102" s="1"/>
      <c r="J102" s="2">
        <v>160</v>
      </c>
      <c r="K102" s="19">
        <f>LOOKUP($J102,'1250 hL comp bas ISOTHERMES'!$A$2:$A$870,'1250 hL comp bas ISOTHERMES'!$D$2:$D$870)</f>
        <v>1159.27656</v>
      </c>
      <c r="L102" s="16">
        <v>1250</v>
      </c>
      <c r="M102" s="3" t="s">
        <v>42</v>
      </c>
      <c r="N102" s="1">
        <v>1248.73</v>
      </c>
    </row>
    <row r="103" spans="1:19">
      <c r="A103" s="1" t="s">
        <v>39</v>
      </c>
      <c r="B103" s="1" t="s">
        <v>139</v>
      </c>
      <c r="C103" s="1">
        <v>1</v>
      </c>
      <c r="D103" s="24" t="s">
        <v>148</v>
      </c>
      <c r="E103" s="1">
        <v>880</v>
      </c>
      <c r="F103" s="1"/>
      <c r="G103" s="1"/>
      <c r="H103" s="1"/>
      <c r="I103" s="1"/>
      <c r="J103" s="2"/>
      <c r="K103" s="19">
        <f>LOOKUP($J103,'1250 hL comp bas ISOTHERMES'!$A$2:$A$870,'1250 hL comp bas ISOTHERMES'!$D$2:$D$870)</f>
        <v>1247.3</v>
      </c>
      <c r="L103" s="16">
        <v>1250</v>
      </c>
      <c r="M103" s="3" t="s">
        <v>42</v>
      </c>
      <c r="N103" s="1">
        <v>1248.73</v>
      </c>
    </row>
    <row r="104" spans="1:19">
      <c r="A104" s="1" t="s">
        <v>39</v>
      </c>
      <c r="B104" s="1" t="s">
        <v>139</v>
      </c>
      <c r="C104" s="1">
        <v>2</v>
      </c>
      <c r="D104" s="9" t="s">
        <v>149</v>
      </c>
      <c r="E104" s="1">
        <v>542</v>
      </c>
      <c r="F104" s="1"/>
      <c r="G104" s="1"/>
      <c r="H104" s="1"/>
      <c r="I104" s="1"/>
      <c r="J104" s="2">
        <v>138</v>
      </c>
      <c r="K104" s="19">
        <f>LOOKUP($E104-$J104,'300 hL comp haut'!$A$2:$A$544,'300 hL comp haut'!$D$2:$D$544)</f>
        <v>259.89</v>
      </c>
      <c r="L104" s="16">
        <v>300</v>
      </c>
      <c r="M104" s="3" t="s">
        <v>42</v>
      </c>
      <c r="N104" s="1">
        <v>301.31</v>
      </c>
    </row>
    <row r="105" spans="1:19">
      <c r="A105" s="1" t="s">
        <v>39</v>
      </c>
      <c r="B105" s="1" t="s">
        <v>139</v>
      </c>
      <c r="C105" s="1">
        <v>2</v>
      </c>
      <c r="D105" s="9" t="s">
        <v>150</v>
      </c>
      <c r="E105" s="1">
        <v>542</v>
      </c>
      <c r="F105" s="1"/>
      <c r="G105" s="1"/>
      <c r="H105" s="1"/>
      <c r="I105" s="1"/>
      <c r="J105" s="2">
        <v>118</v>
      </c>
      <c r="K105" s="19">
        <f>LOOKUP($E105-$J105,'300 hL comp haut'!$A$2:$A$544,'300 hL comp haut'!$D$2:$D$544)</f>
        <v>272.19</v>
      </c>
      <c r="L105" s="16">
        <v>300</v>
      </c>
      <c r="M105" s="3" t="s">
        <v>42</v>
      </c>
      <c r="N105" s="1">
        <v>301.31</v>
      </c>
    </row>
    <row r="106" spans="1:19">
      <c r="A106" s="1" t="s">
        <v>39</v>
      </c>
      <c r="B106" s="1" t="s">
        <v>139</v>
      </c>
      <c r="C106" s="1">
        <v>2</v>
      </c>
      <c r="D106" s="9" t="s">
        <v>151</v>
      </c>
      <c r="E106" s="1">
        <v>542</v>
      </c>
      <c r="F106" s="1"/>
      <c r="G106" s="1"/>
      <c r="H106" s="1"/>
      <c r="I106" s="1"/>
      <c r="J106" s="2">
        <v>132</v>
      </c>
      <c r="K106" s="19">
        <f>LOOKUP($E106-$J106,'455 hL comp haut'!$A$2:$A$544,'455 hL comp haut'!$D$2:$D$544)</f>
        <v>402.02</v>
      </c>
      <c r="L106" s="16">
        <v>455</v>
      </c>
      <c r="M106" s="3" t="s">
        <v>42</v>
      </c>
      <c r="N106" s="1">
        <v>461.42</v>
      </c>
      <c r="S106" t="s">
        <v>38</v>
      </c>
    </row>
    <row r="107" spans="1:19">
      <c r="A107" s="1" t="s">
        <v>39</v>
      </c>
      <c r="B107" s="1" t="s">
        <v>139</v>
      </c>
      <c r="C107" s="1">
        <v>2</v>
      </c>
      <c r="D107" s="9" t="s">
        <v>152</v>
      </c>
      <c r="E107" s="1">
        <v>542</v>
      </c>
      <c r="F107" s="1"/>
      <c r="G107" s="1"/>
      <c r="H107" s="1"/>
      <c r="I107" s="1"/>
      <c r="J107" s="2"/>
      <c r="K107" s="19">
        <f>LOOKUP($E107-$J107,'455 hL comp haut'!$A$2:$A$544,'455 hL comp haut'!$D$2:$D$544)</f>
        <v>461.42</v>
      </c>
      <c r="L107" s="16">
        <v>455</v>
      </c>
      <c r="M107" s="3" t="s">
        <v>42</v>
      </c>
      <c r="N107" s="1">
        <v>461.42</v>
      </c>
    </row>
    <row r="108" spans="1:19">
      <c r="A108" s="1" t="s">
        <v>39</v>
      </c>
      <c r="B108" s="1" t="s">
        <v>139</v>
      </c>
      <c r="C108" s="1">
        <v>2</v>
      </c>
      <c r="D108" s="9" t="s">
        <v>153</v>
      </c>
      <c r="E108" s="1">
        <v>542</v>
      </c>
      <c r="F108" s="1"/>
      <c r="G108" s="1"/>
      <c r="H108" s="1"/>
      <c r="I108" s="1"/>
      <c r="J108" s="2">
        <v>90</v>
      </c>
      <c r="K108" s="19">
        <f>LOOKUP($E108-$J108,'625 hL comp haut'!$A$2:$A$544,'625 hL comp haut'!$D$2:$D$544)</f>
        <v>602.17999999999995</v>
      </c>
      <c r="L108" s="16">
        <v>625</v>
      </c>
      <c r="M108" s="3" t="s">
        <v>42</v>
      </c>
      <c r="N108" s="1">
        <v>633.04999999999995</v>
      </c>
    </row>
    <row r="109" spans="1:19">
      <c r="A109" s="1" t="s">
        <v>39</v>
      </c>
      <c r="B109" s="1" t="s">
        <v>139</v>
      </c>
      <c r="C109" s="1">
        <v>2</v>
      </c>
      <c r="D109" s="9" t="s">
        <v>154</v>
      </c>
      <c r="E109" s="1">
        <v>542</v>
      </c>
      <c r="F109" s="1"/>
      <c r="G109" s="1"/>
      <c r="H109" s="1"/>
      <c r="I109" s="1"/>
      <c r="J109" s="2">
        <v>80</v>
      </c>
      <c r="K109" s="19">
        <f>LOOKUP($E109-$J109,'625 hL comp haut'!$A$2:$A$544,'625 hL comp haut'!$D$2:$D$544)</f>
        <v>614.17999999999995</v>
      </c>
      <c r="L109" s="16">
        <v>625</v>
      </c>
      <c r="M109" s="3" t="s">
        <v>42</v>
      </c>
      <c r="N109" s="1">
        <v>633.04999999999995</v>
      </c>
    </row>
    <row r="110" spans="1:19">
      <c r="A110" s="1" t="s">
        <v>39</v>
      </c>
      <c r="B110" s="1" t="s">
        <v>139</v>
      </c>
      <c r="C110" s="1">
        <v>2</v>
      </c>
      <c r="D110" s="9" t="s">
        <v>155</v>
      </c>
      <c r="E110" s="1">
        <v>251</v>
      </c>
      <c r="F110" s="1"/>
      <c r="G110" s="1"/>
      <c r="H110" s="1"/>
      <c r="I110" s="1"/>
      <c r="J110" s="2">
        <v>57</v>
      </c>
      <c r="K110" s="19">
        <f>LOOKUP($E110-$J110,'335 hL comp haut'!$A$2:$A$253,'335 hL comp haut'!$D$2:$D$253)</f>
        <v>337.51</v>
      </c>
      <c r="L110" s="16">
        <v>335</v>
      </c>
      <c r="M110" s="3" t="s">
        <v>42</v>
      </c>
      <c r="N110" s="1">
        <v>345</v>
      </c>
    </row>
    <row r="111" spans="1:19">
      <c r="A111" s="1" t="s">
        <v>39</v>
      </c>
      <c r="B111" s="1" t="s">
        <v>139</v>
      </c>
      <c r="C111" s="1">
        <v>2</v>
      </c>
      <c r="D111" s="9" t="s">
        <v>156</v>
      </c>
      <c r="E111" s="1">
        <v>251</v>
      </c>
      <c r="F111" s="1"/>
      <c r="G111" s="1"/>
      <c r="H111" s="1"/>
      <c r="I111" s="1"/>
      <c r="J111" s="2">
        <v>177</v>
      </c>
      <c r="K111" s="19">
        <f>LOOKUP($E111-$J111,'335 hL comp haut'!$A$2:$A$253,'335 hL comp haut'!$D$2:$D$253)</f>
        <v>162.22999999999999</v>
      </c>
      <c r="L111" s="16">
        <v>335</v>
      </c>
      <c r="M111" s="3" t="s">
        <v>42</v>
      </c>
      <c r="N111" s="1">
        <v>345</v>
      </c>
    </row>
    <row r="112" spans="1:19">
      <c r="A112" s="1" t="s">
        <v>39</v>
      </c>
      <c r="B112" s="1" t="s">
        <v>157</v>
      </c>
      <c r="C112" s="1">
        <v>1</v>
      </c>
      <c r="D112" s="9" t="s">
        <v>158</v>
      </c>
      <c r="E112" s="1">
        <v>520</v>
      </c>
      <c r="F112" s="1"/>
      <c r="G112" s="11">
        <f t="shared" ref="G112:G117" si="0">L112/E112</f>
        <v>1.6346153846153846</v>
      </c>
      <c r="H112" s="11">
        <v>60</v>
      </c>
      <c r="I112" s="11"/>
      <c r="J112" s="2">
        <v>96</v>
      </c>
      <c r="K112" s="18">
        <f>IF(J112&lt;60,"",(H112+E112-J112)*G112)</f>
        <v>791.15384615384619</v>
      </c>
      <c r="L112" s="16">
        <v>850</v>
      </c>
      <c r="M112" s="3" t="s">
        <v>42</v>
      </c>
      <c r="N112" s="1">
        <v>850</v>
      </c>
    </row>
    <row r="113" spans="1:14">
      <c r="A113" s="1" t="s">
        <v>39</v>
      </c>
      <c r="B113" s="1" t="s">
        <v>157</v>
      </c>
      <c r="C113" s="1">
        <v>1</v>
      </c>
      <c r="D113" s="9" t="s">
        <v>159</v>
      </c>
      <c r="E113" s="1">
        <v>988</v>
      </c>
      <c r="F113" s="1"/>
      <c r="G113" s="11">
        <f t="shared" si="0"/>
        <v>1.0121457489878543</v>
      </c>
      <c r="H113" s="1">
        <v>50</v>
      </c>
      <c r="I113" s="1"/>
      <c r="J113" s="2">
        <v>76</v>
      </c>
      <c r="K113" s="18">
        <f>IF(J113&lt;50,"",(H113+E113-J113)*G113)</f>
        <v>973.68421052631584</v>
      </c>
      <c r="L113" s="16">
        <v>1000</v>
      </c>
      <c r="M113" s="3" t="s">
        <v>42</v>
      </c>
      <c r="N113" s="1">
        <v>1000</v>
      </c>
    </row>
    <row r="114" spans="1:14">
      <c r="A114" s="1" t="s">
        <v>39</v>
      </c>
      <c r="B114" s="1" t="s">
        <v>157</v>
      </c>
      <c r="C114" s="1">
        <v>1</v>
      </c>
      <c r="D114" s="9" t="s">
        <v>160</v>
      </c>
      <c r="E114" s="1">
        <v>988</v>
      </c>
      <c r="F114" s="1"/>
      <c r="G114" s="11">
        <f t="shared" si="0"/>
        <v>1.0121457489878543</v>
      </c>
      <c r="H114" s="1">
        <v>50</v>
      </c>
      <c r="I114" s="1"/>
      <c r="J114" s="2">
        <v>130</v>
      </c>
      <c r="K114" s="18">
        <f>IF(J114&lt;50,"",(H114+E114-J114)*G114)</f>
        <v>919.0283400809717</v>
      </c>
      <c r="L114" s="16">
        <v>1000</v>
      </c>
      <c r="M114" s="3" t="s">
        <v>42</v>
      </c>
      <c r="N114" s="1">
        <v>1000</v>
      </c>
    </row>
    <row r="115" spans="1:14">
      <c r="A115" s="1" t="s">
        <v>39</v>
      </c>
      <c r="B115" s="1" t="s">
        <v>157</v>
      </c>
      <c r="C115" s="1">
        <v>1</v>
      </c>
      <c r="D115" s="9" t="s">
        <v>161</v>
      </c>
      <c r="E115" s="1">
        <v>988</v>
      </c>
      <c r="F115" s="1"/>
      <c r="G115" s="11">
        <f t="shared" si="0"/>
        <v>1.0121457489878543</v>
      </c>
      <c r="H115" s="1">
        <v>50</v>
      </c>
      <c r="I115" s="1"/>
      <c r="J115" s="2">
        <v>234</v>
      </c>
      <c r="K115" s="18">
        <f>IF(J115&lt;50,"",(H115+E115-J115)*G115)</f>
        <v>813.76518218623482</v>
      </c>
      <c r="L115" s="16">
        <v>1000</v>
      </c>
      <c r="M115" s="3" t="s">
        <v>42</v>
      </c>
      <c r="N115" s="1">
        <v>1000</v>
      </c>
    </row>
    <row r="116" spans="1:14">
      <c r="A116" s="1" t="s">
        <v>39</v>
      </c>
      <c r="B116" s="1" t="s">
        <v>157</v>
      </c>
      <c r="C116" s="1">
        <v>1</v>
      </c>
      <c r="D116" s="9" t="s">
        <v>162</v>
      </c>
      <c r="E116" s="1">
        <v>988</v>
      </c>
      <c r="F116" s="1"/>
      <c r="G116" s="11">
        <f t="shared" si="0"/>
        <v>1.0121457489878543</v>
      </c>
      <c r="H116" s="1">
        <v>50</v>
      </c>
      <c r="I116" s="1"/>
      <c r="J116" s="2">
        <v>90</v>
      </c>
      <c r="K116" s="18">
        <f>IF(J116&lt;50,"",(H116+E116-J116)*G116)</f>
        <v>959.51417004048585</v>
      </c>
      <c r="L116" s="16">
        <v>1000</v>
      </c>
      <c r="M116" s="3" t="s">
        <v>42</v>
      </c>
      <c r="N116" s="1">
        <v>1000</v>
      </c>
    </row>
    <row r="117" spans="1:14">
      <c r="A117" s="1" t="s">
        <v>39</v>
      </c>
      <c r="B117" s="1" t="s">
        <v>157</v>
      </c>
      <c r="C117" s="1">
        <v>1</v>
      </c>
      <c r="D117" s="9" t="s">
        <v>163</v>
      </c>
      <c r="E117" s="1">
        <v>988</v>
      </c>
      <c r="F117" s="1"/>
      <c r="G117" s="11">
        <f t="shared" si="0"/>
        <v>1.0121457489878543</v>
      </c>
      <c r="H117" s="1">
        <v>50</v>
      </c>
      <c r="I117" s="1"/>
      <c r="J117" s="2">
        <v>444</v>
      </c>
      <c r="K117" s="18">
        <f>IF(J117&lt;50,"",(H117+E117-J117)*G117)</f>
        <v>601.21457489878537</v>
      </c>
      <c r="L117" s="16">
        <v>1000</v>
      </c>
      <c r="M117" s="3" t="s">
        <v>42</v>
      </c>
      <c r="N117" s="1">
        <v>1000</v>
      </c>
    </row>
    <row r="118" spans="1:14">
      <c r="A118" s="1" t="s">
        <v>39</v>
      </c>
      <c r="B118" s="1" t="s">
        <v>157</v>
      </c>
      <c r="C118" s="1">
        <v>1</v>
      </c>
      <c r="D118" s="9" t="s">
        <v>164</v>
      </c>
      <c r="E118" s="1"/>
      <c r="F118" s="1"/>
      <c r="G118" s="1"/>
      <c r="H118" s="1"/>
      <c r="I118" s="1"/>
      <c r="J118" s="2">
        <v>183</v>
      </c>
      <c r="K118" s="20"/>
      <c r="L118" s="16">
        <v>4800</v>
      </c>
      <c r="M118" s="3" t="s">
        <v>42</v>
      </c>
      <c r="N118" s="1">
        <v>4800</v>
      </c>
    </row>
    <row r="119" spans="1:14">
      <c r="A119" s="1" t="s">
        <v>39</v>
      </c>
      <c r="B119" s="1" t="s">
        <v>165</v>
      </c>
      <c r="C119" s="1">
        <v>1</v>
      </c>
      <c r="D119" s="9" t="s">
        <v>166</v>
      </c>
      <c r="E119" s="1">
        <v>520</v>
      </c>
      <c r="F119" s="1"/>
      <c r="G119" s="11">
        <f>L119/E119</f>
        <v>1.6346153846153846</v>
      </c>
      <c r="H119" s="11">
        <v>60</v>
      </c>
      <c r="I119" s="11"/>
      <c r="J119" s="2">
        <v>57</v>
      </c>
      <c r="K119" s="18" t="str">
        <f>IF(J119&lt;60,"",(H119+E119-J119)*G119)</f>
        <v/>
      </c>
      <c r="L119" s="16">
        <v>850</v>
      </c>
      <c r="M119" s="3" t="s">
        <v>42</v>
      </c>
      <c r="N119" s="1">
        <v>850</v>
      </c>
    </row>
    <row r="120" spans="1:14">
      <c r="A120" s="1" t="s">
        <v>39</v>
      </c>
      <c r="B120" s="1" t="s">
        <v>165</v>
      </c>
      <c r="C120" s="1">
        <v>1</v>
      </c>
      <c r="D120" s="9" t="s">
        <v>167</v>
      </c>
      <c r="E120" s="1">
        <v>520</v>
      </c>
      <c r="F120" s="1"/>
      <c r="G120" s="11">
        <f>L120/E120</f>
        <v>1.6346153846153846</v>
      </c>
      <c r="H120" s="11">
        <v>60</v>
      </c>
      <c r="I120" s="11"/>
      <c r="J120" s="2">
        <v>65</v>
      </c>
      <c r="K120" s="18">
        <f>IF(J120&lt;60,"",(H120+E120-J120)*G120)</f>
        <v>841.82692307692309</v>
      </c>
      <c r="L120" s="16">
        <v>850</v>
      </c>
      <c r="M120" s="3" t="s">
        <v>42</v>
      </c>
      <c r="N120" s="1">
        <v>850</v>
      </c>
    </row>
    <row r="121" spans="1:14">
      <c r="A121" s="1" t="s">
        <v>39</v>
      </c>
      <c r="B121" s="1" t="s">
        <v>165</v>
      </c>
      <c r="C121" s="1">
        <v>1</v>
      </c>
      <c r="D121" s="9" t="s">
        <v>168</v>
      </c>
      <c r="E121" s="1">
        <v>520</v>
      </c>
      <c r="F121" s="1"/>
      <c r="G121" s="11">
        <f>L121/E121</f>
        <v>1.6346153846153846</v>
      </c>
      <c r="H121" s="11">
        <v>60</v>
      </c>
      <c r="I121" s="11"/>
      <c r="J121" s="2">
        <v>100</v>
      </c>
      <c r="K121" s="18">
        <f>IF(J121&lt;60,"",(H121+E121-J121)*G121)</f>
        <v>784.61538461538464</v>
      </c>
      <c r="L121" s="16">
        <v>850</v>
      </c>
      <c r="M121" s="3" t="s">
        <v>42</v>
      </c>
      <c r="N121" s="1">
        <v>850</v>
      </c>
    </row>
    <row r="122" spans="1:14">
      <c r="A122" s="1" t="s">
        <v>39</v>
      </c>
      <c r="B122" s="1" t="s">
        <v>165</v>
      </c>
      <c r="C122" s="1">
        <v>1</v>
      </c>
      <c r="D122" s="9" t="s">
        <v>169</v>
      </c>
      <c r="E122" s="1">
        <v>520</v>
      </c>
      <c r="F122" s="1"/>
      <c r="G122" s="11">
        <f>L122/E122</f>
        <v>1.6346153846153846</v>
      </c>
      <c r="H122" s="11">
        <v>60</v>
      </c>
      <c r="I122" s="11"/>
      <c r="J122" s="2">
        <v>250</v>
      </c>
      <c r="K122" s="18">
        <f>IF(J122&lt;60,"",(H122+E122-J122)*G122)</f>
        <v>539.42307692307691</v>
      </c>
      <c r="L122" s="16">
        <v>850</v>
      </c>
      <c r="M122" s="3" t="s">
        <v>42</v>
      </c>
      <c r="N122" s="1">
        <v>850</v>
      </c>
    </row>
    <row r="123" spans="1:14">
      <c r="A123" s="1" t="s">
        <v>39</v>
      </c>
      <c r="B123" s="1" t="s">
        <v>165</v>
      </c>
      <c r="C123" s="1">
        <v>1</v>
      </c>
      <c r="D123" s="9" t="s">
        <v>170</v>
      </c>
      <c r="E123" s="1">
        <v>520</v>
      </c>
      <c r="F123" s="1"/>
      <c r="G123" s="11">
        <f>L123/E123</f>
        <v>1.6346153846153846</v>
      </c>
      <c r="H123" s="11">
        <v>60</v>
      </c>
      <c r="I123" s="11"/>
      <c r="J123" s="2">
        <v>523</v>
      </c>
      <c r="K123" s="18">
        <f>IF(J123&lt;60,"",(H123+E123-J123)*G123)</f>
        <v>93.17307692307692</v>
      </c>
      <c r="L123" s="16">
        <v>850</v>
      </c>
      <c r="M123" s="3" t="s">
        <v>42</v>
      </c>
      <c r="N123" s="1">
        <v>850</v>
      </c>
    </row>
    <row r="124" spans="1:14">
      <c r="A124" s="1" t="s">
        <v>39</v>
      </c>
      <c r="B124" s="1" t="s">
        <v>165</v>
      </c>
      <c r="C124" s="1">
        <v>1</v>
      </c>
      <c r="D124" s="9" t="s">
        <v>171</v>
      </c>
      <c r="E124" s="1">
        <v>574</v>
      </c>
      <c r="F124" s="1"/>
      <c r="G124" s="1"/>
      <c r="H124" s="1"/>
      <c r="I124" s="1"/>
      <c r="J124" s="2">
        <v>566</v>
      </c>
      <c r="K124" s="19">
        <f>LOOKUP($E124-$J124,'500 hl sur pied'!A2:A576,'500 hl sur pied'!D2:D576)</f>
        <v>9.0500000000000007</v>
      </c>
      <c r="L124" s="16">
        <v>500</v>
      </c>
      <c r="M124" s="3" t="s">
        <v>42</v>
      </c>
      <c r="N124" s="1">
        <v>504.48</v>
      </c>
    </row>
    <row r="125" spans="1:14">
      <c r="A125" s="1" t="s">
        <v>39</v>
      </c>
      <c r="B125" s="1" t="s">
        <v>165</v>
      </c>
      <c r="C125" s="1">
        <v>1</v>
      </c>
      <c r="D125" s="9" t="s">
        <v>172</v>
      </c>
      <c r="E125" s="1">
        <v>520</v>
      </c>
      <c r="F125" s="1"/>
      <c r="G125" s="11">
        <f t="shared" ref="G125:G132" si="1">L125/E125</f>
        <v>1.6346153846153846</v>
      </c>
      <c r="H125" s="11">
        <v>60</v>
      </c>
      <c r="I125" s="11"/>
      <c r="J125" s="2">
        <v>85</v>
      </c>
      <c r="K125" s="18">
        <f t="shared" ref="K125:K131" si="2">IF(J125&lt;60,"",(H125+E125-J125)*G125)</f>
        <v>809.13461538461536</v>
      </c>
      <c r="L125" s="16">
        <v>850</v>
      </c>
      <c r="M125" s="3" t="s">
        <v>42</v>
      </c>
      <c r="N125" s="1">
        <v>850</v>
      </c>
    </row>
    <row r="126" spans="1:14">
      <c r="A126" s="1" t="s">
        <v>39</v>
      </c>
      <c r="B126" s="1" t="s">
        <v>165</v>
      </c>
      <c r="C126" s="1">
        <v>1</v>
      </c>
      <c r="D126" s="9" t="s">
        <v>173</v>
      </c>
      <c r="E126" s="1">
        <v>520</v>
      </c>
      <c r="F126" s="1"/>
      <c r="G126" s="11">
        <f t="shared" si="1"/>
        <v>1.6346153846153846</v>
      </c>
      <c r="H126" s="11">
        <v>60</v>
      </c>
      <c r="I126" s="11"/>
      <c r="J126" s="2">
        <v>69</v>
      </c>
      <c r="K126" s="18">
        <f>IF(J126&lt;60,"",(H126+E126-J126)*G126)</f>
        <v>835.28846153846155</v>
      </c>
      <c r="L126" s="16">
        <v>850</v>
      </c>
      <c r="M126" s="3" t="s">
        <v>42</v>
      </c>
      <c r="N126" s="1">
        <v>850</v>
      </c>
    </row>
    <row r="127" spans="1:14">
      <c r="A127" s="1" t="s">
        <v>39</v>
      </c>
      <c r="B127" s="1" t="s">
        <v>165</v>
      </c>
      <c r="C127" s="1">
        <v>1</v>
      </c>
      <c r="D127" s="9" t="s">
        <v>174</v>
      </c>
      <c r="E127" s="1">
        <v>520</v>
      </c>
      <c r="F127" s="1"/>
      <c r="G127" s="11">
        <f t="shared" si="1"/>
        <v>1.6346153846153846</v>
      </c>
      <c r="H127" s="11">
        <v>60</v>
      </c>
      <c r="I127" s="11"/>
      <c r="J127" s="2">
        <v>90</v>
      </c>
      <c r="K127" s="18">
        <f>IF(J127&lt;60,"",(H127+E127-J127)*G127)</f>
        <v>800.96153846153845</v>
      </c>
      <c r="L127" s="16">
        <v>850</v>
      </c>
      <c r="M127" s="3" t="s">
        <v>42</v>
      </c>
      <c r="N127" s="1">
        <v>850</v>
      </c>
    </row>
    <row r="128" spans="1:14">
      <c r="A128" s="1" t="s">
        <v>39</v>
      </c>
      <c r="B128" s="1" t="s">
        <v>165</v>
      </c>
      <c r="C128" s="1">
        <v>1</v>
      </c>
      <c r="D128" s="9" t="s">
        <v>175</v>
      </c>
      <c r="E128" s="1">
        <v>520</v>
      </c>
      <c r="F128" s="1"/>
      <c r="G128" s="11">
        <f t="shared" si="1"/>
        <v>1.6346153846153846</v>
      </c>
      <c r="H128" s="11">
        <v>60</v>
      </c>
      <c r="I128" s="11"/>
      <c r="J128" s="2">
        <v>64</v>
      </c>
      <c r="K128" s="18">
        <f t="shared" si="2"/>
        <v>843.46153846153845</v>
      </c>
      <c r="L128" s="16">
        <v>850</v>
      </c>
      <c r="M128" s="3" t="s">
        <v>42</v>
      </c>
      <c r="N128" s="1">
        <v>850</v>
      </c>
    </row>
    <row r="129" spans="1:21">
      <c r="A129" s="1" t="s">
        <v>39</v>
      </c>
      <c r="B129" s="1" t="s">
        <v>176</v>
      </c>
      <c r="C129" s="1">
        <v>1</v>
      </c>
      <c r="D129" s="9" t="s">
        <v>177</v>
      </c>
      <c r="E129" s="1">
        <v>520</v>
      </c>
      <c r="F129" s="1"/>
      <c r="G129" s="11">
        <f t="shared" si="1"/>
        <v>1.6346153846153846</v>
      </c>
      <c r="H129" s="11">
        <v>60</v>
      </c>
      <c r="I129" s="11"/>
      <c r="J129" s="2">
        <v>113</v>
      </c>
      <c r="K129" s="18">
        <f>IF(J129&lt;60,"",(H129+E129-J129)*G129)</f>
        <v>763.36538461538464</v>
      </c>
      <c r="L129" s="16">
        <v>850</v>
      </c>
      <c r="M129" s="3" t="s">
        <v>42</v>
      </c>
      <c r="N129" s="1">
        <v>850</v>
      </c>
    </row>
    <row r="130" spans="1:21">
      <c r="A130" s="1" t="s">
        <v>39</v>
      </c>
      <c r="B130" s="1" t="s">
        <v>176</v>
      </c>
      <c r="C130" s="1">
        <v>1</v>
      </c>
      <c r="D130" s="9" t="s">
        <v>178</v>
      </c>
      <c r="E130" s="1">
        <v>520</v>
      </c>
      <c r="F130" s="1"/>
      <c r="G130" s="11">
        <f t="shared" si="1"/>
        <v>1.6346153846153846</v>
      </c>
      <c r="H130" s="11">
        <v>60</v>
      </c>
      <c r="I130" s="11"/>
      <c r="J130" s="2">
        <v>92</v>
      </c>
      <c r="K130" s="18">
        <f t="shared" si="2"/>
        <v>797.69230769230762</v>
      </c>
      <c r="L130" s="16">
        <v>850</v>
      </c>
      <c r="M130" s="3" t="s">
        <v>42</v>
      </c>
      <c r="N130" s="1">
        <v>850</v>
      </c>
    </row>
    <row r="131" spans="1:21">
      <c r="A131" s="1" t="s">
        <v>39</v>
      </c>
      <c r="B131" s="1" t="s">
        <v>176</v>
      </c>
      <c r="C131" s="1">
        <v>1</v>
      </c>
      <c r="D131" s="9" t="s">
        <v>179</v>
      </c>
      <c r="E131" s="1">
        <v>520</v>
      </c>
      <c r="F131" s="1"/>
      <c r="G131" s="11">
        <f t="shared" si="1"/>
        <v>1.6346153846153846</v>
      </c>
      <c r="H131" s="11">
        <v>60</v>
      </c>
      <c r="I131" s="11"/>
      <c r="J131" s="2">
        <v>65</v>
      </c>
      <c r="K131" s="18">
        <f t="shared" si="2"/>
        <v>841.82692307692309</v>
      </c>
      <c r="L131" s="16">
        <v>850</v>
      </c>
      <c r="M131" s="3" t="s">
        <v>42</v>
      </c>
      <c r="N131" s="1">
        <v>850</v>
      </c>
      <c r="U131" t="s">
        <v>12</v>
      </c>
    </row>
    <row r="132" spans="1:21">
      <c r="A132" s="1" t="s">
        <v>39</v>
      </c>
      <c r="B132" s="1" t="s">
        <v>176</v>
      </c>
      <c r="C132" s="1">
        <v>1</v>
      </c>
      <c r="D132" s="9" t="s">
        <v>180</v>
      </c>
      <c r="E132" s="1">
        <v>520</v>
      </c>
      <c r="F132" s="1"/>
      <c r="G132" s="11">
        <f t="shared" si="1"/>
        <v>1.6346153846153846</v>
      </c>
      <c r="H132" s="11">
        <v>60</v>
      </c>
      <c r="I132" s="11"/>
      <c r="J132" s="2">
        <v>71</v>
      </c>
      <c r="K132" s="18">
        <f>IF(J132&lt;60,"",(H132+E132-J132)*G132)</f>
        <v>832.01923076923072</v>
      </c>
      <c r="L132" s="16">
        <v>850</v>
      </c>
      <c r="M132" s="3" t="s">
        <v>42</v>
      </c>
      <c r="N132" s="1">
        <v>850</v>
      </c>
    </row>
    <row r="133" spans="1:21">
      <c r="A133" s="1" t="s">
        <v>39</v>
      </c>
      <c r="B133" s="1" t="s">
        <v>176</v>
      </c>
      <c r="C133" s="1">
        <v>1</v>
      </c>
      <c r="D133" s="9" t="s">
        <v>181</v>
      </c>
      <c r="E133" s="1">
        <v>574</v>
      </c>
      <c r="F133" s="1"/>
      <c r="G133" s="1"/>
      <c r="H133" s="1"/>
      <c r="I133" s="1"/>
      <c r="J133" s="2">
        <v>95</v>
      </c>
      <c r="K133" s="19">
        <f>LOOKUP($E133-$J133,'500 hl sur pied'!A11:A585,'500 hl sur pied'!D11:D585)</f>
        <v>471.95</v>
      </c>
      <c r="L133" s="16">
        <v>500</v>
      </c>
      <c r="M133" s="3" t="s">
        <v>42</v>
      </c>
      <c r="N133" s="1">
        <v>504.48</v>
      </c>
    </row>
    <row r="134" spans="1:21">
      <c r="A134" s="1" t="s">
        <v>39</v>
      </c>
      <c r="B134" s="1" t="s">
        <v>176</v>
      </c>
      <c r="C134" s="1">
        <v>1</v>
      </c>
      <c r="D134" s="9" t="s">
        <v>182</v>
      </c>
      <c r="E134" s="1">
        <v>520</v>
      </c>
      <c r="F134" s="1"/>
      <c r="G134" s="11">
        <f t="shared" ref="G134:G146" si="3">L134/E134</f>
        <v>1.6346153846153846</v>
      </c>
      <c r="H134" s="11">
        <v>60</v>
      </c>
      <c r="I134" s="11"/>
      <c r="J134" s="2">
        <v>216</v>
      </c>
      <c r="K134" s="18">
        <f>IF(J134&lt;60,"",(H134+E134-J134)*G134)</f>
        <v>595</v>
      </c>
      <c r="L134" s="16">
        <v>850</v>
      </c>
      <c r="M134" s="3" t="s">
        <v>42</v>
      </c>
      <c r="N134" s="1">
        <v>850</v>
      </c>
    </row>
    <row r="135" spans="1:21">
      <c r="A135" s="1" t="s">
        <v>39</v>
      </c>
      <c r="B135" s="1" t="s">
        <v>176</v>
      </c>
      <c r="C135" s="1">
        <v>1</v>
      </c>
      <c r="D135" s="9" t="s">
        <v>183</v>
      </c>
      <c r="E135" s="1">
        <v>520</v>
      </c>
      <c r="F135" s="1"/>
      <c r="G135" s="11">
        <f t="shared" si="3"/>
        <v>1.6346153846153846</v>
      </c>
      <c r="H135" s="11">
        <v>60</v>
      </c>
      <c r="I135" s="11"/>
      <c r="J135" s="2">
        <v>136</v>
      </c>
      <c r="K135" s="18">
        <f>IF(J135&lt;60,"",(H135+E135-J135)*G135)</f>
        <v>725.76923076923072</v>
      </c>
      <c r="L135" s="16">
        <v>850</v>
      </c>
      <c r="M135" s="3" t="s">
        <v>42</v>
      </c>
      <c r="N135" s="1">
        <v>850</v>
      </c>
    </row>
    <row r="136" spans="1:21">
      <c r="A136" s="1" t="s">
        <v>39</v>
      </c>
      <c r="B136" s="1" t="s">
        <v>176</v>
      </c>
      <c r="C136" s="1">
        <v>1</v>
      </c>
      <c r="D136" s="9" t="s">
        <v>184</v>
      </c>
      <c r="E136" s="1">
        <v>520</v>
      </c>
      <c r="F136" s="1"/>
      <c r="G136" s="11">
        <f t="shared" si="3"/>
        <v>1.6346153846153846</v>
      </c>
      <c r="H136" s="11">
        <v>60</v>
      </c>
      <c r="I136" s="11"/>
      <c r="J136" s="2">
        <v>404</v>
      </c>
      <c r="K136" s="18">
        <f>IF(J136&lt;60,"",(H136+E136-J136)*G136)</f>
        <v>287.69230769230768</v>
      </c>
      <c r="L136" s="16">
        <v>850</v>
      </c>
      <c r="M136" s="3" t="s">
        <v>42</v>
      </c>
      <c r="N136" s="1">
        <v>850</v>
      </c>
    </row>
    <row r="137" spans="1:21">
      <c r="A137" s="1" t="s">
        <v>39</v>
      </c>
      <c r="B137" s="1" t="s">
        <v>176</v>
      </c>
      <c r="C137" s="1">
        <v>1</v>
      </c>
      <c r="D137" s="9" t="s">
        <v>185</v>
      </c>
      <c r="E137" s="1">
        <v>520</v>
      </c>
      <c r="F137" s="1"/>
      <c r="G137" s="11">
        <f t="shared" si="3"/>
        <v>1.6346153846153846</v>
      </c>
      <c r="H137" s="11">
        <v>60</v>
      </c>
      <c r="I137" s="11"/>
      <c r="J137" s="2">
        <v>435</v>
      </c>
      <c r="K137" s="18">
        <f>IF(J137&lt;60,"",(H137+E137-J137)*G137)</f>
        <v>237.01923076923077</v>
      </c>
      <c r="L137" s="16">
        <v>850</v>
      </c>
      <c r="M137" s="3" t="s">
        <v>42</v>
      </c>
      <c r="N137" s="1">
        <v>850</v>
      </c>
    </row>
    <row r="138" spans="1:21">
      <c r="A138" s="1" t="s">
        <v>39</v>
      </c>
      <c r="B138" s="1" t="s">
        <v>176</v>
      </c>
      <c r="C138" s="1">
        <v>1</v>
      </c>
      <c r="D138" s="9" t="s">
        <v>8</v>
      </c>
      <c r="E138" s="1">
        <v>520</v>
      </c>
      <c r="F138" s="1"/>
      <c r="G138" s="11">
        <f t="shared" si="3"/>
        <v>1.6346153846153846</v>
      </c>
      <c r="H138" s="11">
        <v>60</v>
      </c>
      <c r="I138" s="11"/>
      <c r="J138" s="2">
        <v>100</v>
      </c>
      <c r="K138" s="18">
        <f ca="1">LOOKUP(J138,'850 hL'!$AA$22:$AA$672,'850 hL'!$Z$2:$Z$672)</f>
        <v>817.8123525712939</v>
      </c>
      <c r="L138" s="16">
        <v>850</v>
      </c>
      <c r="M138" s="3" t="s">
        <v>42</v>
      </c>
      <c r="N138" s="1">
        <v>850</v>
      </c>
    </row>
    <row r="139" spans="1:21">
      <c r="A139" s="1" t="s">
        <v>39</v>
      </c>
      <c r="B139" s="1" t="s">
        <v>186</v>
      </c>
      <c r="C139" s="1">
        <v>1</v>
      </c>
      <c r="D139" s="24" t="s">
        <v>187</v>
      </c>
      <c r="E139" s="1">
        <v>317</v>
      </c>
      <c r="F139" s="1"/>
      <c r="G139" s="38">
        <f t="shared" si="3"/>
        <v>1.1514195583596214</v>
      </c>
      <c r="H139" s="1"/>
      <c r="I139" s="1"/>
      <c r="J139" s="2">
        <v>54</v>
      </c>
      <c r="K139" s="19">
        <f>LOOKUP($J139,'365 hl ROUGE 1er ét.'!$A$2:$A$319,'365 hl ROUGE 1er ét.'!$D$2:$D$319)</f>
        <v>362.52</v>
      </c>
      <c r="L139" s="16">
        <v>365</v>
      </c>
      <c r="M139" s="3" t="s">
        <v>42</v>
      </c>
      <c r="N139" s="1">
        <v>367.34</v>
      </c>
    </row>
    <row r="140" spans="1:21">
      <c r="A140" s="1" t="s">
        <v>39</v>
      </c>
      <c r="B140" s="1" t="s">
        <v>186</v>
      </c>
      <c r="C140" s="1">
        <v>1</v>
      </c>
      <c r="D140" s="24" t="s">
        <v>188</v>
      </c>
      <c r="E140" s="1">
        <v>317</v>
      </c>
      <c r="F140" s="1"/>
      <c r="G140" s="38">
        <f t="shared" si="3"/>
        <v>1.1514195583596214</v>
      </c>
      <c r="H140" s="1"/>
      <c r="I140" s="1"/>
      <c r="J140" s="2">
        <v>48</v>
      </c>
      <c r="K140" s="19">
        <f>LOOKUP($J140,'365 hl ROUGE 1er ét.'!$A$2:$A$319,'365 hl ROUGE 1er ét.'!$D$2:$D$319)</f>
        <v>364.92</v>
      </c>
      <c r="L140" s="16">
        <v>365</v>
      </c>
      <c r="M140" s="3" t="s">
        <v>42</v>
      </c>
      <c r="N140" s="1">
        <v>367.34</v>
      </c>
    </row>
    <row r="141" spans="1:21">
      <c r="A141" s="1" t="s">
        <v>39</v>
      </c>
      <c r="B141" s="1" t="s">
        <v>186</v>
      </c>
      <c r="C141" s="1">
        <v>1</v>
      </c>
      <c r="D141" s="24" t="s">
        <v>189</v>
      </c>
      <c r="E141" s="1">
        <v>317</v>
      </c>
      <c r="F141" s="1"/>
      <c r="G141" s="38">
        <f t="shared" si="3"/>
        <v>1.1514195583596214</v>
      </c>
      <c r="H141" s="1"/>
      <c r="I141" s="1"/>
      <c r="J141" s="2">
        <v>200</v>
      </c>
      <c r="K141" s="19">
        <f>LOOKUP($J141,'365 hl ROUGE 1er ét.'!$A$2:$A$319,'365 hl ROUGE 1er ét.'!$D$2:$D$319)</f>
        <v>190.1709613000005</v>
      </c>
      <c r="L141" s="16">
        <v>365</v>
      </c>
      <c r="M141" s="3" t="s">
        <v>42</v>
      </c>
      <c r="N141" s="1">
        <v>367.34</v>
      </c>
    </row>
    <row r="142" spans="1:21">
      <c r="A142" s="1" t="s">
        <v>39</v>
      </c>
      <c r="B142" s="1" t="s">
        <v>186</v>
      </c>
      <c r="C142" s="1">
        <v>1</v>
      </c>
      <c r="D142" s="24" t="s">
        <v>190</v>
      </c>
      <c r="E142" s="1">
        <v>317</v>
      </c>
      <c r="F142" s="1"/>
      <c r="G142" s="38">
        <f t="shared" si="3"/>
        <v>1.1514195583596214</v>
      </c>
      <c r="H142" s="1"/>
      <c r="I142" s="1"/>
      <c r="J142" s="2">
        <v>156</v>
      </c>
      <c r="K142" s="19">
        <f>LOOKUP($J142,'365 hl ROUGE 1er ét.'!$A$2:$A$319,'365 hl ROUGE 1er ét.'!$D$2:$D$319)</f>
        <v>244.21186930000025</v>
      </c>
      <c r="L142" s="16">
        <v>365</v>
      </c>
      <c r="M142" s="3" t="s">
        <v>42</v>
      </c>
      <c r="N142" s="1">
        <v>367.34</v>
      </c>
    </row>
    <row r="143" spans="1:21">
      <c r="A143" s="1" t="s">
        <v>39</v>
      </c>
      <c r="B143" s="1" t="s">
        <v>186</v>
      </c>
      <c r="C143" s="1">
        <v>1</v>
      </c>
      <c r="D143" s="24" t="s">
        <v>191</v>
      </c>
      <c r="E143" s="1">
        <v>356</v>
      </c>
      <c r="F143" s="1"/>
      <c r="G143" s="38">
        <f t="shared" si="3"/>
        <v>0.77247191011235961</v>
      </c>
      <c r="H143" s="1"/>
      <c r="I143" s="1"/>
      <c r="J143" s="2">
        <v>40</v>
      </c>
      <c r="K143" s="19">
        <f>LOOKUP($J143,'275 ROUGE 1er ét.'!$A$2:$A$328,'275 ROUGE 1er ét.'!$D$2:$D$328)</f>
        <v>278.69448000000006</v>
      </c>
      <c r="L143" s="16">
        <v>275</v>
      </c>
      <c r="M143" s="3" t="s">
        <v>42</v>
      </c>
      <c r="N143" s="1">
        <v>279.51</v>
      </c>
    </row>
    <row r="144" spans="1:21">
      <c r="A144" s="1" t="s">
        <v>39</v>
      </c>
      <c r="B144" s="1" t="s">
        <v>186</v>
      </c>
      <c r="C144" s="1">
        <v>1</v>
      </c>
      <c r="D144" s="24" t="s">
        <v>192</v>
      </c>
      <c r="E144" s="1">
        <v>356</v>
      </c>
      <c r="F144" s="1"/>
      <c r="G144" s="38">
        <f t="shared" si="3"/>
        <v>0.77247191011235961</v>
      </c>
      <c r="H144" s="1"/>
      <c r="I144" s="1"/>
      <c r="J144" s="2">
        <v>72</v>
      </c>
      <c r="K144" s="19">
        <f>LOOKUP($J144,'275 ROUGE 1er ét.'!$A$2:$A$328,'275 ROUGE 1er ét.'!$D$2:$D$328)</f>
        <v>260.85901999999993</v>
      </c>
      <c r="L144" s="16">
        <v>275</v>
      </c>
      <c r="M144" s="3" t="s">
        <v>42</v>
      </c>
      <c r="N144" s="1">
        <v>279.51</v>
      </c>
    </row>
    <row r="145" spans="1:14">
      <c r="A145" s="1" t="s">
        <v>39</v>
      </c>
      <c r="B145" s="1" t="s">
        <v>186</v>
      </c>
      <c r="C145" s="1">
        <v>1</v>
      </c>
      <c r="D145" s="24" t="s">
        <v>193</v>
      </c>
      <c r="E145" s="1">
        <v>356</v>
      </c>
      <c r="F145" s="1"/>
      <c r="G145" s="38">
        <f t="shared" si="3"/>
        <v>0.77247191011235961</v>
      </c>
      <c r="H145" s="1"/>
      <c r="I145" s="1"/>
      <c r="J145" s="2">
        <v>187</v>
      </c>
      <c r="K145" s="19">
        <f>LOOKUP($J145,'275 ROUGE 1er ét.'!$A$2:$A$328,'275 ROUGE 1er ét.'!$D$2:$D$328)</f>
        <v>153.06198559999942</v>
      </c>
      <c r="L145" s="16">
        <v>275</v>
      </c>
      <c r="M145" s="3" t="s">
        <v>42</v>
      </c>
      <c r="N145" s="1">
        <v>279.51</v>
      </c>
    </row>
    <row r="146" spans="1:14">
      <c r="A146" s="1" t="s">
        <v>39</v>
      </c>
      <c r="B146" s="1" t="s">
        <v>186</v>
      </c>
      <c r="C146" s="1">
        <v>1</v>
      </c>
      <c r="D146" s="24" t="s">
        <v>194</v>
      </c>
      <c r="E146" s="1">
        <v>356</v>
      </c>
      <c r="F146" s="1"/>
      <c r="G146" s="38">
        <f t="shared" si="3"/>
        <v>0.77247191011235961</v>
      </c>
      <c r="H146" s="1"/>
      <c r="I146" s="1"/>
      <c r="J146" s="2">
        <v>45</v>
      </c>
      <c r="K146" s="19">
        <f>LOOKUP($J146,'275 ROUGE 1er ét.'!$A$2:$A$328,'275 ROUGE 1er ét.'!$D$2:$D$328)</f>
        <v>278.13175999999999</v>
      </c>
      <c r="L146" s="16">
        <v>275</v>
      </c>
      <c r="M146" s="3" t="s">
        <v>42</v>
      </c>
      <c r="N146" s="1">
        <v>279.51</v>
      </c>
    </row>
    <row r="147" spans="1:14">
      <c r="A147" s="1" t="s">
        <v>39</v>
      </c>
      <c r="B147" s="1" t="s">
        <v>186</v>
      </c>
      <c r="C147" s="1">
        <v>1</v>
      </c>
      <c r="D147" s="24" t="s">
        <v>195</v>
      </c>
      <c r="E147" s="1">
        <v>318</v>
      </c>
      <c r="F147" s="1"/>
      <c r="G147" s="1"/>
      <c r="H147" s="1"/>
      <c r="I147" s="1"/>
      <c r="J147" s="2">
        <v>168</v>
      </c>
      <c r="K147" s="19">
        <f>LOOKUP($J147,'190 hL comp bas ROUGE'!$A$2:$A$327,'190 hL comp bas ROUGE'!$D$2:$D$327)</f>
        <v>116.33542489860027</v>
      </c>
      <c r="L147" s="16">
        <v>190</v>
      </c>
      <c r="M147" s="3" t="s">
        <v>42</v>
      </c>
      <c r="N147" s="1">
        <v>190.37</v>
      </c>
    </row>
    <row r="148" spans="1:14">
      <c r="A148" s="1" t="s">
        <v>39</v>
      </c>
      <c r="B148" s="1" t="s">
        <v>186</v>
      </c>
      <c r="C148" s="1">
        <v>1</v>
      </c>
      <c r="D148" s="24" t="s">
        <v>196</v>
      </c>
      <c r="E148" s="1">
        <v>318</v>
      </c>
      <c r="F148" s="1"/>
      <c r="G148" s="1"/>
      <c r="H148" s="1"/>
      <c r="I148" s="1"/>
      <c r="J148" s="2">
        <v>66</v>
      </c>
      <c r="K148" s="19">
        <f>LOOKUP($J148,'190 hL comp bas ROUGE'!$A$2:$A$327,'190 hL comp bas ROUGE'!$D$2:$D$327)</f>
        <v>180.11450000000002</v>
      </c>
      <c r="L148" s="16">
        <v>190</v>
      </c>
      <c r="M148" s="3" t="s">
        <v>42</v>
      </c>
      <c r="N148" s="1">
        <v>190.37</v>
      </c>
    </row>
    <row r="149" spans="1:14">
      <c r="A149" s="1" t="s">
        <v>39</v>
      </c>
      <c r="B149" s="1" t="s">
        <v>186</v>
      </c>
      <c r="C149" s="1">
        <v>1</v>
      </c>
      <c r="D149" s="24" t="s">
        <v>197</v>
      </c>
      <c r="E149" s="1">
        <v>318</v>
      </c>
      <c r="F149" s="1"/>
      <c r="G149" s="1"/>
      <c r="H149" s="1"/>
      <c r="I149" s="1"/>
      <c r="J149" s="2">
        <v>176</v>
      </c>
      <c r="K149" s="19">
        <f>LOOKUP($J149,'190 hL comp bas ROUGE'!$A$2:$A$327,'190 hL comp bas ROUGE'!$D$2:$D$327)</f>
        <v>111.5607017720003</v>
      </c>
      <c r="L149" s="16">
        <v>190</v>
      </c>
      <c r="M149" s="3" t="s">
        <v>42</v>
      </c>
      <c r="N149" s="1">
        <v>190.37</v>
      </c>
    </row>
    <row r="150" spans="1:14">
      <c r="A150" s="1" t="s">
        <v>39</v>
      </c>
      <c r="B150" s="1" t="s">
        <v>186</v>
      </c>
      <c r="C150" s="1">
        <v>2</v>
      </c>
      <c r="D150" s="24" t="s">
        <v>198</v>
      </c>
      <c r="E150" s="1"/>
      <c r="F150" s="1"/>
      <c r="G150" s="1"/>
      <c r="H150" s="1"/>
      <c r="I150" s="1"/>
      <c r="J150" s="2">
        <v>153</v>
      </c>
      <c r="K150" s="19">
        <f>LOOKUP(J150,'450hL ROUGE 2nd ét.'!$A$2:$A$602,'450hL ROUGE 2nd ét.'!$D$2:$D$602)</f>
        <v>428.98314999999985</v>
      </c>
      <c r="L150" s="16">
        <v>450</v>
      </c>
      <c r="M150" s="3" t="s">
        <v>42</v>
      </c>
      <c r="N150" s="1"/>
    </row>
    <row r="151" spans="1:14">
      <c r="A151" s="1" t="s">
        <v>39</v>
      </c>
      <c r="B151" s="1" t="s">
        <v>186</v>
      </c>
      <c r="C151" s="1">
        <v>2</v>
      </c>
      <c r="D151" s="24" t="s">
        <v>199</v>
      </c>
      <c r="E151" s="1"/>
      <c r="F151" s="1"/>
      <c r="G151" s="1"/>
      <c r="H151" s="1"/>
      <c r="I151" s="1"/>
      <c r="J151" s="2">
        <v>300</v>
      </c>
      <c r="K151" s="19">
        <f>LOOKUP(J151,'450hL ROUGE 2nd ét.'!$A$2:$A$602,'450hL ROUGE 2nd ét.'!$D$2:$D$602)</f>
        <v>287.60060199999998</v>
      </c>
      <c r="L151" s="16">
        <v>450</v>
      </c>
      <c r="M151" s="3" t="s">
        <v>42</v>
      </c>
      <c r="N151" s="1"/>
    </row>
    <row r="152" spans="1:14">
      <c r="A152" s="1" t="s">
        <v>39</v>
      </c>
      <c r="B152" s="1" t="s">
        <v>186</v>
      </c>
      <c r="C152" s="1">
        <v>2</v>
      </c>
      <c r="D152" s="24" t="s">
        <v>200</v>
      </c>
      <c r="E152" s="1"/>
      <c r="F152" s="1"/>
      <c r="G152" s="1"/>
      <c r="H152" s="1"/>
      <c r="I152" s="1"/>
      <c r="J152" s="2">
        <v>190</v>
      </c>
      <c r="K152" s="19">
        <f>LOOKUP(J152,'450hL ROUGE 2nd ét.'!$A$2:$A$602,'450hL ROUGE 2nd ét.'!$D$2:$D$602)</f>
        <v>405.48721000000012</v>
      </c>
      <c r="L152" s="16">
        <v>450</v>
      </c>
      <c r="M152" s="3" t="s">
        <v>42</v>
      </c>
      <c r="N152" s="1"/>
    </row>
    <row r="153" spans="1:14">
      <c r="A153" s="1" t="s">
        <v>39</v>
      </c>
      <c r="B153" s="1" t="s">
        <v>186</v>
      </c>
      <c r="C153" s="1">
        <v>2</v>
      </c>
      <c r="D153" s="24" t="s">
        <v>201</v>
      </c>
      <c r="E153" s="1"/>
      <c r="F153" s="1"/>
      <c r="G153" s="1"/>
      <c r="H153" s="1"/>
      <c r="I153" s="1"/>
      <c r="J153" s="2">
        <v>389</v>
      </c>
      <c r="K153" s="19">
        <f>LOOKUP(J153,'450hL ROUGE 2nd ét.'!$A$2:$A$602,'450hL ROUGE 2nd ét.'!$D$2:$D$602)</f>
        <v>180.89553899999999</v>
      </c>
      <c r="L153" s="16">
        <v>450</v>
      </c>
      <c r="M153" s="3" t="s">
        <v>42</v>
      </c>
      <c r="N153" s="1"/>
    </row>
    <row r="154" spans="1:14">
      <c r="A154" s="1" t="s">
        <v>39</v>
      </c>
      <c r="B154" s="1" t="s">
        <v>186</v>
      </c>
      <c r="C154" s="1">
        <v>2</v>
      </c>
      <c r="D154" s="9" t="s">
        <v>202</v>
      </c>
      <c r="E154" s="1"/>
      <c r="F154" s="1"/>
      <c r="G154" s="1"/>
      <c r="H154" s="1"/>
      <c r="I154" s="1"/>
      <c r="J154" s="2">
        <v>140</v>
      </c>
      <c r="K154" s="19">
        <f>LOOKUP(J154,'345 ROUGE 2nd ét.'!$A$2:$A$602,'345 ROUGE 2nd ét.'!$D$2:$D$602)</f>
        <v>333.94967999999994</v>
      </c>
      <c r="L154" s="16">
        <v>345</v>
      </c>
      <c r="M154" s="3" t="s">
        <v>42</v>
      </c>
      <c r="N154" s="1"/>
    </row>
    <row r="155" spans="1:14">
      <c r="A155" s="1" t="s">
        <v>39</v>
      </c>
      <c r="B155" s="1" t="s">
        <v>186</v>
      </c>
      <c r="C155" s="1">
        <v>2</v>
      </c>
      <c r="D155" s="9" t="s">
        <v>203</v>
      </c>
      <c r="E155" s="1"/>
      <c r="F155" s="1"/>
      <c r="G155" s="1"/>
      <c r="H155" s="1"/>
      <c r="I155" s="1"/>
      <c r="J155" s="2">
        <v>168</v>
      </c>
      <c r="K155" s="19">
        <f>LOOKUP(J155,'345 ROUGE 2nd ét.'!$A$2:$A$602,'345 ROUGE 2nd ét.'!$D$2:$D$602)</f>
        <v>323.67869999999999</v>
      </c>
      <c r="L155" s="16">
        <v>345</v>
      </c>
      <c r="M155" s="3" t="s">
        <v>42</v>
      </c>
      <c r="N155" s="1"/>
    </row>
    <row r="156" spans="1:14">
      <c r="A156" s="1" t="s">
        <v>39</v>
      </c>
      <c r="B156" s="1" t="s">
        <v>186</v>
      </c>
      <c r="C156" s="1">
        <v>2</v>
      </c>
      <c r="D156" s="9" t="s">
        <v>204</v>
      </c>
      <c r="E156" s="1"/>
      <c r="F156" s="1"/>
      <c r="G156" s="1"/>
      <c r="H156" s="1"/>
      <c r="I156" s="1"/>
      <c r="J156" s="2">
        <v>250</v>
      </c>
      <c r="K156" s="19">
        <f>LOOKUP(J156,'345 ROUGE 2nd ét.'!$A$2:$A$602,'345 ROUGE 2nd ét.'!$D$2:$D$602)</f>
        <v>265.98009999999999</v>
      </c>
      <c r="L156" s="16">
        <v>345</v>
      </c>
      <c r="M156" s="3" t="s">
        <v>42</v>
      </c>
      <c r="N156" s="1"/>
    </row>
    <row r="157" spans="1:14">
      <c r="A157" s="1" t="s">
        <v>39</v>
      </c>
      <c r="B157" s="1" t="s">
        <v>186</v>
      </c>
      <c r="C157" s="1">
        <v>2</v>
      </c>
      <c r="D157" s="9" t="s">
        <v>205</v>
      </c>
      <c r="E157" s="1"/>
      <c r="F157" s="1"/>
      <c r="G157" s="1"/>
      <c r="H157" s="1"/>
      <c r="I157" s="1"/>
      <c r="J157" s="2">
        <v>140</v>
      </c>
      <c r="K157" s="19">
        <f>LOOKUP(J157,'345 ROUGE 2nd ét.'!$A$2:$A$602,'345 ROUGE 2nd ét.'!$D$2:$D$602)</f>
        <v>333.94967999999994</v>
      </c>
      <c r="L157" s="16">
        <v>345</v>
      </c>
      <c r="M157" s="3" t="s">
        <v>42</v>
      </c>
      <c r="N157" s="1"/>
    </row>
    <row r="158" spans="1:14">
      <c r="A158" s="1" t="s">
        <v>39</v>
      </c>
      <c r="B158" s="1" t="s">
        <v>186</v>
      </c>
      <c r="C158" s="1">
        <v>2</v>
      </c>
      <c r="D158" s="9" t="s">
        <v>206</v>
      </c>
      <c r="E158" s="1"/>
      <c r="F158" s="1"/>
      <c r="G158" s="1"/>
      <c r="H158" s="1"/>
      <c r="I158" s="1"/>
      <c r="J158" s="2">
        <v>138</v>
      </c>
      <c r="K158" s="19">
        <f>LOOKUP(J158,'240 hL comp ROUGE 2nd ét.'!$A$2:$A$572,'240 hL comp ROUGE 2nd ét.'!$D$2:$D$572)</f>
        <v>229.55815999999996</v>
      </c>
      <c r="L158" s="16">
        <v>240</v>
      </c>
      <c r="M158" s="3" t="s">
        <v>42</v>
      </c>
      <c r="N158" s="1"/>
    </row>
    <row r="159" spans="1:14">
      <c r="A159" s="1" t="s">
        <v>39</v>
      </c>
      <c r="B159" s="1" t="s">
        <v>186</v>
      </c>
      <c r="C159" s="1">
        <v>2</v>
      </c>
      <c r="D159" s="9" t="s">
        <v>207</v>
      </c>
      <c r="E159" s="1"/>
      <c r="F159" s="1"/>
      <c r="G159" s="1"/>
      <c r="H159" s="1"/>
      <c r="I159" s="1"/>
      <c r="J159" s="2">
        <v>149</v>
      </c>
      <c r="K159" s="19">
        <f>LOOKUP(J159,'240 hL comp ROUGE 2nd ét.'!$A$2:$A$572,'240 hL comp ROUGE 2nd ét.'!$D$2:$D$572)</f>
        <v>226.4292300000001</v>
      </c>
      <c r="L159" s="16">
        <v>240</v>
      </c>
      <c r="M159" s="3" t="s">
        <v>42</v>
      </c>
      <c r="N159" s="1"/>
    </row>
    <row r="160" spans="1:14">
      <c r="A160" s="1" t="s">
        <v>39</v>
      </c>
      <c r="B160" s="1" t="s">
        <v>186</v>
      </c>
      <c r="C160" s="1">
        <v>2</v>
      </c>
      <c r="D160" s="9" t="s">
        <v>208</v>
      </c>
      <c r="E160" s="1"/>
      <c r="F160" s="1"/>
      <c r="G160" s="1"/>
      <c r="H160" s="1"/>
      <c r="I160" s="1"/>
      <c r="J160" s="2">
        <v>70</v>
      </c>
      <c r="K160" s="19">
        <f>LOOKUP(J160,'240 hL comp ROUGE 2nd ét.'!$A$2:$A$572,'240 hL comp ROUGE 2nd ét.'!$D$2:$D$572)</f>
        <v>238.65225999999996</v>
      </c>
      <c r="L160" s="16">
        <v>240</v>
      </c>
      <c r="M160" s="3" t="s">
        <v>42</v>
      </c>
      <c r="N160" s="1"/>
    </row>
    <row r="161" spans="1:14">
      <c r="A161" s="1" t="s">
        <v>39</v>
      </c>
      <c r="B161" s="1" t="s">
        <v>186</v>
      </c>
      <c r="C161" s="1">
        <v>3</v>
      </c>
      <c r="D161" s="24" t="s">
        <v>209</v>
      </c>
      <c r="E161" s="1"/>
      <c r="F161" s="1"/>
      <c r="G161" s="1"/>
      <c r="H161" s="1"/>
      <c r="I161" s="1"/>
      <c r="J161" s="2">
        <v>106</v>
      </c>
      <c r="K161" s="26">
        <f>LOOKUP($J161,'330 hl Rouge 3em ét.'!A2:A447,'330 hl Rouge 3em ét.'!D2:D447)</f>
        <v>290.70241999999996</v>
      </c>
      <c r="L161" s="16">
        <v>330</v>
      </c>
      <c r="M161" s="3" t="s">
        <v>42</v>
      </c>
      <c r="N161" s="1"/>
    </row>
    <row r="162" spans="1:14">
      <c r="A162" s="1" t="s">
        <v>39</v>
      </c>
      <c r="B162" s="1" t="s">
        <v>186</v>
      </c>
      <c r="C162" s="1">
        <v>3</v>
      </c>
      <c r="D162" s="24" t="s">
        <v>210</v>
      </c>
      <c r="E162" s="1"/>
      <c r="F162" s="1"/>
      <c r="G162" s="1"/>
      <c r="H162" s="1"/>
      <c r="I162" s="1"/>
      <c r="J162" s="2">
        <v>31</v>
      </c>
      <c r="K162" s="26">
        <f>LOOKUP(J162,'330 hl Rouge 3em ét.'!A2:A447,'330 hl Rouge 3em ét.'!D2:D447)</f>
        <v>332.51407</v>
      </c>
      <c r="L162" s="16">
        <v>330</v>
      </c>
      <c r="M162" s="3" t="s">
        <v>42</v>
      </c>
      <c r="N162" s="1"/>
    </row>
    <row r="163" spans="1:14">
      <c r="A163" s="1" t="s">
        <v>39</v>
      </c>
      <c r="B163" s="1" t="s">
        <v>186</v>
      </c>
      <c r="C163" s="1">
        <v>3</v>
      </c>
      <c r="D163" s="24" t="s">
        <v>211</v>
      </c>
      <c r="E163" s="1"/>
      <c r="F163" s="1"/>
      <c r="G163" s="1"/>
      <c r="H163" s="1"/>
      <c r="I163" s="1"/>
      <c r="J163" s="2">
        <v>108</v>
      </c>
      <c r="K163" s="26">
        <f>LOOKUP(J163,'330 hl Rouge 3em ét.'!A2:A447,'330 hl Rouge 3em ét.'!D2:D447)</f>
        <v>287.73455999999999</v>
      </c>
      <c r="L163" s="16">
        <v>330</v>
      </c>
      <c r="M163" s="3" t="s">
        <v>42</v>
      </c>
      <c r="N163" s="1"/>
    </row>
    <row r="164" spans="1:14">
      <c r="A164" s="1" t="s">
        <v>39</v>
      </c>
      <c r="B164" s="1" t="s">
        <v>186</v>
      </c>
      <c r="C164" s="1">
        <v>3</v>
      </c>
      <c r="D164" s="24" t="s">
        <v>212</v>
      </c>
      <c r="E164" s="1"/>
      <c r="F164" s="1"/>
      <c r="G164" s="1"/>
      <c r="H164" s="1"/>
      <c r="I164" s="1"/>
      <c r="J164" s="2">
        <v>21</v>
      </c>
      <c r="K164" s="26">
        <f>LOOKUP(J164,'330 hl Rouge 3em ét.'!A2:A447,'330 hl Rouge 3em ét.'!D2:D447)</f>
        <v>332.79737</v>
      </c>
      <c r="L164" s="16">
        <v>330</v>
      </c>
      <c r="M164" s="3" t="s">
        <v>42</v>
      </c>
      <c r="N164" s="1"/>
    </row>
    <row r="165" spans="1:14">
      <c r="A165" s="1" t="s">
        <v>39</v>
      </c>
      <c r="B165" s="1" t="s">
        <v>186</v>
      </c>
      <c r="C165" s="1">
        <v>3</v>
      </c>
      <c r="D165" s="9" t="s">
        <v>213</v>
      </c>
      <c r="E165" s="1"/>
      <c r="F165" s="1"/>
      <c r="G165" s="1"/>
      <c r="H165" s="1"/>
      <c r="I165" s="1"/>
      <c r="J165" s="2">
        <v>130</v>
      </c>
      <c r="K165" s="26">
        <f>LOOKUP(J165,'265 ROUGE 3ème ét.'!$A$2:$A$447,'265 ROUGE 3ème ét.'!$D$2:$D$447)</f>
        <v>210.43069200200043</v>
      </c>
      <c r="L165" s="16">
        <v>265</v>
      </c>
      <c r="M165" s="3" t="s">
        <v>42</v>
      </c>
      <c r="N165" s="1"/>
    </row>
    <row r="166" spans="1:14">
      <c r="A166" s="1" t="s">
        <v>39</v>
      </c>
      <c r="B166" s="1" t="s">
        <v>186</v>
      </c>
      <c r="C166" s="1">
        <v>3</v>
      </c>
      <c r="D166" s="9" t="s">
        <v>214</v>
      </c>
      <c r="E166" s="1"/>
      <c r="F166" s="1"/>
      <c r="G166" s="1"/>
      <c r="H166" s="1"/>
      <c r="I166" s="1"/>
      <c r="J166" s="2"/>
      <c r="K166" s="26">
        <f>LOOKUP(J166,'265 ROUGE 3ème ét.'!$A$2:$A$447,'265 ROUGE 3ème ét.'!$D$2:$D$447)</f>
        <v>265</v>
      </c>
      <c r="L166" s="16">
        <v>265</v>
      </c>
      <c r="M166" s="3" t="s">
        <v>42</v>
      </c>
      <c r="N166" s="1"/>
    </row>
    <row r="167" spans="1:14">
      <c r="A167" s="1" t="s">
        <v>39</v>
      </c>
      <c r="B167" s="1" t="s">
        <v>186</v>
      </c>
      <c r="C167" s="1">
        <v>3</v>
      </c>
      <c r="D167" s="9" t="s">
        <v>215</v>
      </c>
      <c r="E167" s="1"/>
      <c r="F167" s="1"/>
      <c r="G167" s="1"/>
      <c r="H167" s="1"/>
      <c r="I167" s="1"/>
      <c r="J167" s="2">
        <v>89</v>
      </c>
      <c r="K167" s="26">
        <f>LOOKUP(J167,'265 ROUGE 3ème ét.'!$A$2:$A$447,'265 ROUGE 3ème ét.'!$D$2:$D$447)</f>
        <v>251.62517999999992</v>
      </c>
      <c r="L167" s="16">
        <v>265</v>
      </c>
      <c r="M167" s="3" t="s">
        <v>42</v>
      </c>
      <c r="N167" s="1"/>
    </row>
    <row r="168" spans="1:14">
      <c r="A168" s="1" t="s">
        <v>39</v>
      </c>
      <c r="B168" s="1" t="s">
        <v>186</v>
      </c>
      <c r="C168" s="1">
        <v>3</v>
      </c>
      <c r="D168" s="9" t="s">
        <v>216</v>
      </c>
      <c r="E168" s="1"/>
      <c r="F168" s="1"/>
      <c r="G168" s="1"/>
      <c r="H168" s="1"/>
      <c r="I168" s="1"/>
      <c r="J168" s="2">
        <v>92</v>
      </c>
      <c r="K168" s="26">
        <f>LOOKUP(J168,'265 ROUGE 3ème ét.'!$A$2:$A$447,'265 ROUGE 3ème ét.'!$D$2:$D$447)</f>
        <v>248.92361999999997</v>
      </c>
      <c r="L168" s="16">
        <v>265</v>
      </c>
      <c r="M168" s="3" t="s">
        <v>42</v>
      </c>
      <c r="N168" s="1"/>
    </row>
    <row r="169" spans="1:14">
      <c r="A169" s="1" t="s">
        <v>39</v>
      </c>
      <c r="B169" s="1" t="s">
        <v>186</v>
      </c>
      <c r="C169" s="1">
        <v>3</v>
      </c>
      <c r="D169" s="9" t="s">
        <v>217</v>
      </c>
      <c r="E169" s="1">
        <v>190</v>
      </c>
      <c r="F169" s="1"/>
      <c r="G169" s="1"/>
      <c r="H169" s="1"/>
      <c r="I169" s="1"/>
      <c r="J169" s="2">
        <v>114</v>
      </c>
      <c r="K169" s="19">
        <f>LOOKUP($J169,'190 hl Rouge 3em ét.'!$A$2:$A$441,'190 hl Rouge 3em ét.'!$D$2:$D$441)</f>
        <v>163.27055374680006</v>
      </c>
      <c r="L169" s="16">
        <v>190</v>
      </c>
      <c r="M169" s="3" t="s">
        <v>42</v>
      </c>
      <c r="N169" s="1"/>
    </row>
    <row r="170" spans="1:14">
      <c r="A170" s="1" t="s">
        <v>39</v>
      </c>
      <c r="B170" s="1" t="s">
        <v>186</v>
      </c>
      <c r="C170" s="1">
        <v>3</v>
      </c>
      <c r="D170" s="9" t="s">
        <v>218</v>
      </c>
      <c r="E170" s="1">
        <v>190</v>
      </c>
      <c r="F170" s="1"/>
      <c r="G170" s="1"/>
      <c r="H170" s="1"/>
      <c r="I170" s="1"/>
      <c r="J170" s="2">
        <v>197</v>
      </c>
      <c r="K170" s="19">
        <f>LOOKUP($J170,'190 hl Rouge 3em ét.'!$A$2:$A$441,'190 hl Rouge 3em ét.'!$D$2:$D$441)</f>
        <v>106.65597953140048</v>
      </c>
      <c r="L170" s="16">
        <v>190</v>
      </c>
      <c r="M170" s="3" t="s">
        <v>42</v>
      </c>
      <c r="N170" s="1"/>
    </row>
    <row r="171" spans="1:14">
      <c r="A171" s="1" t="s">
        <v>39</v>
      </c>
      <c r="B171" s="1" t="s">
        <v>186</v>
      </c>
      <c r="C171" s="1">
        <v>3</v>
      </c>
      <c r="D171" s="9" t="s">
        <v>219</v>
      </c>
      <c r="E171" s="1">
        <v>190</v>
      </c>
      <c r="F171" s="1"/>
      <c r="G171" s="1"/>
      <c r="H171" s="1"/>
      <c r="I171" s="1"/>
      <c r="J171" s="2">
        <v>133</v>
      </c>
      <c r="K171" s="19">
        <f>LOOKUP($J171,'190 hl Rouge 3em ét.'!$A$2:$A$441,'190 hl Rouge 3em ét.'!$D$2:$D$441)</f>
        <v>150.31059097460016</v>
      </c>
      <c r="L171" s="16">
        <v>190</v>
      </c>
      <c r="M171" s="3" t="s">
        <v>42</v>
      </c>
      <c r="N171" s="1"/>
    </row>
    <row r="172" spans="1:14">
      <c r="A172" s="39" t="s">
        <v>39</v>
      </c>
      <c r="B172" s="39" t="s">
        <v>220</v>
      </c>
      <c r="C172" s="39">
        <v>1</v>
      </c>
      <c r="D172" s="40" t="s">
        <v>221</v>
      </c>
      <c r="E172" s="39">
        <v>404</v>
      </c>
      <c r="F172" s="39">
        <v>15</v>
      </c>
      <c r="G172" s="41">
        <f t="shared" ref="G172:G210" si="4">L172/E172</f>
        <v>0.25247524752475248</v>
      </c>
      <c r="H172" s="39">
        <v>0</v>
      </c>
      <c r="I172" s="39"/>
      <c r="J172" s="42">
        <f>404-130</f>
        <v>274</v>
      </c>
      <c r="K172" s="43">
        <f t="shared" ref="K172:K209" si="5">(J172+F172)/E172*L172</f>
        <v>72.965346534653463</v>
      </c>
      <c r="L172" s="44">
        <v>102</v>
      </c>
      <c r="M172" s="45" t="s">
        <v>222</v>
      </c>
      <c r="N172" s="39"/>
    </row>
    <row r="173" spans="1:14">
      <c r="A173" s="46" t="s">
        <v>39</v>
      </c>
      <c r="B173" s="46" t="s">
        <v>220</v>
      </c>
      <c r="C173" s="46">
        <v>1</v>
      </c>
      <c r="D173" s="47" t="s">
        <v>221</v>
      </c>
      <c r="E173" s="46">
        <v>404</v>
      </c>
      <c r="F173" s="46">
        <v>15</v>
      </c>
      <c r="G173" s="48">
        <f t="shared" ref="G173" si="6">L173/E173</f>
        <v>0.25247524752475248</v>
      </c>
      <c r="H173" s="46">
        <v>0</v>
      </c>
      <c r="I173" s="46"/>
      <c r="J173" s="49">
        <v>131</v>
      </c>
      <c r="K173" s="50">
        <f>(E173-J173)*L173/E173</f>
        <v>68.925742574257427</v>
      </c>
      <c r="L173" s="51">
        <v>102</v>
      </c>
      <c r="M173" s="52" t="s">
        <v>291</v>
      </c>
      <c r="N173" s="46"/>
    </row>
    <row r="174" spans="1:14">
      <c r="A174" s="39" t="s">
        <v>39</v>
      </c>
      <c r="B174" s="39" t="s">
        <v>220</v>
      </c>
      <c r="C174" s="39">
        <v>1</v>
      </c>
      <c r="D174" s="40" t="s">
        <v>223</v>
      </c>
      <c r="E174" s="39">
        <v>404</v>
      </c>
      <c r="F174" s="39">
        <v>15</v>
      </c>
      <c r="G174" s="41">
        <f t="shared" si="4"/>
        <v>0.25247524752475248</v>
      </c>
      <c r="H174" s="39">
        <v>0</v>
      </c>
      <c r="I174" s="39"/>
      <c r="J174" s="42">
        <f>404-9</f>
        <v>395</v>
      </c>
      <c r="K174" s="43">
        <f t="shared" si="5"/>
        <v>103.51485148514851</v>
      </c>
      <c r="L174" s="44">
        <v>102</v>
      </c>
      <c r="M174" s="45" t="s">
        <v>222</v>
      </c>
      <c r="N174" s="39"/>
    </row>
    <row r="175" spans="1:14">
      <c r="A175" s="46" t="s">
        <v>39</v>
      </c>
      <c r="B175" s="46" t="s">
        <v>220</v>
      </c>
      <c r="C175" s="46">
        <v>1</v>
      </c>
      <c r="D175" s="47" t="s">
        <v>223</v>
      </c>
      <c r="E175" s="46">
        <v>404</v>
      </c>
      <c r="F175" s="46">
        <v>15</v>
      </c>
      <c r="G175" s="48">
        <f t="shared" si="4"/>
        <v>0.25247524752475248</v>
      </c>
      <c r="H175" s="46">
        <v>0</v>
      </c>
      <c r="I175" s="46"/>
      <c r="J175" s="49">
        <v>22</v>
      </c>
      <c r="K175" s="50">
        <f>(E175-J175)*L175/E175</f>
        <v>96.445544554455452</v>
      </c>
      <c r="L175" s="51">
        <v>102</v>
      </c>
      <c r="M175" s="52" t="s">
        <v>291</v>
      </c>
      <c r="N175" s="46"/>
    </row>
    <row r="176" spans="1:14">
      <c r="A176" s="39" t="s">
        <v>39</v>
      </c>
      <c r="B176" s="39" t="s">
        <v>220</v>
      </c>
      <c r="C176" s="39">
        <v>1</v>
      </c>
      <c r="D176" s="40" t="s">
        <v>224</v>
      </c>
      <c r="E176" s="39">
        <v>404</v>
      </c>
      <c r="F176" s="39">
        <v>15</v>
      </c>
      <c r="G176" s="41">
        <f t="shared" si="4"/>
        <v>0.25247524752475248</v>
      </c>
      <c r="H176" s="39">
        <v>0</v>
      </c>
      <c r="I176" s="39"/>
      <c r="J176" s="42">
        <f>404-42</f>
        <v>362</v>
      </c>
      <c r="K176" s="43">
        <f t="shared" si="5"/>
        <v>95.183168316831683</v>
      </c>
      <c r="L176" s="44">
        <v>102</v>
      </c>
      <c r="M176" s="45" t="s">
        <v>222</v>
      </c>
      <c r="N176" s="39"/>
    </row>
    <row r="177" spans="1:14">
      <c r="A177" s="46" t="s">
        <v>39</v>
      </c>
      <c r="B177" s="46" t="s">
        <v>220</v>
      </c>
      <c r="C177" s="46">
        <v>1</v>
      </c>
      <c r="D177" s="47" t="s">
        <v>224</v>
      </c>
      <c r="E177" s="46">
        <v>404</v>
      </c>
      <c r="F177" s="46">
        <v>15</v>
      </c>
      <c r="G177" s="48">
        <f t="shared" ref="G177" si="7">L177/E177</f>
        <v>0.25247524752475248</v>
      </c>
      <c r="H177" s="46">
        <v>0</v>
      </c>
      <c r="I177" s="46"/>
      <c r="J177" s="49">
        <v>44</v>
      </c>
      <c r="K177" s="50">
        <f>(E177-J177)*L177/E177</f>
        <v>90.89108910891089</v>
      </c>
      <c r="L177" s="51">
        <v>102</v>
      </c>
      <c r="M177" s="52" t="s">
        <v>291</v>
      </c>
      <c r="N177" s="46"/>
    </row>
    <row r="178" spans="1:14">
      <c r="A178" s="39" t="s">
        <v>39</v>
      </c>
      <c r="B178" s="39" t="s">
        <v>220</v>
      </c>
      <c r="C178" s="39">
        <v>1</v>
      </c>
      <c r="D178" s="40" t="s">
        <v>225</v>
      </c>
      <c r="E178" s="39">
        <v>404</v>
      </c>
      <c r="F178" s="39">
        <v>15</v>
      </c>
      <c r="G178" s="41">
        <f t="shared" si="4"/>
        <v>0.25247524752475248</v>
      </c>
      <c r="H178" s="39">
        <v>0</v>
      </c>
      <c r="I178" s="39"/>
      <c r="J178" s="42">
        <v>190</v>
      </c>
      <c r="K178" s="43">
        <f t="shared" si="5"/>
        <v>51.757425742574256</v>
      </c>
      <c r="L178" s="44">
        <v>102</v>
      </c>
      <c r="M178" s="45" t="s">
        <v>222</v>
      </c>
      <c r="N178" s="39"/>
    </row>
    <row r="179" spans="1:14">
      <c r="A179" s="46" t="s">
        <v>39</v>
      </c>
      <c r="B179" s="46" t="s">
        <v>220</v>
      </c>
      <c r="C179" s="46">
        <v>1</v>
      </c>
      <c r="D179" s="47" t="s">
        <v>225</v>
      </c>
      <c r="E179" s="46">
        <v>404</v>
      </c>
      <c r="F179" s="46">
        <v>15</v>
      </c>
      <c r="G179" s="48">
        <f t="shared" si="4"/>
        <v>0.25247524752475248</v>
      </c>
      <c r="H179" s="46">
        <v>0</v>
      </c>
      <c r="I179" s="46"/>
      <c r="J179" s="49">
        <v>130</v>
      </c>
      <c r="K179" s="50">
        <f>(E179-J179)*L179/E179</f>
        <v>69.178217821782184</v>
      </c>
      <c r="L179" s="51">
        <v>102</v>
      </c>
      <c r="M179" s="52" t="s">
        <v>291</v>
      </c>
      <c r="N179" s="46"/>
    </row>
    <row r="180" spans="1:14">
      <c r="A180" s="39" t="s">
        <v>39</v>
      </c>
      <c r="B180" s="39" t="s">
        <v>220</v>
      </c>
      <c r="C180" s="39">
        <v>1</v>
      </c>
      <c r="D180" s="40" t="s">
        <v>226</v>
      </c>
      <c r="E180" s="39">
        <v>404</v>
      </c>
      <c r="F180" s="39">
        <v>15</v>
      </c>
      <c r="G180" s="41">
        <f t="shared" si="4"/>
        <v>0.25247524752475248</v>
      </c>
      <c r="H180" s="39">
        <v>0</v>
      </c>
      <c r="I180" s="39"/>
      <c r="J180" s="42">
        <f>404-151</f>
        <v>253</v>
      </c>
      <c r="K180" s="43">
        <f t="shared" si="5"/>
        <v>67.663366336633672</v>
      </c>
      <c r="L180" s="44">
        <v>102</v>
      </c>
      <c r="M180" s="45" t="s">
        <v>222</v>
      </c>
      <c r="N180" s="39"/>
    </row>
    <row r="181" spans="1:14">
      <c r="A181" s="46" t="s">
        <v>39</v>
      </c>
      <c r="B181" s="46" t="s">
        <v>220</v>
      </c>
      <c r="C181" s="46">
        <v>1</v>
      </c>
      <c r="D181" s="47" t="s">
        <v>226</v>
      </c>
      <c r="E181" s="46">
        <v>404</v>
      </c>
      <c r="F181" s="46">
        <v>15</v>
      </c>
      <c r="G181" s="48">
        <f t="shared" ref="G181" si="8">L181/E181</f>
        <v>0.25247524752475248</v>
      </c>
      <c r="H181" s="46">
        <v>0</v>
      </c>
      <c r="I181" s="46"/>
      <c r="J181" s="49">
        <v>130</v>
      </c>
      <c r="K181" s="50">
        <f>(E181-J181)*L181/E181</f>
        <v>69.178217821782184</v>
      </c>
      <c r="L181" s="51">
        <v>102</v>
      </c>
      <c r="M181" s="52" t="s">
        <v>291</v>
      </c>
      <c r="N181" s="46"/>
    </row>
    <row r="182" spans="1:14">
      <c r="A182" s="39" t="s">
        <v>39</v>
      </c>
      <c r="B182" s="39" t="s">
        <v>220</v>
      </c>
      <c r="C182" s="39">
        <v>1</v>
      </c>
      <c r="D182" s="40" t="s">
        <v>227</v>
      </c>
      <c r="E182" s="39">
        <v>404</v>
      </c>
      <c r="F182" s="39">
        <v>15</v>
      </c>
      <c r="G182" s="41">
        <f t="shared" si="4"/>
        <v>0.25247524752475248</v>
      </c>
      <c r="H182" s="39">
        <v>0</v>
      </c>
      <c r="I182" s="39"/>
      <c r="J182" s="42">
        <v>54</v>
      </c>
      <c r="K182" s="43">
        <f t="shared" si="5"/>
        <v>17.420792079207921</v>
      </c>
      <c r="L182" s="44">
        <v>102</v>
      </c>
      <c r="M182" s="45" t="s">
        <v>222</v>
      </c>
      <c r="N182" s="39"/>
    </row>
    <row r="183" spans="1:14">
      <c r="A183" s="46" t="s">
        <v>39</v>
      </c>
      <c r="B183" s="46" t="s">
        <v>220</v>
      </c>
      <c r="C183" s="46">
        <v>1</v>
      </c>
      <c r="D183" s="47" t="s">
        <v>227</v>
      </c>
      <c r="E183" s="46">
        <v>404</v>
      </c>
      <c r="F183" s="46">
        <v>15</v>
      </c>
      <c r="G183" s="48">
        <f t="shared" si="4"/>
        <v>0.25247524752475248</v>
      </c>
      <c r="H183" s="46">
        <v>0</v>
      </c>
      <c r="I183" s="46"/>
      <c r="J183" s="49">
        <v>151</v>
      </c>
      <c r="K183" s="50">
        <f>(E183-J183)*L183/E183</f>
        <v>63.876237623762378</v>
      </c>
      <c r="L183" s="51">
        <v>102</v>
      </c>
      <c r="M183" s="52" t="s">
        <v>291</v>
      </c>
      <c r="N183" s="46"/>
    </row>
    <row r="184" spans="1:14">
      <c r="A184" s="39" t="s">
        <v>39</v>
      </c>
      <c r="B184" s="39" t="s">
        <v>220</v>
      </c>
      <c r="C184" s="39">
        <v>1</v>
      </c>
      <c r="D184" s="40" t="s">
        <v>228</v>
      </c>
      <c r="E184" s="39">
        <v>404</v>
      </c>
      <c r="F184" s="39">
        <v>15</v>
      </c>
      <c r="G184" s="41">
        <f t="shared" si="4"/>
        <v>0.25247524752475248</v>
      </c>
      <c r="H184" s="39">
        <v>0</v>
      </c>
      <c r="I184" s="39"/>
      <c r="J184" s="42">
        <v>237</v>
      </c>
      <c r="K184" s="43">
        <f t="shared" si="5"/>
        <v>63.623762376237622</v>
      </c>
      <c r="L184" s="44">
        <v>102</v>
      </c>
      <c r="M184" s="45" t="s">
        <v>222</v>
      </c>
      <c r="N184" s="39"/>
    </row>
    <row r="185" spans="1:14">
      <c r="A185" s="46" t="s">
        <v>39</v>
      </c>
      <c r="B185" s="46" t="s">
        <v>220</v>
      </c>
      <c r="C185" s="46">
        <v>1</v>
      </c>
      <c r="D185" s="47" t="s">
        <v>228</v>
      </c>
      <c r="E185" s="46">
        <v>404</v>
      </c>
      <c r="F185" s="46">
        <v>15</v>
      </c>
      <c r="G185" s="48">
        <f t="shared" ref="G185" si="9">L185/E185</f>
        <v>0.25247524752475248</v>
      </c>
      <c r="H185" s="46">
        <v>0</v>
      </c>
      <c r="I185" s="46"/>
      <c r="J185" s="49">
        <v>170</v>
      </c>
      <c r="K185" s="50">
        <f>(E185-J185)*L185/E185</f>
        <v>59.079207920792079</v>
      </c>
      <c r="L185" s="51">
        <v>102</v>
      </c>
      <c r="M185" s="52" t="s">
        <v>291</v>
      </c>
      <c r="N185" s="46"/>
    </row>
    <row r="186" spans="1:14">
      <c r="A186" s="39" t="s">
        <v>39</v>
      </c>
      <c r="B186" s="39" t="s">
        <v>220</v>
      </c>
      <c r="C186" s="39">
        <v>1</v>
      </c>
      <c r="D186" s="40" t="s">
        <v>229</v>
      </c>
      <c r="E186" s="39">
        <v>404</v>
      </c>
      <c r="F186" s="39">
        <v>15</v>
      </c>
      <c r="G186" s="41">
        <f t="shared" si="4"/>
        <v>0.25247524752475248</v>
      </c>
      <c r="H186" s="39">
        <v>0</v>
      </c>
      <c r="I186" s="39"/>
      <c r="J186" s="42">
        <f>404-6</f>
        <v>398</v>
      </c>
      <c r="K186" s="43">
        <f t="shared" si="5"/>
        <v>104.27227722772277</v>
      </c>
      <c r="L186" s="44">
        <v>102</v>
      </c>
      <c r="M186" s="45" t="s">
        <v>222</v>
      </c>
      <c r="N186" s="39"/>
    </row>
    <row r="187" spans="1:14">
      <c r="A187" s="46" t="s">
        <v>39</v>
      </c>
      <c r="B187" s="46" t="s">
        <v>220</v>
      </c>
      <c r="C187" s="46">
        <v>1</v>
      </c>
      <c r="D187" s="47" t="s">
        <v>229</v>
      </c>
      <c r="E187" s="46">
        <v>404</v>
      </c>
      <c r="F187" s="46">
        <v>15</v>
      </c>
      <c r="G187" s="48">
        <f t="shared" si="4"/>
        <v>0.25247524752475248</v>
      </c>
      <c r="H187" s="46">
        <v>0</v>
      </c>
      <c r="I187" s="46"/>
      <c r="J187" s="49">
        <v>291</v>
      </c>
      <c r="K187" s="50">
        <f>(E187-J187)*L187/E187</f>
        <v>28.529702970297031</v>
      </c>
      <c r="L187" s="51">
        <v>102</v>
      </c>
      <c r="M187" s="52" t="s">
        <v>291</v>
      </c>
      <c r="N187" s="46"/>
    </row>
    <row r="188" spans="1:14">
      <c r="A188" s="39" t="s">
        <v>39</v>
      </c>
      <c r="B188" s="39" t="s">
        <v>220</v>
      </c>
      <c r="C188" s="39">
        <v>1</v>
      </c>
      <c r="D188" s="40" t="s">
        <v>230</v>
      </c>
      <c r="E188" s="39">
        <v>404</v>
      </c>
      <c r="F188" s="39">
        <v>15</v>
      </c>
      <c r="G188" s="41">
        <f t="shared" si="4"/>
        <v>0.25247524752475248</v>
      </c>
      <c r="H188" s="39">
        <v>0</v>
      </c>
      <c r="I188" s="39"/>
      <c r="J188" s="42">
        <f>404-230</f>
        <v>174</v>
      </c>
      <c r="K188" s="43">
        <f t="shared" si="5"/>
        <v>47.71782178217822</v>
      </c>
      <c r="L188" s="44">
        <v>102</v>
      </c>
      <c r="M188" s="45" t="s">
        <v>222</v>
      </c>
      <c r="N188" s="39"/>
    </row>
    <row r="189" spans="1:14">
      <c r="A189" s="46" t="s">
        <v>39</v>
      </c>
      <c r="B189" s="46" t="s">
        <v>220</v>
      </c>
      <c r="C189" s="46">
        <v>1</v>
      </c>
      <c r="D189" s="47" t="s">
        <v>230</v>
      </c>
      <c r="E189" s="46">
        <v>404</v>
      </c>
      <c r="F189" s="46">
        <v>15</v>
      </c>
      <c r="G189" s="48">
        <f t="shared" ref="G189" si="10">L189/E189</f>
        <v>0.25247524752475248</v>
      </c>
      <c r="H189" s="46">
        <v>0</v>
      </c>
      <c r="I189" s="46"/>
      <c r="J189" s="49">
        <v>165</v>
      </c>
      <c r="K189" s="50">
        <f>(E189-J189)*L189/E189</f>
        <v>60.341584158415841</v>
      </c>
      <c r="L189" s="51">
        <v>102</v>
      </c>
      <c r="M189" s="52" t="s">
        <v>291</v>
      </c>
      <c r="N189" s="46"/>
    </row>
    <row r="190" spans="1:14">
      <c r="A190" s="1" t="s">
        <v>39</v>
      </c>
      <c r="B190" s="1" t="s">
        <v>220</v>
      </c>
      <c r="C190" s="1">
        <v>1</v>
      </c>
      <c r="D190" s="9" t="s">
        <v>231</v>
      </c>
      <c r="E190" s="1">
        <v>309</v>
      </c>
      <c r="F190" s="1">
        <v>17</v>
      </c>
      <c r="G190" s="14">
        <f t="shared" si="4"/>
        <v>0.35275080906148865</v>
      </c>
      <c r="H190" s="1">
        <v>0</v>
      </c>
      <c r="I190" s="1"/>
      <c r="J190" s="2">
        <f>309-27</f>
        <v>282</v>
      </c>
      <c r="K190" s="18">
        <f t="shared" si="5"/>
        <v>105.47249190938511</v>
      </c>
      <c r="L190" s="16">
        <v>109</v>
      </c>
      <c r="M190" s="3" t="s">
        <v>222</v>
      </c>
      <c r="N190" s="1"/>
    </row>
    <row r="191" spans="1:14">
      <c r="A191" s="1" t="s">
        <v>39</v>
      </c>
      <c r="B191" s="1" t="s">
        <v>220</v>
      </c>
      <c r="C191" s="1">
        <v>1</v>
      </c>
      <c r="D191" s="9" t="s">
        <v>232</v>
      </c>
      <c r="E191" s="1">
        <v>200</v>
      </c>
      <c r="F191" s="1">
        <v>15</v>
      </c>
      <c r="G191" s="14">
        <f t="shared" si="4"/>
        <v>0.27</v>
      </c>
      <c r="H191" s="1">
        <v>0</v>
      </c>
      <c r="I191" s="1"/>
      <c r="J191" s="2">
        <v>142</v>
      </c>
      <c r="K191" s="18">
        <f t="shared" si="5"/>
        <v>42.39</v>
      </c>
      <c r="L191" s="16">
        <v>54</v>
      </c>
      <c r="M191" s="3" t="s">
        <v>222</v>
      </c>
      <c r="N191" s="1"/>
    </row>
    <row r="192" spans="1:14">
      <c r="A192" s="1" t="s">
        <v>39</v>
      </c>
      <c r="B192" s="1" t="s">
        <v>220</v>
      </c>
      <c r="C192" s="1">
        <v>1</v>
      </c>
      <c r="D192" s="9" t="s">
        <v>233</v>
      </c>
      <c r="E192" s="1">
        <v>248</v>
      </c>
      <c r="F192" s="1">
        <v>28</v>
      </c>
      <c r="G192" s="14">
        <f t="shared" si="4"/>
        <v>0.20161290322580644</v>
      </c>
      <c r="H192" s="1">
        <v>0</v>
      </c>
      <c r="I192" s="1"/>
      <c r="J192" s="2">
        <v>130</v>
      </c>
      <c r="K192" s="18">
        <f t="shared" si="5"/>
        <v>31.85483870967742</v>
      </c>
      <c r="L192" s="16">
        <v>50</v>
      </c>
      <c r="M192" s="3" t="s">
        <v>222</v>
      </c>
      <c r="N192" s="1"/>
    </row>
    <row r="193" spans="1:14">
      <c r="A193" s="1" t="s">
        <v>39</v>
      </c>
      <c r="B193" s="1" t="s">
        <v>220</v>
      </c>
      <c r="C193" s="1">
        <v>1</v>
      </c>
      <c r="D193" s="9" t="s">
        <v>234</v>
      </c>
      <c r="E193" s="1">
        <v>200</v>
      </c>
      <c r="F193" s="1">
        <v>15</v>
      </c>
      <c r="G193" s="14">
        <f t="shared" si="4"/>
        <v>0.27</v>
      </c>
      <c r="H193" s="1">
        <v>0</v>
      </c>
      <c r="I193" s="1"/>
      <c r="J193" s="2">
        <v>78</v>
      </c>
      <c r="K193" s="18">
        <f t="shared" si="5"/>
        <v>25.110000000000003</v>
      </c>
      <c r="L193" s="16">
        <v>54</v>
      </c>
      <c r="M193" s="3" t="s">
        <v>222</v>
      </c>
      <c r="N193" s="1"/>
    </row>
    <row r="194" spans="1:14">
      <c r="A194" s="1" t="s">
        <v>39</v>
      </c>
      <c r="B194" s="1" t="s">
        <v>220</v>
      </c>
      <c r="C194" s="1">
        <v>1</v>
      </c>
      <c r="D194" s="9" t="s">
        <v>235</v>
      </c>
      <c r="E194" s="1">
        <v>200</v>
      </c>
      <c r="F194" s="1">
        <v>15</v>
      </c>
      <c r="G194" s="14">
        <f t="shared" si="4"/>
        <v>0.27</v>
      </c>
      <c r="H194" s="1">
        <v>0</v>
      </c>
      <c r="I194" s="1"/>
      <c r="J194" s="2">
        <v>126</v>
      </c>
      <c r="K194" s="18">
        <f t="shared" si="5"/>
        <v>38.07</v>
      </c>
      <c r="L194" s="16">
        <v>54</v>
      </c>
      <c r="M194" s="3" t="s">
        <v>222</v>
      </c>
      <c r="N194" s="1"/>
    </row>
    <row r="195" spans="1:14">
      <c r="A195" s="1" t="s">
        <v>39</v>
      </c>
      <c r="B195" s="1" t="s">
        <v>220</v>
      </c>
      <c r="C195" s="1">
        <v>1</v>
      </c>
      <c r="D195" s="9" t="s">
        <v>236</v>
      </c>
      <c r="E195" s="1">
        <v>200</v>
      </c>
      <c r="F195" s="1">
        <v>15</v>
      </c>
      <c r="G195" s="14">
        <f t="shared" si="4"/>
        <v>0.27</v>
      </c>
      <c r="H195" s="1">
        <v>0</v>
      </c>
      <c r="I195" s="1"/>
      <c r="J195" s="2">
        <v>70</v>
      </c>
      <c r="K195" s="18">
        <f t="shared" si="5"/>
        <v>22.95</v>
      </c>
      <c r="L195" s="16">
        <v>54</v>
      </c>
      <c r="M195" s="3" t="s">
        <v>222</v>
      </c>
      <c r="N195" s="1"/>
    </row>
    <row r="196" spans="1:14">
      <c r="A196" s="1" t="s">
        <v>39</v>
      </c>
      <c r="B196" s="1" t="s">
        <v>220</v>
      </c>
      <c r="C196" s="1">
        <v>1</v>
      </c>
      <c r="D196" s="9" t="s">
        <v>237</v>
      </c>
      <c r="E196" s="1">
        <v>200</v>
      </c>
      <c r="F196" s="1">
        <v>15</v>
      </c>
      <c r="G196" s="14">
        <f t="shared" si="4"/>
        <v>0.27</v>
      </c>
      <c r="H196" s="1">
        <v>0</v>
      </c>
      <c r="I196" s="1"/>
      <c r="J196" s="2">
        <f>200-38</f>
        <v>162</v>
      </c>
      <c r="K196" s="18">
        <f t="shared" si="5"/>
        <v>47.79</v>
      </c>
      <c r="L196" s="16">
        <v>54</v>
      </c>
      <c r="M196" s="3" t="s">
        <v>222</v>
      </c>
      <c r="N196" s="1"/>
    </row>
    <row r="197" spans="1:14">
      <c r="A197" s="1" t="s">
        <v>39</v>
      </c>
      <c r="B197" s="1" t="s">
        <v>238</v>
      </c>
      <c r="C197" s="1">
        <v>1</v>
      </c>
      <c r="D197" s="9" t="s">
        <v>239</v>
      </c>
      <c r="E197" s="1">
        <v>204</v>
      </c>
      <c r="F197" s="1">
        <v>14</v>
      </c>
      <c r="G197" s="14">
        <f t="shared" si="4"/>
        <v>0.24509803921568626</v>
      </c>
      <c r="H197" s="1">
        <v>0</v>
      </c>
      <c r="I197" s="1"/>
      <c r="J197" s="2">
        <v>54</v>
      </c>
      <c r="K197" s="18">
        <f>(J197+F197)/E197*L197</f>
        <v>16.666666666666664</v>
      </c>
      <c r="L197" s="16">
        <v>50</v>
      </c>
      <c r="M197" s="3" t="s">
        <v>222</v>
      </c>
      <c r="N197" s="1"/>
    </row>
    <row r="198" spans="1:14">
      <c r="A198" s="1" t="s">
        <v>39</v>
      </c>
      <c r="B198" s="1" t="s">
        <v>238</v>
      </c>
      <c r="C198" s="1">
        <v>1</v>
      </c>
      <c r="D198" s="9" t="s">
        <v>240</v>
      </c>
      <c r="E198" s="1">
        <v>204</v>
      </c>
      <c r="F198" s="1">
        <v>14</v>
      </c>
      <c r="G198" s="14">
        <f t="shared" si="4"/>
        <v>0.24509803921568626</v>
      </c>
      <c r="H198" s="1">
        <v>0</v>
      </c>
      <c r="I198" s="1"/>
      <c r="J198" s="2">
        <f>204-36</f>
        <v>168</v>
      </c>
      <c r="K198" s="18">
        <f t="shared" si="5"/>
        <v>44.607843137254903</v>
      </c>
      <c r="L198" s="16">
        <v>50</v>
      </c>
      <c r="M198" s="3" t="s">
        <v>222</v>
      </c>
      <c r="N198" s="1"/>
    </row>
    <row r="199" spans="1:14">
      <c r="A199" s="1" t="s">
        <v>39</v>
      </c>
      <c r="B199" s="1" t="s">
        <v>238</v>
      </c>
      <c r="C199" s="1">
        <v>1</v>
      </c>
      <c r="D199" s="9" t="s">
        <v>241</v>
      </c>
      <c r="E199" s="1">
        <v>309</v>
      </c>
      <c r="F199" s="1">
        <v>17</v>
      </c>
      <c r="G199" s="14">
        <f t="shared" si="4"/>
        <v>0.35275080906148865</v>
      </c>
      <c r="H199" s="1">
        <v>0</v>
      </c>
      <c r="I199" s="1"/>
      <c r="J199" s="2">
        <v>185</v>
      </c>
      <c r="K199" s="18">
        <f t="shared" si="5"/>
        <v>71.255663430420711</v>
      </c>
      <c r="L199" s="16">
        <v>109</v>
      </c>
      <c r="M199" s="3" t="s">
        <v>222</v>
      </c>
      <c r="N199" s="1"/>
    </row>
    <row r="200" spans="1:14">
      <c r="A200" s="1" t="s">
        <v>39</v>
      </c>
      <c r="B200" s="1" t="s">
        <v>238</v>
      </c>
      <c r="C200" s="1">
        <v>1</v>
      </c>
      <c r="D200" s="9" t="s">
        <v>242</v>
      </c>
      <c r="E200" s="1">
        <v>258</v>
      </c>
      <c r="F200" s="1">
        <v>14</v>
      </c>
      <c r="G200" s="14">
        <f t="shared" si="4"/>
        <v>0.1744186046511628</v>
      </c>
      <c r="H200" s="1">
        <v>0</v>
      </c>
      <c r="I200" s="1"/>
      <c r="J200" s="2">
        <f>258-32</f>
        <v>226</v>
      </c>
      <c r="K200" s="18">
        <f t="shared" si="5"/>
        <v>41.860465116279066</v>
      </c>
      <c r="L200" s="16">
        <v>45</v>
      </c>
      <c r="M200" s="3" t="s">
        <v>222</v>
      </c>
      <c r="N200" s="1"/>
    </row>
    <row r="201" spans="1:14">
      <c r="A201" s="1" t="s">
        <v>39</v>
      </c>
      <c r="B201" s="1" t="s">
        <v>238</v>
      </c>
      <c r="C201" s="1">
        <v>1</v>
      </c>
      <c r="D201" s="9" t="s">
        <v>243</v>
      </c>
      <c r="E201" s="1">
        <v>309</v>
      </c>
      <c r="F201" s="1">
        <v>17</v>
      </c>
      <c r="G201" s="14">
        <f t="shared" si="4"/>
        <v>0.35275080906148865</v>
      </c>
      <c r="H201" s="1">
        <v>0</v>
      </c>
      <c r="I201" s="1"/>
      <c r="J201" s="2">
        <v>190</v>
      </c>
      <c r="K201" s="18">
        <f t="shared" si="5"/>
        <v>73.019417475728162</v>
      </c>
      <c r="L201" s="16">
        <v>109</v>
      </c>
      <c r="M201" s="3" t="s">
        <v>222</v>
      </c>
      <c r="N201" s="1"/>
    </row>
    <row r="202" spans="1:14">
      <c r="A202" s="1" t="s">
        <v>39</v>
      </c>
      <c r="B202" s="1" t="s">
        <v>238</v>
      </c>
      <c r="C202" s="1">
        <v>1</v>
      </c>
      <c r="D202" s="9" t="s">
        <v>244</v>
      </c>
      <c r="E202" s="1">
        <v>211</v>
      </c>
      <c r="F202" s="1">
        <v>17</v>
      </c>
      <c r="G202" s="14">
        <f t="shared" si="4"/>
        <v>0.33175355450236965</v>
      </c>
      <c r="H202" s="1">
        <v>0</v>
      </c>
      <c r="I202" s="1"/>
      <c r="J202" s="2">
        <v>0</v>
      </c>
      <c r="K202" s="18">
        <f>(J202+F202)/E202*L202</f>
        <v>5.6398104265402846</v>
      </c>
      <c r="L202" s="16">
        <v>70</v>
      </c>
      <c r="M202" s="3" t="s">
        <v>222</v>
      </c>
      <c r="N202" s="1"/>
    </row>
    <row r="203" spans="1:14">
      <c r="A203" s="1" t="s">
        <v>39</v>
      </c>
      <c r="B203" s="1" t="s">
        <v>238</v>
      </c>
      <c r="C203" s="1">
        <v>1</v>
      </c>
      <c r="D203" s="9" t="s">
        <v>245</v>
      </c>
      <c r="E203" s="1">
        <v>309</v>
      </c>
      <c r="F203" s="1">
        <v>17</v>
      </c>
      <c r="G203" s="14">
        <f t="shared" si="4"/>
        <v>0.35275080906148865</v>
      </c>
      <c r="H203" s="1">
        <v>0</v>
      </c>
      <c r="I203" s="1"/>
      <c r="J203" s="2">
        <v>92</v>
      </c>
      <c r="K203" s="18">
        <f t="shared" si="5"/>
        <v>38.449838187702262</v>
      </c>
      <c r="L203" s="16">
        <v>109</v>
      </c>
      <c r="M203" s="3" t="s">
        <v>222</v>
      </c>
      <c r="N203" s="1"/>
    </row>
    <row r="204" spans="1:14">
      <c r="A204" s="1" t="s">
        <v>39</v>
      </c>
      <c r="B204" s="1" t="s">
        <v>238</v>
      </c>
      <c r="C204" s="1">
        <v>1</v>
      </c>
      <c r="D204" s="9" t="s">
        <v>246</v>
      </c>
      <c r="E204" s="1">
        <v>340</v>
      </c>
      <c r="F204" s="1">
        <v>0</v>
      </c>
      <c r="G204" s="14">
        <f t="shared" si="4"/>
        <v>0.44117647058823528</v>
      </c>
      <c r="H204" s="1">
        <v>0</v>
      </c>
      <c r="I204" s="1"/>
      <c r="J204" s="2">
        <f>340-17</f>
        <v>323</v>
      </c>
      <c r="K204" s="18">
        <f t="shared" si="5"/>
        <v>142.5</v>
      </c>
      <c r="L204" s="16">
        <v>150</v>
      </c>
      <c r="M204" s="3" t="s">
        <v>247</v>
      </c>
      <c r="N204" s="1"/>
    </row>
    <row r="205" spans="1:14">
      <c r="A205" s="1" t="s">
        <v>39</v>
      </c>
      <c r="B205" s="1" t="s">
        <v>238</v>
      </c>
      <c r="C205" s="1">
        <v>1</v>
      </c>
      <c r="D205" s="9" t="s">
        <v>248</v>
      </c>
      <c r="E205" s="1">
        <v>340</v>
      </c>
      <c r="F205" s="1">
        <v>0</v>
      </c>
      <c r="G205" s="14">
        <f t="shared" si="4"/>
        <v>0.44117647058823528</v>
      </c>
      <c r="H205" s="1">
        <v>0</v>
      </c>
      <c r="I205" s="1"/>
      <c r="J205" s="2">
        <f>340-166</f>
        <v>174</v>
      </c>
      <c r="K205" s="18">
        <f t="shared" si="5"/>
        <v>76.764705882352928</v>
      </c>
      <c r="L205" s="16">
        <v>150</v>
      </c>
      <c r="M205" s="3" t="s">
        <v>247</v>
      </c>
      <c r="N205" s="1"/>
    </row>
    <row r="206" spans="1:14">
      <c r="A206" s="1" t="s">
        <v>39</v>
      </c>
      <c r="B206" s="1" t="s">
        <v>238</v>
      </c>
      <c r="C206" s="1">
        <v>1</v>
      </c>
      <c r="D206" s="9" t="s">
        <v>249</v>
      </c>
      <c r="E206" s="1">
        <v>340</v>
      </c>
      <c r="F206" s="1">
        <v>0</v>
      </c>
      <c r="G206" s="14">
        <f t="shared" si="4"/>
        <v>0.44117647058823528</v>
      </c>
      <c r="H206" s="1">
        <v>0</v>
      </c>
      <c r="I206" s="1"/>
      <c r="J206" s="2">
        <v>180</v>
      </c>
      <c r="K206" s="18">
        <f t="shared" si="5"/>
        <v>79.411764705882348</v>
      </c>
      <c r="L206" s="16">
        <v>150</v>
      </c>
      <c r="M206" s="3" t="s">
        <v>247</v>
      </c>
      <c r="N206" s="1"/>
    </row>
    <row r="207" spans="1:14">
      <c r="A207" s="1" t="s">
        <v>39</v>
      </c>
      <c r="B207" s="1" t="s">
        <v>238</v>
      </c>
      <c r="C207" s="1">
        <v>1</v>
      </c>
      <c r="D207" s="9" t="s">
        <v>250</v>
      </c>
      <c r="E207" s="1">
        <v>209</v>
      </c>
      <c r="F207" s="1">
        <v>14</v>
      </c>
      <c r="G207" s="14">
        <f t="shared" si="4"/>
        <v>0.23923444976076555</v>
      </c>
      <c r="H207" s="1">
        <v>0</v>
      </c>
      <c r="I207" s="1"/>
      <c r="J207" s="2">
        <f>209-25</f>
        <v>184</v>
      </c>
      <c r="K207" s="18">
        <f t="shared" si="5"/>
        <v>47.368421052631575</v>
      </c>
      <c r="L207" s="16">
        <v>50</v>
      </c>
      <c r="M207" s="3" t="s">
        <v>222</v>
      </c>
      <c r="N207" s="1"/>
    </row>
    <row r="208" spans="1:14">
      <c r="A208" s="1" t="s">
        <v>39</v>
      </c>
      <c r="B208" s="1" t="s">
        <v>238</v>
      </c>
      <c r="C208" s="1">
        <v>1</v>
      </c>
      <c r="D208" s="9" t="s">
        <v>251</v>
      </c>
      <c r="E208" s="1">
        <v>340</v>
      </c>
      <c r="F208" s="1">
        <v>0</v>
      </c>
      <c r="G208" s="14">
        <f t="shared" si="4"/>
        <v>0.44117647058823528</v>
      </c>
      <c r="H208" s="1">
        <v>0</v>
      </c>
      <c r="I208" s="1"/>
      <c r="J208" s="2">
        <f>340-40</f>
        <v>300</v>
      </c>
      <c r="K208" s="18">
        <f t="shared" si="5"/>
        <v>132.35294117647058</v>
      </c>
      <c r="L208" s="16">
        <v>150</v>
      </c>
      <c r="M208" s="3" t="s">
        <v>247</v>
      </c>
      <c r="N208" s="1"/>
    </row>
    <row r="209" spans="1:14">
      <c r="A209" s="1" t="s">
        <v>39</v>
      </c>
      <c r="B209" s="1" t="s">
        <v>238</v>
      </c>
      <c r="C209" s="1">
        <v>1</v>
      </c>
      <c r="D209" s="9" t="s">
        <v>252</v>
      </c>
      <c r="E209" s="1">
        <v>235</v>
      </c>
      <c r="F209" s="1">
        <v>15</v>
      </c>
      <c r="G209" s="14">
        <f t="shared" si="4"/>
        <v>0.34042553191489361</v>
      </c>
      <c r="H209" s="1">
        <v>0</v>
      </c>
      <c r="I209" s="1"/>
      <c r="J209" s="2">
        <v>18</v>
      </c>
      <c r="K209" s="18">
        <f t="shared" si="5"/>
        <v>11.23404255319149</v>
      </c>
      <c r="L209" s="16">
        <v>80</v>
      </c>
      <c r="M209" s="3" t="s">
        <v>222</v>
      </c>
      <c r="N209" s="1"/>
    </row>
    <row r="210" spans="1:14">
      <c r="A210" s="1" t="s">
        <v>39</v>
      </c>
      <c r="B210" s="1" t="s">
        <v>238</v>
      </c>
      <c r="C210" s="1">
        <v>1</v>
      </c>
      <c r="D210" s="9" t="s">
        <v>253</v>
      </c>
      <c r="E210" s="1">
        <v>340</v>
      </c>
      <c r="F210" s="1">
        <v>0</v>
      </c>
      <c r="G210" s="14">
        <f t="shared" si="4"/>
        <v>0.44117647058823528</v>
      </c>
      <c r="H210" s="1">
        <v>0</v>
      </c>
      <c r="I210" s="1"/>
      <c r="J210" s="2">
        <f>340-180</f>
        <v>160</v>
      </c>
      <c r="K210" s="18">
        <f t="shared" ref="K210:K220" si="11">(J210+F210)/E210*L210</f>
        <v>70.588235294117652</v>
      </c>
      <c r="L210" s="16">
        <v>150</v>
      </c>
      <c r="M210" s="3" t="s">
        <v>247</v>
      </c>
      <c r="N210" s="1"/>
    </row>
    <row r="211" spans="1:14">
      <c r="A211" s="1" t="s">
        <v>278</v>
      </c>
      <c r="B211" s="1" t="s">
        <v>278</v>
      </c>
      <c r="C211" s="1" t="s">
        <v>279</v>
      </c>
      <c r="D211" s="9" t="s">
        <v>279</v>
      </c>
      <c r="E211" s="1">
        <f t="shared" ref="E211:E220" si="12">$F211+$I211-$H211</f>
        <v>115</v>
      </c>
      <c r="F211" s="1">
        <v>8</v>
      </c>
      <c r="G211" s="14">
        <f>L211/E211</f>
        <v>8.6956521739130432E-2</v>
      </c>
      <c r="H211" s="1">
        <v>0</v>
      </c>
      <c r="I211" s="1">
        <v>107</v>
      </c>
      <c r="J211" s="2"/>
      <c r="K211" s="18">
        <f t="shared" si="11"/>
        <v>0.69565217391304346</v>
      </c>
      <c r="L211" s="16">
        <v>10</v>
      </c>
      <c r="M211" s="3" t="s">
        <v>280</v>
      </c>
      <c r="N211" s="1"/>
    </row>
    <row r="212" spans="1:14">
      <c r="A212" s="1" t="s">
        <v>278</v>
      </c>
      <c r="B212" s="1" t="s">
        <v>278</v>
      </c>
      <c r="C212" s="1" t="s">
        <v>281</v>
      </c>
      <c r="D212" s="9" t="s">
        <v>281</v>
      </c>
      <c r="E212" s="1">
        <f t="shared" si="12"/>
        <v>115</v>
      </c>
      <c r="F212" s="1">
        <v>8</v>
      </c>
      <c r="G212" s="14">
        <f t="shared" ref="G212:G220" si="13">L212/E212</f>
        <v>8.6956521739130432E-2</v>
      </c>
      <c r="H212" s="1">
        <v>0</v>
      </c>
      <c r="I212" s="1">
        <v>107</v>
      </c>
      <c r="J212" s="2"/>
      <c r="K212" s="18">
        <f t="shared" si="11"/>
        <v>0.69565217391304346</v>
      </c>
      <c r="L212" s="16">
        <v>10</v>
      </c>
      <c r="M212" s="3" t="s">
        <v>280</v>
      </c>
      <c r="N212" s="1"/>
    </row>
    <row r="213" spans="1:14">
      <c r="A213" s="1" t="s">
        <v>278</v>
      </c>
      <c r="B213" s="1" t="s">
        <v>278</v>
      </c>
      <c r="C213" s="1" t="s">
        <v>282</v>
      </c>
      <c r="D213" s="9" t="s">
        <v>282</v>
      </c>
      <c r="E213" s="1">
        <f t="shared" si="12"/>
        <v>115</v>
      </c>
      <c r="F213" s="1">
        <v>8</v>
      </c>
      <c r="G213" s="14">
        <f t="shared" si="13"/>
        <v>8.6956521739130432E-2</v>
      </c>
      <c r="H213" s="1">
        <v>0</v>
      </c>
      <c r="I213" s="1">
        <v>107</v>
      </c>
      <c r="J213" s="2">
        <v>31</v>
      </c>
      <c r="K213" s="18">
        <f t="shared" si="11"/>
        <v>3.3913043478260869</v>
      </c>
      <c r="L213" s="16">
        <v>10</v>
      </c>
      <c r="M213" s="3" t="s">
        <v>280</v>
      </c>
      <c r="N213" s="1"/>
    </row>
    <row r="214" spans="1:14">
      <c r="A214" s="1" t="s">
        <v>278</v>
      </c>
      <c r="B214" s="1" t="s">
        <v>278</v>
      </c>
      <c r="C214" s="1" t="s">
        <v>283</v>
      </c>
      <c r="D214" s="9" t="s">
        <v>283</v>
      </c>
      <c r="E214" s="1">
        <f t="shared" si="12"/>
        <v>115</v>
      </c>
      <c r="F214" s="1">
        <v>8</v>
      </c>
      <c r="G214" s="14">
        <f t="shared" si="13"/>
        <v>8.6956521739130432E-2</v>
      </c>
      <c r="H214" s="1">
        <v>0</v>
      </c>
      <c r="I214" s="1">
        <v>107</v>
      </c>
      <c r="J214" s="2">
        <v>12</v>
      </c>
      <c r="K214" s="18">
        <f t="shared" si="11"/>
        <v>1.7391304347826086</v>
      </c>
      <c r="L214" s="16">
        <v>10</v>
      </c>
      <c r="M214" s="3" t="s">
        <v>280</v>
      </c>
      <c r="N214" s="1"/>
    </row>
    <row r="215" spans="1:14">
      <c r="A215" s="1" t="s">
        <v>278</v>
      </c>
      <c r="B215" s="1" t="s">
        <v>278</v>
      </c>
      <c r="C215" s="1" t="s">
        <v>284</v>
      </c>
      <c r="D215" s="9" t="s">
        <v>284</v>
      </c>
      <c r="E215" s="1">
        <f t="shared" si="12"/>
        <v>115</v>
      </c>
      <c r="F215" s="1">
        <v>8</v>
      </c>
      <c r="G215" s="14">
        <f t="shared" si="13"/>
        <v>8.6956521739130432E-2</v>
      </c>
      <c r="H215" s="1">
        <v>0</v>
      </c>
      <c r="I215" s="1">
        <v>107</v>
      </c>
      <c r="J215" s="2">
        <v>24</v>
      </c>
      <c r="K215" s="18">
        <f t="shared" si="11"/>
        <v>2.7826086956521738</v>
      </c>
      <c r="L215" s="16">
        <v>10</v>
      </c>
      <c r="M215" s="3" t="s">
        <v>280</v>
      </c>
      <c r="N215" s="1"/>
    </row>
    <row r="216" spans="1:14">
      <c r="A216" s="1" t="s">
        <v>278</v>
      </c>
      <c r="B216" s="1" t="s">
        <v>278</v>
      </c>
      <c r="C216" s="1" t="s">
        <v>285</v>
      </c>
      <c r="D216" s="9" t="s">
        <v>285</v>
      </c>
      <c r="E216" s="1">
        <f t="shared" si="12"/>
        <v>115</v>
      </c>
      <c r="F216" s="1">
        <v>8</v>
      </c>
      <c r="G216" s="14">
        <f t="shared" si="13"/>
        <v>8.6956521739130432E-2</v>
      </c>
      <c r="H216" s="1">
        <v>0</v>
      </c>
      <c r="I216" s="1">
        <v>107</v>
      </c>
      <c r="J216" s="2"/>
      <c r="K216" s="18">
        <f t="shared" si="11"/>
        <v>0.69565217391304346</v>
      </c>
      <c r="L216" s="16">
        <v>10</v>
      </c>
      <c r="M216" s="3" t="s">
        <v>280</v>
      </c>
      <c r="N216" s="1"/>
    </row>
    <row r="217" spans="1:14">
      <c r="A217" s="1" t="s">
        <v>278</v>
      </c>
      <c r="B217" s="1" t="s">
        <v>278</v>
      </c>
      <c r="C217" s="1" t="s">
        <v>286</v>
      </c>
      <c r="D217" s="9" t="s">
        <v>286</v>
      </c>
      <c r="E217" s="1">
        <f t="shared" si="12"/>
        <v>115</v>
      </c>
      <c r="F217" s="1">
        <v>8</v>
      </c>
      <c r="G217" s="14">
        <f t="shared" si="13"/>
        <v>8.6956521739130432E-2</v>
      </c>
      <c r="H217" s="1">
        <v>0</v>
      </c>
      <c r="I217" s="1">
        <v>107</v>
      </c>
      <c r="J217" s="2">
        <v>75</v>
      </c>
      <c r="K217" s="18">
        <f t="shared" si="11"/>
        <v>7.2173913043478262</v>
      </c>
      <c r="L217" s="16">
        <v>10</v>
      </c>
      <c r="M217" s="3" t="s">
        <v>280</v>
      </c>
      <c r="N217" s="1"/>
    </row>
    <row r="218" spans="1:14">
      <c r="A218" s="1" t="s">
        <v>278</v>
      </c>
      <c r="B218" s="1" t="s">
        <v>278</v>
      </c>
      <c r="C218" s="1" t="s">
        <v>287</v>
      </c>
      <c r="D218" s="9" t="s">
        <v>287</v>
      </c>
      <c r="E218" s="1">
        <f t="shared" si="12"/>
        <v>115</v>
      </c>
      <c r="F218" s="1">
        <v>8</v>
      </c>
      <c r="G218" s="14">
        <f t="shared" si="13"/>
        <v>8.6956521739130432E-2</v>
      </c>
      <c r="H218" s="1">
        <v>0</v>
      </c>
      <c r="I218" s="1">
        <v>107</v>
      </c>
      <c r="J218" s="2"/>
      <c r="K218" s="18">
        <f t="shared" si="11"/>
        <v>0.69565217391304346</v>
      </c>
      <c r="L218" s="16">
        <v>10</v>
      </c>
      <c r="M218" s="3" t="s">
        <v>280</v>
      </c>
      <c r="N218" s="1"/>
    </row>
    <row r="219" spans="1:14">
      <c r="A219" s="1" t="s">
        <v>278</v>
      </c>
      <c r="B219" s="1" t="s">
        <v>278</v>
      </c>
      <c r="C219" s="1" t="s">
        <v>288</v>
      </c>
      <c r="D219" s="9" t="s">
        <v>288</v>
      </c>
      <c r="E219" s="1">
        <f t="shared" si="12"/>
        <v>115</v>
      </c>
      <c r="F219" s="1">
        <v>8</v>
      </c>
      <c r="G219" s="14">
        <f t="shared" si="13"/>
        <v>8.6956521739130432E-2</v>
      </c>
      <c r="H219" s="1">
        <v>0</v>
      </c>
      <c r="I219" s="1">
        <v>107</v>
      </c>
      <c r="J219" s="2">
        <v>55</v>
      </c>
      <c r="K219" s="18">
        <f t="shared" si="11"/>
        <v>5.4782608695652169</v>
      </c>
      <c r="L219" s="16">
        <v>10</v>
      </c>
      <c r="M219" s="3" t="s">
        <v>280</v>
      </c>
      <c r="N219" s="1"/>
    </row>
    <row r="220" spans="1:14">
      <c r="A220" s="1" t="s">
        <v>278</v>
      </c>
      <c r="B220" s="1" t="s">
        <v>278</v>
      </c>
      <c r="C220" s="1" t="s">
        <v>289</v>
      </c>
      <c r="D220" s="9" t="s">
        <v>289</v>
      </c>
      <c r="E220" s="1">
        <f t="shared" si="12"/>
        <v>115</v>
      </c>
      <c r="F220" s="1">
        <v>8</v>
      </c>
      <c r="G220" s="14">
        <f t="shared" si="13"/>
        <v>8.6956521739130432E-2</v>
      </c>
      <c r="H220" s="1">
        <v>0</v>
      </c>
      <c r="I220" s="1">
        <v>107</v>
      </c>
      <c r="J220" s="2">
        <v>68</v>
      </c>
      <c r="K220" s="18">
        <f t="shared" si="11"/>
        <v>6.6086956521739122</v>
      </c>
      <c r="L220" s="16">
        <v>10</v>
      </c>
      <c r="M220" s="3" t="s">
        <v>280</v>
      </c>
      <c r="N220" s="1"/>
    </row>
    <row r="223" spans="1:14">
      <c r="H223" s="4"/>
      <c r="K223"/>
      <c r="L223"/>
      <c r="M223"/>
    </row>
    <row r="224" spans="1:14">
      <c r="H224" s="4"/>
      <c r="K224"/>
      <c r="L224"/>
      <c r="M224"/>
    </row>
    <row r="225" spans="8:13">
      <c r="H225" s="4"/>
      <c r="K225"/>
      <c r="L225"/>
      <c r="M225"/>
    </row>
    <row r="226" spans="8:13">
      <c r="H226" s="4"/>
      <c r="K226"/>
      <c r="L226"/>
      <c r="M226"/>
    </row>
    <row r="227" spans="8:13">
      <c r="H227" s="4"/>
      <c r="K227"/>
      <c r="L227"/>
      <c r="M227"/>
    </row>
    <row r="228" spans="8:13">
      <c r="H228" s="4"/>
      <c r="K228"/>
      <c r="L228"/>
      <c r="M228"/>
    </row>
    <row r="229" spans="8:13">
      <c r="H229" s="4"/>
      <c r="K229"/>
      <c r="L229"/>
      <c r="M229"/>
    </row>
    <row r="230" spans="8:13">
      <c r="H230" s="4"/>
      <c r="K230"/>
      <c r="L230"/>
      <c r="M230"/>
    </row>
    <row r="231" spans="8:13">
      <c r="H231" s="4"/>
      <c r="K231"/>
      <c r="L231"/>
      <c r="M231"/>
    </row>
    <row r="232" spans="8:13">
      <c r="H232" s="4"/>
      <c r="K232"/>
      <c r="L232"/>
      <c r="M232"/>
    </row>
    <row r="233" spans="8:13">
      <c r="H233" s="4"/>
      <c r="K233"/>
      <c r="L233"/>
      <c r="M233"/>
    </row>
    <row r="234" spans="8:13">
      <c r="H234" s="4"/>
      <c r="K234"/>
      <c r="L234"/>
      <c r="M234"/>
    </row>
    <row r="235" spans="8:13">
      <c r="H235" s="4"/>
      <c r="K235"/>
      <c r="L235"/>
      <c r="M235"/>
    </row>
  </sheetData>
  <autoFilter ref="A1:N171" xr:uid="{00000000-0009-0000-0000-00000D000000}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D64-4E55-4438-AF3C-E3545362A60B}">
  <dimension ref="A1:B13"/>
  <sheetViews>
    <sheetView workbookViewId="0">
      <selection activeCell="B5" sqref="B5"/>
    </sheetView>
  </sheetViews>
  <sheetFormatPr baseColWidth="10" defaultColWidth="11.3984375" defaultRowHeight="14.25"/>
  <cols>
    <col min="1" max="1" width="9" style="34" customWidth="1"/>
    <col min="2" max="2" width="13.3984375" bestFit="1" customWidth="1"/>
  </cols>
  <sheetData>
    <row r="1" spans="1:2">
      <c r="A1" s="34" t="s">
        <v>254</v>
      </c>
    </row>
    <row r="3" spans="1:2">
      <c r="A3" s="34" t="s">
        <v>255</v>
      </c>
      <c r="B3" t="s">
        <v>256</v>
      </c>
    </row>
    <row r="4" spans="1:2">
      <c r="A4" s="34" t="s">
        <v>257</v>
      </c>
      <c r="B4" t="s">
        <v>258</v>
      </c>
    </row>
    <row r="5" spans="1:2">
      <c r="A5" s="34" t="s">
        <v>259</v>
      </c>
      <c r="B5" t="s">
        <v>260</v>
      </c>
    </row>
    <row r="6" spans="1:2">
      <c r="A6" s="34" t="s">
        <v>261</v>
      </c>
      <c r="B6" t="s">
        <v>262</v>
      </c>
    </row>
    <row r="7" spans="1:2">
      <c r="A7" s="34" t="s">
        <v>263</v>
      </c>
      <c r="B7" t="s">
        <v>264</v>
      </c>
    </row>
    <row r="8" spans="1:2">
      <c r="A8" s="34" t="s">
        <v>265</v>
      </c>
      <c r="B8" t="s">
        <v>266</v>
      </c>
    </row>
    <row r="9" spans="1:2">
      <c r="A9" s="34" t="s">
        <v>267</v>
      </c>
      <c r="B9" t="s">
        <v>268</v>
      </c>
    </row>
    <row r="10" spans="1:2">
      <c r="A10" s="34" t="s">
        <v>269</v>
      </c>
      <c r="B10" t="s">
        <v>270</v>
      </c>
    </row>
    <row r="11" spans="1:2">
      <c r="A11" s="34" t="s">
        <v>271</v>
      </c>
      <c r="B11" t="s">
        <v>272</v>
      </c>
    </row>
    <row r="12" spans="1:2">
      <c r="A12" s="34" t="s">
        <v>273</v>
      </c>
      <c r="B12" t="s">
        <v>274</v>
      </c>
    </row>
    <row r="13" spans="1:2">
      <c r="A13" s="34" t="s">
        <v>275</v>
      </c>
      <c r="B13" t="s">
        <v>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21"/>
  <dimension ref="A1:AA1119"/>
  <sheetViews>
    <sheetView workbookViewId="0">
      <selection activeCell="E53" sqref="E53"/>
    </sheetView>
  </sheetViews>
  <sheetFormatPr baseColWidth="10" defaultColWidth="10.3984375" defaultRowHeight="14.25"/>
  <cols>
    <col min="4" max="4" width="20.59765625" bestFit="1" customWidth="1"/>
    <col min="7" max="7" width="13.3984375" customWidth="1"/>
    <col min="8" max="8" width="26.3984375" bestFit="1" customWidth="1"/>
    <col min="11" max="11" width="11.59765625" bestFit="1" customWidth="1"/>
    <col min="16" max="16" width="12.59765625" bestFit="1" customWidth="1"/>
    <col min="21" max="21" width="13.3984375" bestFit="1" customWidth="1"/>
  </cols>
  <sheetData>
    <row r="1" spans="1:27">
      <c r="A1">
        <f>PI()</f>
        <v>3.1415926535897931</v>
      </c>
      <c r="B1" t="s">
        <v>7</v>
      </c>
      <c r="E1" t="s">
        <v>159</v>
      </c>
      <c r="Y1" t="s">
        <v>9</v>
      </c>
      <c r="Z1" t="s">
        <v>10</v>
      </c>
      <c r="AA1" t="s">
        <v>11</v>
      </c>
    </row>
    <row r="2" spans="1:27">
      <c r="Y2">
        <v>1117</v>
      </c>
      <c r="Z2" s="30">
        <v>1011.6756551111226</v>
      </c>
      <c r="AA2">
        <v>0</v>
      </c>
    </row>
    <row r="3" spans="1:27">
      <c r="Y3">
        <v>1116</v>
      </c>
      <c r="Z3" s="30">
        <v>1011.6756551111226</v>
      </c>
      <c r="AA3">
        <v>1</v>
      </c>
    </row>
    <row r="4" spans="1:27">
      <c r="Y4">
        <v>1115</v>
      </c>
      <c r="Z4" s="30">
        <v>1011.6756551111226</v>
      </c>
      <c r="AA4">
        <v>2</v>
      </c>
    </row>
    <row r="5" spans="1:27">
      <c r="Y5">
        <v>1114</v>
      </c>
      <c r="Z5" s="30">
        <v>1011.6756551111226</v>
      </c>
      <c r="AA5">
        <v>3</v>
      </c>
    </row>
    <row r="6" spans="1:27">
      <c r="Y6">
        <v>1113</v>
      </c>
      <c r="Z6" s="30">
        <v>1011.6756551111226</v>
      </c>
      <c r="AA6">
        <v>4</v>
      </c>
    </row>
    <row r="7" spans="1:27">
      <c r="Y7">
        <v>1112</v>
      </c>
      <c r="Z7" s="30">
        <v>1011.6756551111226</v>
      </c>
      <c r="AA7">
        <v>5</v>
      </c>
    </row>
    <row r="8" spans="1:27">
      <c r="Y8">
        <v>1111</v>
      </c>
      <c r="Z8" s="30">
        <v>1011.6756551111226</v>
      </c>
      <c r="AA8">
        <v>6</v>
      </c>
    </row>
    <row r="9" spans="1:27">
      <c r="Y9">
        <v>1110</v>
      </c>
      <c r="Z9" s="30">
        <v>1011.6756551111226</v>
      </c>
      <c r="AA9">
        <v>7</v>
      </c>
    </row>
    <row r="10" spans="1:27">
      <c r="Y10">
        <v>1109</v>
      </c>
      <c r="Z10" s="30">
        <v>1011.6756551111226</v>
      </c>
      <c r="AA10">
        <v>8</v>
      </c>
    </row>
    <row r="11" spans="1:27">
      <c r="Y11">
        <v>1108</v>
      </c>
      <c r="Z11" s="30">
        <v>1011.6756551111226</v>
      </c>
      <c r="AA11">
        <v>9</v>
      </c>
    </row>
    <row r="12" spans="1:27">
      <c r="Y12">
        <v>1107</v>
      </c>
      <c r="Z12" s="30">
        <v>1011.6756551111226</v>
      </c>
      <c r="AA12">
        <v>10</v>
      </c>
    </row>
    <row r="13" spans="1:27">
      <c r="Y13">
        <v>1106</v>
      </c>
      <c r="Z13" s="30">
        <v>1011.6756551111226</v>
      </c>
      <c r="AA13">
        <v>11</v>
      </c>
    </row>
    <row r="14" spans="1:27">
      <c r="Y14">
        <v>1105</v>
      </c>
      <c r="Z14" s="30">
        <v>1011.6756551111226</v>
      </c>
      <c r="AA14">
        <v>12</v>
      </c>
    </row>
    <row r="15" spans="1:27">
      <c r="Y15">
        <v>1104</v>
      </c>
      <c r="Z15" s="30">
        <v>1011.6756551111226</v>
      </c>
      <c r="AA15">
        <v>13</v>
      </c>
    </row>
    <row r="16" spans="1:27">
      <c r="Y16">
        <v>1103</v>
      </c>
      <c r="Z16" s="30">
        <v>1011.6756551111226</v>
      </c>
      <c r="AA16">
        <v>14</v>
      </c>
    </row>
    <row r="17" spans="25:27">
      <c r="Y17">
        <v>1102</v>
      </c>
      <c r="Z17" s="30">
        <v>1011.6756551111226</v>
      </c>
      <c r="AA17">
        <v>15</v>
      </c>
    </row>
    <row r="18" spans="25:27">
      <c r="Y18">
        <v>1101</v>
      </c>
      <c r="Z18" s="30">
        <v>1011.6756551111226</v>
      </c>
      <c r="AA18">
        <v>16</v>
      </c>
    </row>
    <row r="19" spans="25:27">
      <c r="Y19">
        <v>1100</v>
      </c>
      <c r="Z19" s="30">
        <v>1011.6756551111226</v>
      </c>
      <c r="AA19">
        <v>17</v>
      </c>
    </row>
    <row r="20" spans="25:27">
      <c r="Y20">
        <v>1099</v>
      </c>
      <c r="Z20" s="30">
        <v>1011.6756551111226</v>
      </c>
      <c r="AA20">
        <v>18</v>
      </c>
    </row>
    <row r="21" spans="25:27">
      <c r="Y21">
        <v>1098</v>
      </c>
      <c r="Z21" s="30">
        <v>1011.6756551111226</v>
      </c>
      <c r="AA21">
        <v>19</v>
      </c>
    </row>
    <row r="22" spans="25:27">
      <c r="Y22">
        <v>1097</v>
      </c>
      <c r="Z22" s="30">
        <v>1011.6756551111226</v>
      </c>
      <c r="AA22">
        <v>20</v>
      </c>
    </row>
    <row r="23" spans="25:27">
      <c r="Y23">
        <v>1096</v>
      </c>
      <c r="Z23" s="30">
        <v>1011.6756551111226</v>
      </c>
      <c r="AA23">
        <v>21</v>
      </c>
    </row>
    <row r="24" spans="25:27">
      <c r="Y24">
        <v>1095</v>
      </c>
      <c r="Z24" s="33">
        <f>U58+$L$58+$H$68</f>
        <v>1011.6756551111226</v>
      </c>
      <c r="AA24">
        <v>22</v>
      </c>
    </row>
    <row r="25" spans="25:27">
      <c r="Y25">
        <v>1094</v>
      </c>
      <c r="Z25" s="30">
        <f>U59+$L$58+$H$68</f>
        <v>1010.679929345153</v>
      </c>
      <c r="AA25">
        <v>23</v>
      </c>
    </row>
    <row r="26" spans="25:27">
      <c r="Y26">
        <v>1093</v>
      </c>
      <c r="Z26" s="30">
        <f t="shared" ref="Z26:Z84" si="0">U60+$L$58+$H$68</f>
        <v>1009.7168473525875</v>
      </c>
      <c r="AA26">
        <v>24</v>
      </c>
    </row>
    <row r="27" spans="25:27">
      <c r="Y27">
        <v>1092</v>
      </c>
      <c r="Z27" s="30">
        <f t="shared" si="0"/>
        <v>1008.7858650705358</v>
      </c>
      <c r="AA27">
        <v>25</v>
      </c>
    </row>
    <row r="28" spans="25:27">
      <c r="Y28">
        <v>1091</v>
      </c>
      <c r="Z28" s="30">
        <f t="shared" si="0"/>
        <v>1007.8864384361079</v>
      </c>
      <c r="AA28">
        <v>26</v>
      </c>
    </row>
    <row r="29" spans="25:27">
      <c r="Y29">
        <v>1090</v>
      </c>
      <c r="Z29" s="30">
        <f t="shared" si="0"/>
        <v>1007.0180233864138</v>
      </c>
      <c r="AA29">
        <v>27</v>
      </c>
    </row>
    <row r="30" spans="25:27">
      <c r="Y30">
        <v>1089</v>
      </c>
      <c r="Z30" s="30">
        <f t="shared" si="0"/>
        <v>1006.1800758585634</v>
      </c>
      <c r="AA30">
        <v>28</v>
      </c>
    </row>
    <row r="31" spans="25:27">
      <c r="Y31">
        <v>1088</v>
      </c>
      <c r="Z31" s="30">
        <f t="shared" si="0"/>
        <v>1005.3720517896667</v>
      </c>
      <c r="AA31">
        <v>29</v>
      </c>
    </row>
    <row r="32" spans="25:27">
      <c r="Y32">
        <v>1087</v>
      </c>
      <c r="Z32" s="30">
        <f t="shared" si="0"/>
        <v>1004.5934071168335</v>
      </c>
      <c r="AA32">
        <v>30</v>
      </c>
    </row>
    <row r="33" spans="19:27">
      <c r="Y33">
        <v>1086</v>
      </c>
      <c r="Z33" s="30">
        <f t="shared" si="0"/>
        <v>1003.843597777174</v>
      </c>
      <c r="AA33">
        <v>31</v>
      </c>
    </row>
    <row r="34" spans="19:27">
      <c r="Y34">
        <v>1085</v>
      </c>
      <c r="Z34" s="30">
        <f t="shared" si="0"/>
        <v>1003.1220797077978</v>
      </c>
      <c r="AA34">
        <v>32</v>
      </c>
    </row>
    <row r="35" spans="19:27">
      <c r="Y35">
        <v>1084</v>
      </c>
      <c r="Z35" s="30">
        <f t="shared" si="0"/>
        <v>1002.4283088458149</v>
      </c>
      <c r="AA35">
        <v>33</v>
      </c>
    </row>
    <row r="36" spans="19:27">
      <c r="Y36">
        <v>1083</v>
      </c>
      <c r="Z36" s="30">
        <f t="shared" si="0"/>
        <v>1001.7617411283354</v>
      </c>
      <c r="AA36">
        <v>34</v>
      </c>
    </row>
    <row r="37" spans="19:27">
      <c r="Y37">
        <v>1082</v>
      </c>
      <c r="Z37" s="30">
        <f t="shared" si="0"/>
        <v>1001.1218324924691</v>
      </c>
      <c r="AA37">
        <v>35</v>
      </c>
    </row>
    <row r="38" spans="19:27">
      <c r="S38" t="s">
        <v>12</v>
      </c>
      <c r="Y38">
        <v>1081</v>
      </c>
      <c r="Z38" s="30">
        <f t="shared" si="0"/>
        <v>1000.5080388753261</v>
      </c>
      <c r="AA38">
        <v>36</v>
      </c>
    </row>
    <row r="39" spans="19:27">
      <c r="Y39">
        <v>1080</v>
      </c>
      <c r="Z39" s="30">
        <f t="shared" si="0"/>
        <v>999.91981621401612</v>
      </c>
      <c r="AA39">
        <v>37</v>
      </c>
    </row>
    <row r="40" spans="19:27">
      <c r="Y40">
        <v>1079</v>
      </c>
      <c r="Z40" s="30">
        <f t="shared" si="0"/>
        <v>999.35662044564913</v>
      </c>
      <c r="AA40">
        <v>38</v>
      </c>
    </row>
    <row r="41" spans="19:27">
      <c r="Y41">
        <v>1078</v>
      </c>
      <c r="Z41" s="30">
        <f t="shared" si="0"/>
        <v>998.81790750733524</v>
      </c>
      <c r="AA41">
        <v>39</v>
      </c>
    </row>
    <row r="42" spans="19:27">
      <c r="Y42">
        <v>1077</v>
      </c>
      <c r="Z42" s="30">
        <f t="shared" si="0"/>
        <v>998.30313333618426</v>
      </c>
      <c r="AA42">
        <v>40</v>
      </c>
    </row>
    <row r="43" spans="19:27">
      <c r="Y43">
        <v>1076</v>
      </c>
      <c r="Z43" s="30">
        <f t="shared" si="0"/>
        <v>997.81175386930602</v>
      </c>
      <c r="AA43">
        <v>41</v>
      </c>
    </row>
    <row r="44" spans="19:27">
      <c r="Y44">
        <v>1075</v>
      </c>
      <c r="Z44" s="30">
        <f t="shared" si="0"/>
        <v>997.34322504381066</v>
      </c>
      <c r="AA44">
        <v>42</v>
      </c>
    </row>
    <row r="45" spans="19:27">
      <c r="Y45">
        <v>1074</v>
      </c>
      <c r="Z45" s="30">
        <f t="shared" si="0"/>
        <v>996.89700279680801</v>
      </c>
      <c r="AA45">
        <v>43</v>
      </c>
    </row>
    <row r="46" spans="19:27">
      <c r="Y46">
        <v>1073</v>
      </c>
      <c r="Z46" s="30">
        <f t="shared" si="0"/>
        <v>996.47254306540799</v>
      </c>
      <c r="AA46">
        <v>44</v>
      </c>
    </row>
    <row r="47" spans="19:27">
      <c r="Y47">
        <v>1072</v>
      </c>
      <c r="Z47" s="30">
        <f t="shared" si="0"/>
        <v>996.06930178672053</v>
      </c>
      <c r="AA47">
        <v>45</v>
      </c>
    </row>
    <row r="48" spans="19:27">
      <c r="Y48">
        <v>1071</v>
      </c>
      <c r="Z48" s="30">
        <f t="shared" si="0"/>
        <v>995.68673489785556</v>
      </c>
      <c r="AA48">
        <v>46</v>
      </c>
    </row>
    <row r="49" spans="1:27">
      <c r="K49" s="32">
        <v>950</v>
      </c>
      <c r="Y49">
        <v>1070</v>
      </c>
      <c r="Z49" s="30">
        <f t="shared" si="0"/>
        <v>995.32429833592312</v>
      </c>
      <c r="AA49">
        <v>47</v>
      </c>
    </row>
    <row r="50" spans="1:27">
      <c r="K50" t="s">
        <v>13</v>
      </c>
      <c r="L50" t="s">
        <v>14</v>
      </c>
      <c r="Y50">
        <v>1069</v>
      </c>
      <c r="Z50" s="30">
        <f t="shared" si="0"/>
        <v>994.98144803803302</v>
      </c>
      <c r="AA50">
        <v>48</v>
      </c>
    </row>
    <row r="51" spans="1:27">
      <c r="K51">
        <f>K49*$A$1*B52^2</f>
        <v>96161755.661985204</v>
      </c>
      <c r="L51" s="23">
        <f>K51/100000</f>
        <v>961.61755661985205</v>
      </c>
      <c r="Y51">
        <v>1068</v>
      </c>
      <c r="Z51" s="30">
        <f t="shared" si="0"/>
        <v>994.65763994129532</v>
      </c>
      <c r="AA51">
        <v>49</v>
      </c>
    </row>
    <row r="52" spans="1:27">
      <c r="A52" t="s">
        <v>277</v>
      </c>
      <c r="B52">
        <f>359/2</f>
        <v>179.5</v>
      </c>
      <c r="E52">
        <f>B54^2+B52^2</f>
        <v>39276.25</v>
      </c>
      <c r="Y52">
        <v>1067</v>
      </c>
      <c r="Z52" s="30">
        <f>U86+$L$58+$H$68</f>
        <v>994.35232998281981</v>
      </c>
      <c r="AA52">
        <v>50</v>
      </c>
    </row>
    <row r="53" spans="1:27">
      <c r="A53" t="s">
        <v>15</v>
      </c>
      <c r="B53">
        <f>($A$1*B52^2*B54)/3</f>
        <v>2834241.2195111425</v>
      </c>
      <c r="D53" t="s">
        <v>16</v>
      </c>
      <c r="E53">
        <f>SQRT(E52)</f>
        <v>198.18236551217163</v>
      </c>
      <c r="O53" t="s">
        <v>9</v>
      </c>
      <c r="P53">
        <v>61</v>
      </c>
      <c r="T53">
        <f>P53^2+B52^2</f>
        <v>35941.25</v>
      </c>
      <c r="V53" t="s">
        <v>17</v>
      </c>
      <c r="W53">
        <f>$B$54+$K$49+$P$53</f>
        <v>1095</v>
      </c>
      <c r="Y53">
        <v>1066</v>
      </c>
      <c r="Z53" s="30">
        <f t="shared" si="0"/>
        <v>994.06497409971644</v>
      </c>
      <c r="AA53">
        <v>51</v>
      </c>
    </row>
    <row r="54" spans="1:27">
      <c r="A54" t="s">
        <v>18</v>
      </c>
      <c r="B54">
        <v>84</v>
      </c>
      <c r="D54" t="s">
        <v>19</v>
      </c>
      <c r="E54">
        <f>(B54/B52)</f>
        <v>0.46796657381615597</v>
      </c>
      <c r="O54" t="s">
        <v>20</v>
      </c>
      <c r="P54">
        <f>($P$53*$A$1*B52^2)/3</f>
        <v>2058198.9808354729</v>
      </c>
      <c r="S54" t="s">
        <v>16</v>
      </c>
      <c r="T54">
        <f>SQRT(T53)</f>
        <v>189.58177655038472</v>
      </c>
      <c r="Y54">
        <v>1065</v>
      </c>
      <c r="Z54" s="30">
        <f t="shared" si="0"/>
        <v>993.79502822909524</v>
      </c>
      <c r="AA54">
        <v>52</v>
      </c>
    </row>
    <row r="55" spans="1:27">
      <c r="A55" t="s">
        <v>21</v>
      </c>
      <c r="B55">
        <f>B53/100000</f>
        <v>28.342412195111425</v>
      </c>
      <c r="D55" t="s">
        <v>22</v>
      </c>
      <c r="E55">
        <f>B52/B54</f>
        <v>2.1369047619047619</v>
      </c>
      <c r="O55" t="s">
        <v>14</v>
      </c>
      <c r="P55" s="30">
        <f>P54/100000</f>
        <v>20.581989808354731</v>
      </c>
      <c r="S55" t="s">
        <v>19</v>
      </c>
      <c r="T55">
        <f>(P53/B52)</f>
        <v>0.33983286908077992</v>
      </c>
      <c r="Y55">
        <v>1064</v>
      </c>
      <c r="Z55" s="30">
        <f t="shared" si="0"/>
        <v>993.54194830806603</v>
      </c>
      <c r="AA55">
        <v>53</v>
      </c>
    </row>
    <row r="56" spans="1:27">
      <c r="S56" t="s">
        <v>22</v>
      </c>
      <c r="T56">
        <f>B52/P53</f>
        <v>2.942622950819672</v>
      </c>
      <c r="Y56">
        <v>1063</v>
      </c>
      <c r="Z56" s="30">
        <f t="shared" si="0"/>
        <v>993.30519027373896</v>
      </c>
      <c r="AA56">
        <v>54</v>
      </c>
    </row>
    <row r="57" spans="1:27">
      <c r="C57" t="s">
        <v>9</v>
      </c>
      <c r="D57" t="s">
        <v>23</v>
      </c>
      <c r="F57" t="s">
        <v>24</v>
      </c>
      <c r="G57" t="s">
        <v>14</v>
      </c>
      <c r="H57" t="s">
        <v>25</v>
      </c>
      <c r="K57" t="s">
        <v>26</v>
      </c>
      <c r="L57" t="s">
        <v>14</v>
      </c>
      <c r="R57" t="s">
        <v>9</v>
      </c>
      <c r="S57" t="s">
        <v>23</v>
      </c>
      <c r="T57" t="s">
        <v>10</v>
      </c>
      <c r="U57" t="s">
        <v>14</v>
      </c>
      <c r="Y57">
        <v>1062</v>
      </c>
      <c r="Z57" s="30">
        <f t="shared" si="0"/>
        <v>993.08421006322362</v>
      </c>
      <c r="AA57">
        <v>55</v>
      </c>
    </row>
    <row r="58" spans="1:27">
      <c r="A58">
        <f>B55</f>
        <v>28.342412195111425</v>
      </c>
      <c r="D58">
        <f t="shared" ref="D58:D68" si="1">C58/$E$54</f>
        <v>0</v>
      </c>
      <c r="F58">
        <f t="shared" ref="F58:F68" si="2">($A$1*D58^2*C58)/3</f>
        <v>0</v>
      </c>
      <c r="G58" s="30">
        <f>F58/100000</f>
        <v>0</v>
      </c>
      <c r="H58" s="30">
        <f>G58*1.04</f>
        <v>0</v>
      </c>
      <c r="J58">
        <v>950</v>
      </c>
      <c r="K58">
        <f t="shared" ref="K58:K121" si="3">$A$1*J58*$B$52^2</f>
        <v>96161755.661985204</v>
      </c>
      <c r="L58" s="30">
        <f>K58/100000</f>
        <v>961.61755661985205</v>
      </c>
      <c r="R58">
        <v>61</v>
      </c>
      <c r="S58">
        <f>R58/$T$55</f>
        <v>179.5</v>
      </c>
      <c r="T58">
        <f>(R58*$A$1*S58^2)/3</f>
        <v>2058198.9808354729</v>
      </c>
      <c r="U58" s="30">
        <f>T58/100000</f>
        <v>20.581989808354731</v>
      </c>
      <c r="Y58">
        <v>1061</v>
      </c>
      <c r="Z58" s="30">
        <f t="shared" si="0"/>
        <v>992.87846361363029</v>
      </c>
      <c r="AA58">
        <v>56</v>
      </c>
    </row>
    <row r="59" spans="1:27">
      <c r="A59">
        <v>47</v>
      </c>
      <c r="D59">
        <f t="shared" si="1"/>
        <v>0</v>
      </c>
      <c r="F59">
        <f t="shared" si="2"/>
        <v>0</v>
      </c>
      <c r="G59" s="30">
        <f t="shared" ref="G59:G122" si="4">F59/100000</f>
        <v>0</v>
      </c>
      <c r="H59" s="30">
        <f t="shared" ref="H59:H122" si="5">G59*1.04</f>
        <v>0</v>
      </c>
      <c r="J59">
        <v>949</v>
      </c>
      <c r="K59">
        <f t="shared" si="3"/>
        <v>96060532.761288375</v>
      </c>
      <c r="L59" s="30">
        <f t="shared" ref="L59:L122" si="6">K59/100000</f>
        <v>960.6053276128838</v>
      </c>
      <c r="R59">
        <v>60</v>
      </c>
      <c r="S59">
        <f t="shared" ref="S59:S118" si="7">R59/$T$55</f>
        <v>176.55737704918033</v>
      </c>
      <c r="T59">
        <f t="shared" ref="T59:T118" si="8">(R59*$A$1*S59^2)/3</f>
        <v>1958626.4042385139</v>
      </c>
      <c r="U59" s="30">
        <f t="shared" ref="U59:U118" si="9">T59/100000</f>
        <v>19.586264042385139</v>
      </c>
      <c r="Y59">
        <v>1060</v>
      </c>
      <c r="Z59" s="30">
        <f t="shared" si="0"/>
        <v>992.68740686206866</v>
      </c>
      <c r="AA59">
        <v>57</v>
      </c>
    </row>
    <row r="60" spans="1:27">
      <c r="A60">
        <v>46</v>
      </c>
      <c r="D60">
        <f t="shared" si="1"/>
        <v>0</v>
      </c>
      <c r="F60">
        <f t="shared" si="2"/>
        <v>0</v>
      </c>
      <c r="G60" s="30">
        <f t="shared" si="4"/>
        <v>0</v>
      </c>
      <c r="H60" s="30">
        <f t="shared" si="5"/>
        <v>0</v>
      </c>
      <c r="J60">
        <v>948</v>
      </c>
      <c r="K60">
        <f t="shared" si="3"/>
        <v>95959309.860591546</v>
      </c>
      <c r="L60" s="30">
        <f t="shared" si="6"/>
        <v>959.59309860591543</v>
      </c>
      <c r="R60">
        <v>59</v>
      </c>
      <c r="S60">
        <f t="shared" si="7"/>
        <v>173.61475409836066</v>
      </c>
      <c r="T60">
        <f t="shared" si="8"/>
        <v>1862318.2049819527</v>
      </c>
      <c r="U60" s="30">
        <f t="shared" si="9"/>
        <v>18.623182049819526</v>
      </c>
      <c r="Y60">
        <v>1059</v>
      </c>
      <c r="Z60" s="30">
        <f t="shared" si="0"/>
        <v>992.51049574564877</v>
      </c>
      <c r="AA60">
        <v>58</v>
      </c>
    </row>
    <row r="61" spans="1:27">
      <c r="A61">
        <v>45</v>
      </c>
      <c r="D61">
        <f t="shared" si="1"/>
        <v>0</v>
      </c>
      <c r="F61">
        <f t="shared" si="2"/>
        <v>0</v>
      </c>
      <c r="G61" s="30">
        <f t="shared" si="4"/>
        <v>0</v>
      </c>
      <c r="H61" s="30">
        <f t="shared" si="5"/>
        <v>0</v>
      </c>
      <c r="J61">
        <v>947</v>
      </c>
      <c r="K61">
        <f t="shared" si="3"/>
        <v>95858086.959894732</v>
      </c>
      <c r="L61" s="30">
        <f t="shared" si="6"/>
        <v>958.58086959894729</v>
      </c>
      <c r="R61">
        <v>58</v>
      </c>
      <c r="S61">
        <f t="shared" si="7"/>
        <v>170.67213114754099</v>
      </c>
      <c r="T61">
        <f t="shared" si="8"/>
        <v>1769219.9767767824</v>
      </c>
      <c r="U61" s="30">
        <f t="shared" si="9"/>
        <v>17.692199767767825</v>
      </c>
      <c r="Y61">
        <v>1058</v>
      </c>
      <c r="Z61" s="30">
        <f t="shared" si="0"/>
        <v>992.34718620148055</v>
      </c>
      <c r="AA61">
        <v>59</v>
      </c>
    </row>
    <row r="62" spans="1:27">
      <c r="A62">
        <v>44</v>
      </c>
      <c r="D62">
        <f t="shared" si="1"/>
        <v>0</v>
      </c>
      <c r="F62">
        <f t="shared" si="2"/>
        <v>0</v>
      </c>
      <c r="G62" s="30">
        <f t="shared" si="4"/>
        <v>0</v>
      </c>
      <c r="H62" s="30">
        <f t="shared" si="5"/>
        <v>0</v>
      </c>
      <c r="J62">
        <v>946</v>
      </c>
      <c r="K62">
        <f t="shared" si="3"/>
        <v>95756864.059197903</v>
      </c>
      <c r="L62" s="30">
        <f t="shared" si="6"/>
        <v>957.56864059197903</v>
      </c>
      <c r="R62">
        <v>57</v>
      </c>
      <c r="S62">
        <f t="shared" si="7"/>
        <v>167.72950819672133</v>
      </c>
      <c r="T62">
        <f t="shared" si="8"/>
        <v>1679277.3133339959</v>
      </c>
      <c r="U62" s="30">
        <f t="shared" si="9"/>
        <v>16.79277313333996</v>
      </c>
      <c r="Y62">
        <v>1057</v>
      </c>
      <c r="Z62" s="30">
        <f>U96+$L$58+$H$68</f>
        <v>992.19693416667394</v>
      </c>
      <c r="AA62">
        <v>60</v>
      </c>
    </row>
    <row r="63" spans="1:27">
      <c r="A63">
        <v>43</v>
      </c>
      <c r="D63">
        <f t="shared" si="1"/>
        <v>0</v>
      </c>
      <c r="F63">
        <f t="shared" si="2"/>
        <v>0</v>
      </c>
      <c r="G63" s="30">
        <f t="shared" si="4"/>
        <v>0</v>
      </c>
      <c r="H63" s="30">
        <f t="shared" si="5"/>
        <v>0</v>
      </c>
      <c r="J63">
        <v>945</v>
      </c>
      <c r="K63">
        <f t="shared" si="3"/>
        <v>95655641.158501074</v>
      </c>
      <c r="L63" s="30">
        <f t="shared" si="6"/>
        <v>956.55641158501078</v>
      </c>
      <c r="R63">
        <v>56</v>
      </c>
      <c r="S63">
        <f t="shared" si="7"/>
        <v>164.78688524590166</v>
      </c>
      <c r="T63">
        <f t="shared" si="8"/>
        <v>1592435.8083645878</v>
      </c>
      <c r="U63" s="30">
        <f t="shared" si="9"/>
        <v>15.924358083645878</v>
      </c>
      <c r="Y63">
        <v>1056</v>
      </c>
      <c r="Z63" s="30">
        <f t="shared" si="0"/>
        <v>992.05919557833886</v>
      </c>
      <c r="AA63">
        <v>61</v>
      </c>
    </row>
    <row r="64" spans="1:27">
      <c r="A64">
        <v>42</v>
      </c>
      <c r="D64">
        <f t="shared" si="1"/>
        <v>0</v>
      </c>
      <c r="F64">
        <f t="shared" si="2"/>
        <v>0</v>
      </c>
      <c r="G64" s="30">
        <f t="shared" si="4"/>
        <v>0</v>
      </c>
      <c r="H64" s="30">
        <f t="shared" si="5"/>
        <v>0</v>
      </c>
      <c r="J64">
        <v>944</v>
      </c>
      <c r="K64">
        <f t="shared" si="3"/>
        <v>95554418.257804245</v>
      </c>
      <c r="L64" s="30">
        <f t="shared" si="6"/>
        <v>955.54418257804241</v>
      </c>
      <c r="R64">
        <v>55</v>
      </c>
      <c r="S64">
        <f t="shared" si="7"/>
        <v>161.84426229508199</v>
      </c>
      <c r="T64">
        <f t="shared" si="8"/>
        <v>1508641.0555795503</v>
      </c>
      <c r="U64" s="30">
        <f t="shared" si="9"/>
        <v>15.086410555795503</v>
      </c>
      <c r="Y64">
        <v>1055</v>
      </c>
      <c r="Z64" s="30">
        <f t="shared" si="0"/>
        <v>991.93342637358523</v>
      </c>
      <c r="AA64">
        <v>62</v>
      </c>
    </row>
    <row r="65" spans="1:27">
      <c r="A65">
        <v>41</v>
      </c>
      <c r="D65">
        <f t="shared" si="1"/>
        <v>0</v>
      </c>
      <c r="F65">
        <f t="shared" si="2"/>
        <v>0</v>
      </c>
      <c r="G65" s="30">
        <f t="shared" si="4"/>
        <v>0</v>
      </c>
      <c r="H65" s="30">
        <f t="shared" si="5"/>
        <v>0</v>
      </c>
      <c r="J65">
        <v>943</v>
      </c>
      <c r="K65">
        <f t="shared" si="3"/>
        <v>95453195.357107416</v>
      </c>
      <c r="L65" s="30">
        <f t="shared" si="6"/>
        <v>954.53195357107415</v>
      </c>
      <c r="R65">
        <v>54</v>
      </c>
      <c r="S65">
        <f t="shared" si="7"/>
        <v>158.90163934426229</v>
      </c>
      <c r="T65">
        <f t="shared" si="8"/>
        <v>1427838.6486898765</v>
      </c>
      <c r="U65" s="30">
        <f t="shared" si="9"/>
        <v>14.278386486898766</v>
      </c>
      <c r="Y65">
        <v>1054</v>
      </c>
      <c r="Z65" s="30">
        <f t="shared" si="0"/>
        <v>991.81908248952288</v>
      </c>
      <c r="AA65">
        <v>63</v>
      </c>
    </row>
    <row r="66" spans="1:27">
      <c r="A66">
        <v>40</v>
      </c>
      <c r="D66">
        <f t="shared" si="1"/>
        <v>0</v>
      </c>
      <c r="F66">
        <f t="shared" si="2"/>
        <v>0</v>
      </c>
      <c r="G66" s="30">
        <f t="shared" si="4"/>
        <v>0</v>
      </c>
      <c r="H66" s="30">
        <f t="shared" si="5"/>
        <v>0</v>
      </c>
      <c r="J66">
        <v>942</v>
      </c>
      <c r="K66">
        <f t="shared" si="3"/>
        <v>95351972.456410602</v>
      </c>
      <c r="L66" s="30">
        <f t="shared" si="6"/>
        <v>953.51972456410601</v>
      </c>
      <c r="R66">
        <v>53</v>
      </c>
      <c r="S66">
        <f t="shared" si="7"/>
        <v>155.95901639344262</v>
      </c>
      <c r="T66">
        <f t="shared" si="8"/>
        <v>1349974.1814065613</v>
      </c>
      <c r="U66" s="30">
        <f t="shared" si="9"/>
        <v>13.499741814065613</v>
      </c>
      <c r="Y66">
        <v>1053</v>
      </c>
      <c r="Z66" s="30">
        <f t="shared" si="0"/>
        <v>991.71561986326196</v>
      </c>
      <c r="AA66">
        <v>64</v>
      </c>
    </row>
    <row r="67" spans="1:27">
      <c r="A67">
        <v>39</v>
      </c>
      <c r="D67">
        <f t="shared" si="1"/>
        <v>0</v>
      </c>
      <c r="F67">
        <f t="shared" si="2"/>
        <v>0</v>
      </c>
      <c r="G67" s="30">
        <f t="shared" si="4"/>
        <v>0</v>
      </c>
      <c r="H67" s="30">
        <f t="shared" si="5"/>
        <v>0</v>
      </c>
      <c r="J67">
        <v>941</v>
      </c>
      <c r="K67">
        <f t="shared" si="3"/>
        <v>95250749.555713758</v>
      </c>
      <c r="L67" s="30">
        <f t="shared" si="6"/>
        <v>952.50749555713753</v>
      </c>
      <c r="R67">
        <v>52</v>
      </c>
      <c r="S67">
        <f t="shared" si="7"/>
        <v>153.01639344262296</v>
      </c>
      <c r="T67">
        <f t="shared" si="8"/>
        <v>1274993.2474405973</v>
      </c>
      <c r="U67" s="30">
        <f t="shared" si="9"/>
        <v>12.749932474405973</v>
      </c>
      <c r="Y67">
        <v>1052</v>
      </c>
      <c r="Z67" s="30">
        <f t="shared" si="0"/>
        <v>991.62249443191229</v>
      </c>
      <c r="AA67">
        <v>65</v>
      </c>
    </row>
    <row r="68" spans="1:27">
      <c r="A68">
        <v>38</v>
      </c>
      <c r="C68">
        <v>84</v>
      </c>
      <c r="D68">
        <f t="shared" si="1"/>
        <v>179.5</v>
      </c>
      <c r="F68">
        <f t="shared" si="2"/>
        <v>2834241.2195111425</v>
      </c>
      <c r="G68" s="30">
        <f t="shared" si="4"/>
        <v>28.342412195111425</v>
      </c>
      <c r="H68" s="30">
        <f t="shared" si="5"/>
        <v>29.476108682915882</v>
      </c>
      <c r="J68">
        <v>940</v>
      </c>
      <c r="K68">
        <f t="shared" si="3"/>
        <v>95149526.655016944</v>
      </c>
      <c r="L68" s="30">
        <f t="shared" si="6"/>
        <v>951.49526655016939</v>
      </c>
      <c r="R68">
        <v>51</v>
      </c>
      <c r="S68">
        <f t="shared" si="7"/>
        <v>150.07377049180329</v>
      </c>
      <c r="T68">
        <f t="shared" si="8"/>
        <v>1202841.4405029775</v>
      </c>
      <c r="U68" s="30">
        <f t="shared" si="9"/>
        <v>12.028414405029775</v>
      </c>
      <c r="Y68">
        <v>1051</v>
      </c>
      <c r="Z68" s="30">
        <f t="shared" si="0"/>
        <v>991.5391621325839</v>
      </c>
      <c r="AA68">
        <v>66</v>
      </c>
    </row>
    <row r="69" spans="1:27">
      <c r="A69">
        <v>37</v>
      </c>
      <c r="C69">
        <v>83</v>
      </c>
      <c r="D69">
        <f t="shared" ref="D69:D121" si="10">C69/$E$54</f>
        <v>177.36309523809524</v>
      </c>
      <c r="F69">
        <f t="shared" ref="F69:F122" si="11">($A$1*D69^2*C69)/3</f>
        <v>2734218.5714633577</v>
      </c>
      <c r="G69" s="30">
        <f t="shared" si="4"/>
        <v>27.342185714633576</v>
      </c>
      <c r="H69" s="30">
        <f t="shared" si="5"/>
        <v>28.43587314321892</v>
      </c>
      <c r="J69">
        <v>939</v>
      </c>
      <c r="K69">
        <f t="shared" si="3"/>
        <v>95048303.754320115</v>
      </c>
      <c r="L69" s="30">
        <f t="shared" si="6"/>
        <v>950.48303754320114</v>
      </c>
      <c r="R69">
        <v>50</v>
      </c>
      <c r="S69">
        <f t="shared" si="7"/>
        <v>147.13114754098362</v>
      </c>
      <c r="T69">
        <f t="shared" si="8"/>
        <v>1133464.3543046957</v>
      </c>
      <c r="U69" s="30">
        <f t="shared" si="9"/>
        <v>11.334643543046957</v>
      </c>
      <c r="Y69">
        <v>1050</v>
      </c>
      <c r="Z69" s="30">
        <f t="shared" si="0"/>
        <v>991.46507890238649</v>
      </c>
      <c r="AA69">
        <v>67</v>
      </c>
    </row>
    <row r="70" spans="1:27">
      <c r="A70">
        <v>36</v>
      </c>
      <c r="C70">
        <v>82</v>
      </c>
      <c r="D70">
        <f t="shared" si="10"/>
        <v>175.22619047619048</v>
      </c>
      <c r="F70">
        <f t="shared" si="11"/>
        <v>2636577.3011813988</v>
      </c>
      <c r="G70" s="30">
        <f t="shared" si="4"/>
        <v>26.365773011813989</v>
      </c>
      <c r="H70" s="30">
        <f t="shared" si="5"/>
        <v>27.42040393228655</v>
      </c>
      <c r="J70">
        <v>938</v>
      </c>
      <c r="K70">
        <f t="shared" si="3"/>
        <v>94947080.853623286</v>
      </c>
      <c r="L70" s="30">
        <f t="shared" si="6"/>
        <v>949.47080853623288</v>
      </c>
      <c r="R70">
        <v>49</v>
      </c>
      <c r="S70">
        <f t="shared" si="7"/>
        <v>144.18852459016395</v>
      </c>
      <c r="T70">
        <f t="shared" si="8"/>
        <v>1066807.5825567453</v>
      </c>
      <c r="U70" s="30">
        <f t="shared" si="9"/>
        <v>10.668075825567453</v>
      </c>
      <c r="Y70">
        <v>1049</v>
      </c>
      <c r="Z70" s="30">
        <f t="shared" si="0"/>
        <v>991.39970067843024</v>
      </c>
      <c r="AA70">
        <v>68</v>
      </c>
    </row>
    <row r="71" spans="1:27">
      <c r="A71">
        <v>35</v>
      </c>
      <c r="C71">
        <v>81</v>
      </c>
      <c r="D71">
        <f t="shared" si="10"/>
        <v>173.08928571428572</v>
      </c>
      <c r="F71">
        <f t="shared" si="11"/>
        <v>2541288.717366884</v>
      </c>
      <c r="G71" s="30">
        <f t="shared" si="4"/>
        <v>25.412887173668839</v>
      </c>
      <c r="H71" s="30">
        <f t="shared" si="5"/>
        <v>26.429402660615594</v>
      </c>
      <c r="J71">
        <v>937</v>
      </c>
      <c r="K71">
        <f t="shared" si="3"/>
        <v>94845857.952926457</v>
      </c>
      <c r="L71" s="30">
        <f t="shared" si="6"/>
        <v>948.45857952926463</v>
      </c>
      <c r="R71">
        <v>48</v>
      </c>
      <c r="S71">
        <f t="shared" si="7"/>
        <v>141.24590163934428</v>
      </c>
      <c r="T71">
        <f t="shared" si="8"/>
        <v>1002816.7189701194</v>
      </c>
      <c r="U71" s="30">
        <f t="shared" si="9"/>
        <v>10.028167189701193</v>
      </c>
      <c r="Y71">
        <v>1048</v>
      </c>
      <c r="Z71" s="30">
        <f t="shared" si="0"/>
        <v>991.34248339782494</v>
      </c>
      <c r="AA71">
        <v>69</v>
      </c>
    </row>
    <row r="72" spans="1:27">
      <c r="A72">
        <v>34</v>
      </c>
      <c r="C72">
        <v>80</v>
      </c>
      <c r="D72">
        <f t="shared" si="10"/>
        <v>170.95238095238096</v>
      </c>
      <c r="F72">
        <f t="shared" si="11"/>
        <v>2448324.1287214281</v>
      </c>
      <c r="G72" s="30">
        <f t="shared" si="4"/>
        <v>24.48324128721428</v>
      </c>
      <c r="H72" s="30">
        <f t="shared" si="5"/>
        <v>25.462570938702854</v>
      </c>
      <c r="J72">
        <v>936</v>
      </c>
      <c r="K72">
        <f t="shared" si="3"/>
        <v>94744635.052229628</v>
      </c>
      <c r="L72" s="30">
        <f t="shared" si="6"/>
        <v>947.44635052229626</v>
      </c>
      <c r="R72">
        <v>47</v>
      </c>
      <c r="S72">
        <f t="shared" si="7"/>
        <v>138.30327868852461</v>
      </c>
      <c r="T72">
        <f t="shared" si="8"/>
        <v>941437.35725581169</v>
      </c>
      <c r="U72" s="30">
        <f t="shared" si="9"/>
        <v>9.4143735725581177</v>
      </c>
      <c r="Y72">
        <v>1047</v>
      </c>
      <c r="Z72" s="30">
        <f t="shared" si="0"/>
        <v>991.29288299768052</v>
      </c>
      <c r="AA72">
        <v>70</v>
      </c>
    </row>
    <row r="73" spans="1:27">
      <c r="A73">
        <v>33</v>
      </c>
      <c r="C73">
        <v>79</v>
      </c>
      <c r="D73">
        <f t="shared" si="10"/>
        <v>168.8154761904762</v>
      </c>
      <c r="F73">
        <f t="shared" si="11"/>
        <v>2357654.8439466488</v>
      </c>
      <c r="G73" s="30">
        <f t="shared" si="4"/>
        <v>23.576548439466489</v>
      </c>
      <c r="H73" s="30">
        <f t="shared" si="5"/>
        <v>24.519610377045151</v>
      </c>
      <c r="J73">
        <v>935</v>
      </c>
      <c r="K73">
        <f t="shared" si="3"/>
        <v>94643412.151532814</v>
      </c>
      <c r="L73" s="30">
        <f t="shared" si="6"/>
        <v>946.43412151532812</v>
      </c>
      <c r="R73">
        <v>46</v>
      </c>
      <c r="S73">
        <f t="shared" si="7"/>
        <v>135.36065573770492</v>
      </c>
      <c r="T73">
        <f t="shared" si="8"/>
        <v>882615.09112481459</v>
      </c>
      <c r="U73" s="30">
        <f t="shared" si="9"/>
        <v>8.8261509112481455</v>
      </c>
      <c r="Y73">
        <v>1046</v>
      </c>
      <c r="Z73" s="30">
        <f t="shared" si="0"/>
        <v>991.25035541510704</v>
      </c>
      <c r="AA73">
        <v>71</v>
      </c>
    </row>
    <row r="74" spans="1:27">
      <c r="A74">
        <v>32</v>
      </c>
      <c r="C74">
        <v>78</v>
      </c>
      <c r="D74">
        <f t="shared" si="10"/>
        <v>166.67857142857144</v>
      </c>
      <c r="F74">
        <f t="shared" si="11"/>
        <v>2269252.1717441627</v>
      </c>
      <c r="G74" s="30">
        <f t="shared" si="4"/>
        <v>22.692521717441625</v>
      </c>
      <c r="H74" s="30">
        <f t="shared" si="5"/>
        <v>23.600222586139292</v>
      </c>
      <c r="J74">
        <v>934</v>
      </c>
      <c r="K74">
        <f t="shared" si="3"/>
        <v>94542189.25083597</v>
      </c>
      <c r="L74" s="30">
        <f t="shared" si="6"/>
        <v>945.42189250835975</v>
      </c>
      <c r="R74">
        <v>45</v>
      </c>
      <c r="S74">
        <f t="shared" si="7"/>
        <v>132.41803278688525</v>
      </c>
      <c r="T74">
        <f t="shared" si="8"/>
        <v>826295.51428812323</v>
      </c>
      <c r="U74" s="30">
        <f t="shared" si="9"/>
        <v>8.262955142881232</v>
      </c>
      <c r="Y74">
        <v>1045</v>
      </c>
      <c r="Z74" s="30">
        <f t="shared" si="0"/>
        <v>991.2143565872143</v>
      </c>
      <c r="AA74">
        <v>72</v>
      </c>
    </row>
    <row r="75" spans="1:27">
      <c r="A75">
        <v>31</v>
      </c>
      <c r="C75">
        <v>77</v>
      </c>
      <c r="D75">
        <f t="shared" si="10"/>
        <v>164.54166666666669</v>
      </c>
      <c r="F75">
        <f t="shared" si="11"/>
        <v>2183087.4208155856</v>
      </c>
      <c r="G75" s="30">
        <f t="shared" si="4"/>
        <v>21.830874208155855</v>
      </c>
      <c r="H75" s="30">
        <f t="shared" si="5"/>
        <v>22.704109176482088</v>
      </c>
      <c r="J75">
        <v>933</v>
      </c>
      <c r="K75">
        <f t="shared" si="3"/>
        <v>94440966.350139156</v>
      </c>
      <c r="L75" s="30">
        <f t="shared" si="6"/>
        <v>944.40966350139161</v>
      </c>
      <c r="R75">
        <v>44</v>
      </c>
      <c r="S75">
        <f t="shared" si="7"/>
        <v>129.47540983606558</v>
      </c>
      <c r="T75">
        <f t="shared" si="8"/>
        <v>772424.22045672953</v>
      </c>
      <c r="U75" s="30">
        <f t="shared" si="9"/>
        <v>7.7242422045672949</v>
      </c>
      <c r="Y75">
        <v>1044</v>
      </c>
      <c r="Z75" s="30">
        <f t="shared" si="0"/>
        <v>991.18434245111234</v>
      </c>
      <c r="AA75">
        <v>73</v>
      </c>
    </row>
    <row r="76" spans="1:27">
      <c r="A76">
        <v>30</v>
      </c>
      <c r="C76">
        <v>76</v>
      </c>
      <c r="D76">
        <f t="shared" si="10"/>
        <v>162.4047619047619</v>
      </c>
      <c r="F76">
        <f t="shared" si="11"/>
        <v>2099131.8998625339</v>
      </c>
      <c r="G76" s="30">
        <f t="shared" si="4"/>
        <v>20.991318998625339</v>
      </c>
      <c r="H76" s="30">
        <f t="shared" si="5"/>
        <v>21.830971758570353</v>
      </c>
      <c r="J76">
        <v>932</v>
      </c>
      <c r="K76">
        <f t="shared" si="3"/>
        <v>94339743.449442327</v>
      </c>
      <c r="L76" s="30">
        <f t="shared" si="6"/>
        <v>943.39743449442324</v>
      </c>
      <c r="R76">
        <v>43</v>
      </c>
      <c r="S76">
        <f t="shared" si="7"/>
        <v>126.53278688524591</v>
      </c>
      <c r="T76">
        <f t="shared" si="8"/>
        <v>720946.80334162747</v>
      </c>
      <c r="U76" s="30">
        <f t="shared" si="9"/>
        <v>7.2094680334162744</v>
      </c>
      <c r="Y76">
        <v>1043</v>
      </c>
      <c r="Z76" s="30">
        <f t="shared" si="0"/>
        <v>991.15976894391099</v>
      </c>
      <c r="AA76">
        <v>74</v>
      </c>
    </row>
    <row r="77" spans="1:27">
      <c r="A77">
        <v>29</v>
      </c>
      <c r="C77">
        <v>75</v>
      </c>
      <c r="D77">
        <f t="shared" si="10"/>
        <v>160.26785714285714</v>
      </c>
      <c r="F77">
        <f t="shared" si="11"/>
        <v>2017356.9175866258</v>
      </c>
      <c r="G77" s="30">
        <f t="shared" si="4"/>
        <v>20.173569175866259</v>
      </c>
      <c r="H77" s="30">
        <f t="shared" si="5"/>
        <v>20.980511942900911</v>
      </c>
      <c r="J77">
        <v>931</v>
      </c>
      <c r="K77">
        <f t="shared" si="3"/>
        <v>94238520.548745513</v>
      </c>
      <c r="L77" s="30">
        <f t="shared" si="6"/>
        <v>942.3852054874551</v>
      </c>
      <c r="R77">
        <v>42</v>
      </c>
      <c r="S77">
        <f t="shared" si="7"/>
        <v>123.59016393442624</v>
      </c>
      <c r="T77">
        <f t="shared" si="8"/>
        <v>671808.85665381048</v>
      </c>
      <c r="U77" s="30">
        <f t="shared" si="9"/>
        <v>6.7180885665381052</v>
      </c>
      <c r="Y77">
        <v>1042</v>
      </c>
      <c r="Z77" s="30">
        <f t="shared" si="0"/>
        <v>991.14009200272028</v>
      </c>
      <c r="AA77">
        <v>75</v>
      </c>
    </row>
    <row r="78" spans="1:27">
      <c r="A78">
        <v>28</v>
      </c>
      <c r="C78">
        <v>74</v>
      </c>
      <c r="D78">
        <f t="shared" si="10"/>
        <v>158.13095238095238</v>
      </c>
      <c r="F78">
        <f t="shared" si="11"/>
        <v>1937733.7826894764</v>
      </c>
      <c r="G78" s="30">
        <f t="shared" si="4"/>
        <v>19.377337826894763</v>
      </c>
      <c r="H78" s="30">
        <f t="shared" si="5"/>
        <v>20.152431339970555</v>
      </c>
      <c r="J78">
        <v>930</v>
      </c>
      <c r="K78">
        <f t="shared" si="3"/>
        <v>94137297.648048669</v>
      </c>
      <c r="L78" s="30">
        <f t="shared" si="6"/>
        <v>941.37297648048673</v>
      </c>
      <c r="R78">
        <v>41</v>
      </c>
      <c r="S78">
        <f t="shared" si="7"/>
        <v>120.64754098360656</v>
      </c>
      <c r="T78">
        <f t="shared" si="8"/>
        <v>624955.97410427139</v>
      </c>
      <c r="U78" s="30">
        <f t="shared" si="9"/>
        <v>6.2495597410427139</v>
      </c>
      <c r="Y78">
        <v>1041</v>
      </c>
      <c r="Z78" s="30">
        <f t="shared" si="0"/>
        <v>991.12476756465003</v>
      </c>
      <c r="AA78">
        <v>76</v>
      </c>
    </row>
    <row r="79" spans="1:27">
      <c r="A79">
        <v>27</v>
      </c>
      <c r="C79">
        <v>73</v>
      </c>
      <c r="D79">
        <f t="shared" si="10"/>
        <v>155.99404761904762</v>
      </c>
      <c r="F79">
        <f t="shared" si="11"/>
        <v>1860233.8038727026</v>
      </c>
      <c r="G79" s="30">
        <f t="shared" si="4"/>
        <v>18.602338038727027</v>
      </c>
      <c r="H79" s="30">
        <f t="shared" si="5"/>
        <v>19.346431560276109</v>
      </c>
      <c r="J79">
        <v>929</v>
      </c>
      <c r="K79">
        <f t="shared" si="3"/>
        <v>94036074.74735184</v>
      </c>
      <c r="L79" s="30">
        <f t="shared" si="6"/>
        <v>940.36074747351836</v>
      </c>
      <c r="R79">
        <v>40</v>
      </c>
      <c r="S79">
        <f t="shared" si="7"/>
        <v>117.70491803278689</v>
      </c>
      <c r="T79">
        <f t="shared" si="8"/>
        <v>580333.74940400419</v>
      </c>
      <c r="U79" s="30">
        <f t="shared" si="9"/>
        <v>5.8033374940400417</v>
      </c>
      <c r="Y79">
        <v>1040</v>
      </c>
      <c r="Z79" s="30">
        <f t="shared" si="0"/>
        <v>991.11325156681028</v>
      </c>
      <c r="AA79">
        <v>77</v>
      </c>
    </row>
    <row r="80" spans="1:27">
      <c r="A80">
        <v>26</v>
      </c>
      <c r="C80">
        <v>72</v>
      </c>
      <c r="D80">
        <f t="shared" si="10"/>
        <v>153.85714285714286</v>
      </c>
      <c r="F80">
        <f t="shared" si="11"/>
        <v>1784828.2898379208</v>
      </c>
      <c r="G80" s="30">
        <f t="shared" si="4"/>
        <v>17.848282898379207</v>
      </c>
      <c r="H80" s="30">
        <f t="shared" si="5"/>
        <v>18.562214214314377</v>
      </c>
      <c r="J80">
        <v>928</v>
      </c>
      <c r="K80">
        <f t="shared" si="3"/>
        <v>93934851.846655026</v>
      </c>
      <c r="L80" s="30">
        <f t="shared" si="6"/>
        <v>939.34851846655022</v>
      </c>
      <c r="R80">
        <v>39</v>
      </c>
      <c r="S80">
        <f t="shared" si="7"/>
        <v>114.76229508196722</v>
      </c>
      <c r="T80">
        <f t="shared" si="8"/>
        <v>537887.77626400196</v>
      </c>
      <c r="U80" s="30">
        <f t="shared" si="9"/>
        <v>5.3788777626400197</v>
      </c>
      <c r="Y80">
        <v>1039</v>
      </c>
      <c r="Z80" s="30">
        <f t="shared" si="0"/>
        <v>991.10499994631095</v>
      </c>
      <c r="AA80">
        <v>78</v>
      </c>
    </row>
    <row r="81" spans="1:27">
      <c r="A81">
        <v>25</v>
      </c>
      <c r="C81">
        <v>71</v>
      </c>
      <c r="D81">
        <f t="shared" si="10"/>
        <v>151.7202380952381</v>
      </c>
      <c r="F81">
        <f t="shared" si="11"/>
        <v>1711488.549286748</v>
      </c>
      <c r="G81" s="30">
        <f t="shared" si="4"/>
        <v>17.114885492867479</v>
      </c>
      <c r="H81" s="30">
        <f t="shared" si="5"/>
        <v>17.79948091258218</v>
      </c>
      <c r="J81">
        <v>927</v>
      </c>
      <c r="K81">
        <f t="shared" si="3"/>
        <v>93833628.945958182</v>
      </c>
      <c r="L81" s="30">
        <f t="shared" si="6"/>
        <v>938.33628945958185</v>
      </c>
      <c r="R81">
        <v>38</v>
      </c>
      <c r="S81">
        <f t="shared" si="7"/>
        <v>111.81967213114756</v>
      </c>
      <c r="T81">
        <f t="shared" si="8"/>
        <v>497563.64839525818</v>
      </c>
      <c r="U81" s="30">
        <f t="shared" si="9"/>
        <v>4.9756364839525817</v>
      </c>
      <c r="Y81">
        <v>1038</v>
      </c>
      <c r="Z81" s="30">
        <f>U115+$L$58+$H$68</f>
        <v>991.09946864026199</v>
      </c>
      <c r="AA81">
        <v>79</v>
      </c>
    </row>
    <row r="82" spans="1:27">
      <c r="A82">
        <v>24</v>
      </c>
      <c r="C82">
        <v>70</v>
      </c>
      <c r="D82">
        <f t="shared" si="10"/>
        <v>149.58333333333334</v>
      </c>
      <c r="F82">
        <f t="shared" si="11"/>
        <v>1640185.8909208002</v>
      </c>
      <c r="G82" s="30">
        <f t="shared" si="4"/>
        <v>16.401858909208002</v>
      </c>
      <c r="H82" s="30">
        <f t="shared" si="5"/>
        <v>17.057933265576324</v>
      </c>
      <c r="J82">
        <v>926</v>
      </c>
      <c r="K82">
        <f t="shared" si="3"/>
        <v>93732406.045261368</v>
      </c>
      <c r="L82" s="30">
        <f t="shared" si="6"/>
        <v>937.32406045261371</v>
      </c>
      <c r="R82">
        <v>37</v>
      </c>
      <c r="S82">
        <f t="shared" si="7"/>
        <v>108.87704918032787</v>
      </c>
      <c r="T82">
        <f t="shared" si="8"/>
        <v>459306.95950876601</v>
      </c>
      <c r="U82" s="30">
        <f t="shared" si="9"/>
        <v>4.5930695950876599</v>
      </c>
      <c r="Y82">
        <v>1037</v>
      </c>
      <c r="Z82" s="30">
        <f t="shared" si="0"/>
        <v>991.0961135857732</v>
      </c>
      <c r="AA82">
        <v>80</v>
      </c>
    </row>
    <row r="83" spans="1:27">
      <c r="A83">
        <v>23</v>
      </c>
      <c r="C83">
        <v>69</v>
      </c>
      <c r="D83">
        <f t="shared" si="10"/>
        <v>147.44642857142858</v>
      </c>
      <c r="F83">
        <f t="shared" si="11"/>
        <v>1570891.6234416945</v>
      </c>
      <c r="G83" s="30">
        <f t="shared" si="4"/>
        <v>15.708916234416945</v>
      </c>
      <c r="H83" s="30">
        <f t="shared" si="5"/>
        <v>16.337272883793624</v>
      </c>
      <c r="J83">
        <v>925</v>
      </c>
      <c r="K83">
        <f t="shared" si="3"/>
        <v>93631183.144564539</v>
      </c>
      <c r="L83" s="30">
        <f t="shared" si="6"/>
        <v>936.31183144564534</v>
      </c>
      <c r="R83">
        <v>36</v>
      </c>
      <c r="S83">
        <f t="shared" si="7"/>
        <v>105.9344262295082</v>
      </c>
      <c r="T83">
        <f t="shared" si="8"/>
        <v>423063.30331551906</v>
      </c>
      <c r="U83" s="30">
        <f t="shared" si="9"/>
        <v>4.2306330331551907</v>
      </c>
      <c r="Y83">
        <v>1036</v>
      </c>
      <c r="Z83" s="30">
        <f t="shared" si="0"/>
        <v>991.09439071995473</v>
      </c>
      <c r="AA83">
        <v>81</v>
      </c>
    </row>
    <row r="84" spans="1:27">
      <c r="A84">
        <v>22</v>
      </c>
      <c r="C84">
        <v>68</v>
      </c>
      <c r="D84">
        <f t="shared" si="10"/>
        <v>145.30952380952382</v>
      </c>
      <c r="F84">
        <f t="shared" si="11"/>
        <v>1503577.0555510472</v>
      </c>
      <c r="G84" s="30">
        <f t="shared" si="4"/>
        <v>15.035770555510473</v>
      </c>
      <c r="H84" s="30">
        <f t="shared" si="5"/>
        <v>15.637201377730893</v>
      </c>
      <c r="J84">
        <v>924</v>
      </c>
      <c r="K84">
        <f t="shared" si="3"/>
        <v>93529960.243867725</v>
      </c>
      <c r="L84" s="30">
        <f t="shared" si="6"/>
        <v>935.2996024386772</v>
      </c>
      <c r="R84">
        <v>35</v>
      </c>
      <c r="S84">
        <f t="shared" si="7"/>
        <v>102.99180327868854</v>
      </c>
      <c r="T84">
        <f t="shared" si="8"/>
        <v>388778.27352651063</v>
      </c>
      <c r="U84" s="30">
        <f t="shared" si="9"/>
        <v>3.8877827352651062</v>
      </c>
      <c r="Y84">
        <v>1035</v>
      </c>
      <c r="Z84" s="30">
        <f t="shared" si="0"/>
        <v>991.0937559799163</v>
      </c>
      <c r="AA84">
        <v>82</v>
      </c>
    </row>
    <row r="85" spans="1:27">
      <c r="A85">
        <v>21</v>
      </c>
      <c r="C85">
        <v>67</v>
      </c>
      <c r="D85">
        <f t="shared" si="10"/>
        <v>143.17261904761907</v>
      </c>
      <c r="F85">
        <f t="shared" si="11"/>
        <v>1438213.4959504744</v>
      </c>
      <c r="G85" s="30">
        <f t="shared" si="4"/>
        <v>14.382134959504745</v>
      </c>
      <c r="H85" s="30">
        <f t="shared" si="5"/>
        <v>14.957420357884935</v>
      </c>
      <c r="J85">
        <v>923</v>
      </c>
      <c r="K85">
        <f t="shared" si="3"/>
        <v>93428737.343170881</v>
      </c>
      <c r="L85" s="30">
        <f t="shared" si="6"/>
        <v>934.28737343170883</v>
      </c>
      <c r="R85">
        <v>34</v>
      </c>
      <c r="S85">
        <f t="shared" si="7"/>
        <v>100.04918032786885</v>
      </c>
      <c r="T85">
        <f t="shared" si="8"/>
        <v>356397.46385273407</v>
      </c>
      <c r="U85" s="30">
        <f t="shared" si="9"/>
        <v>3.5639746385273408</v>
      </c>
      <c r="Y85">
        <v>1034</v>
      </c>
      <c r="Z85" s="30">
        <f>L58+$H$68</f>
        <v>991.09366530276793</v>
      </c>
      <c r="AA85">
        <v>83</v>
      </c>
    </row>
    <row r="86" spans="1:27">
      <c r="A86">
        <v>20</v>
      </c>
      <c r="C86">
        <v>66</v>
      </c>
      <c r="D86">
        <f t="shared" si="10"/>
        <v>141.03571428571428</v>
      </c>
      <c r="F86">
        <f t="shared" si="11"/>
        <v>1374772.2533415928</v>
      </c>
      <c r="G86" s="30">
        <f t="shared" si="4"/>
        <v>13.747722533415928</v>
      </c>
      <c r="H86" s="30">
        <f t="shared" si="5"/>
        <v>14.297631434752565</v>
      </c>
      <c r="J86">
        <v>922</v>
      </c>
      <c r="K86">
        <f t="shared" si="3"/>
        <v>93327514.442474067</v>
      </c>
      <c r="L86" s="30">
        <f t="shared" si="6"/>
        <v>933.27514442474069</v>
      </c>
      <c r="R86">
        <v>33</v>
      </c>
      <c r="S86">
        <f t="shared" si="7"/>
        <v>97.106557377049185</v>
      </c>
      <c r="T86">
        <f t="shared" si="8"/>
        <v>325866.46800518275</v>
      </c>
      <c r="U86" s="30">
        <f t="shared" si="9"/>
        <v>3.2586646800518273</v>
      </c>
      <c r="Y86">
        <v>1033</v>
      </c>
      <c r="Z86" s="30">
        <f t="shared" ref="Z86:Z149" si="12">L59+$H$68</f>
        <v>990.08143629579968</v>
      </c>
      <c r="AA86">
        <v>84</v>
      </c>
    </row>
    <row r="87" spans="1:27">
      <c r="A87">
        <v>19</v>
      </c>
      <c r="C87">
        <v>65</v>
      </c>
      <c r="D87">
        <f t="shared" si="10"/>
        <v>138.89880952380952</v>
      </c>
      <c r="F87">
        <f t="shared" si="11"/>
        <v>1313224.6364260197</v>
      </c>
      <c r="G87" s="30">
        <f t="shared" si="4"/>
        <v>13.132246364260197</v>
      </c>
      <c r="H87" s="30">
        <f t="shared" si="5"/>
        <v>13.657536218830606</v>
      </c>
      <c r="J87">
        <v>921</v>
      </c>
      <c r="K87">
        <f t="shared" si="3"/>
        <v>93226291.541777238</v>
      </c>
      <c r="L87" s="30">
        <f t="shared" si="6"/>
        <v>932.26291541777243</v>
      </c>
      <c r="R87">
        <v>32</v>
      </c>
      <c r="S87">
        <f t="shared" si="7"/>
        <v>94.163934426229517</v>
      </c>
      <c r="T87">
        <f t="shared" si="8"/>
        <v>297130.87969485013</v>
      </c>
      <c r="U87" s="30">
        <f t="shared" si="9"/>
        <v>2.9713087969485015</v>
      </c>
      <c r="Y87">
        <v>1032</v>
      </c>
      <c r="Z87" s="30">
        <f t="shared" si="12"/>
        <v>989.06920728883131</v>
      </c>
      <c r="AA87">
        <v>85</v>
      </c>
    </row>
    <row r="88" spans="1:27">
      <c r="A88">
        <v>18</v>
      </c>
      <c r="C88">
        <v>64</v>
      </c>
      <c r="D88">
        <f t="shared" si="10"/>
        <v>136.76190476190476</v>
      </c>
      <c r="F88">
        <f t="shared" si="11"/>
        <v>1253541.953905371</v>
      </c>
      <c r="G88" s="30">
        <f t="shared" si="4"/>
        <v>12.535419539053709</v>
      </c>
      <c r="H88" s="30">
        <f t="shared" si="5"/>
        <v>13.036836320615858</v>
      </c>
      <c r="J88">
        <v>920</v>
      </c>
      <c r="K88">
        <f t="shared" si="3"/>
        <v>93125068.641080409</v>
      </c>
      <c r="L88" s="30">
        <f t="shared" si="6"/>
        <v>931.25068641080406</v>
      </c>
      <c r="R88">
        <v>31</v>
      </c>
      <c r="S88">
        <f t="shared" si="7"/>
        <v>91.221311475409848</v>
      </c>
      <c r="T88">
        <f t="shared" si="8"/>
        <v>270136.29263272957</v>
      </c>
      <c r="U88" s="30">
        <f t="shared" si="9"/>
        <v>2.7013629263272958</v>
      </c>
      <c r="Y88">
        <v>1031</v>
      </c>
      <c r="Z88" s="30">
        <f t="shared" si="12"/>
        <v>988.05697828186317</v>
      </c>
      <c r="AA88">
        <v>86</v>
      </c>
    </row>
    <row r="89" spans="1:27">
      <c r="A89">
        <v>17</v>
      </c>
      <c r="C89">
        <v>63</v>
      </c>
      <c r="D89">
        <f t="shared" si="10"/>
        <v>134.625</v>
      </c>
      <c r="F89">
        <f t="shared" si="11"/>
        <v>1195695.5144812635</v>
      </c>
      <c r="G89" s="30">
        <f t="shared" si="4"/>
        <v>11.956955144812635</v>
      </c>
      <c r="H89" s="30">
        <f t="shared" si="5"/>
        <v>12.435233350605142</v>
      </c>
      <c r="J89">
        <v>919</v>
      </c>
      <c r="K89">
        <f t="shared" si="3"/>
        <v>93023845.74038358</v>
      </c>
      <c r="L89" s="30">
        <f t="shared" si="6"/>
        <v>930.23845740383581</v>
      </c>
      <c r="R89">
        <v>30</v>
      </c>
      <c r="S89">
        <f t="shared" si="7"/>
        <v>88.278688524590166</v>
      </c>
      <c r="T89">
        <f t="shared" si="8"/>
        <v>244828.30052981424</v>
      </c>
      <c r="U89" s="30">
        <f t="shared" si="9"/>
        <v>2.4482830052981424</v>
      </c>
      <c r="Y89">
        <v>1030</v>
      </c>
      <c r="Z89" s="30">
        <f t="shared" si="12"/>
        <v>987.04474927489491</v>
      </c>
      <c r="AA89">
        <v>87</v>
      </c>
    </row>
    <row r="90" spans="1:27">
      <c r="A90">
        <v>16</v>
      </c>
      <c r="C90">
        <v>62</v>
      </c>
      <c r="D90">
        <f t="shared" si="10"/>
        <v>132.48809523809524</v>
      </c>
      <c r="F90">
        <f t="shared" si="11"/>
        <v>1139656.6268553133</v>
      </c>
      <c r="G90" s="30">
        <f t="shared" si="4"/>
        <v>11.396566268553133</v>
      </c>
      <c r="H90" s="30">
        <f t="shared" si="5"/>
        <v>11.85242891929526</v>
      </c>
      <c r="J90">
        <v>918</v>
      </c>
      <c r="K90">
        <f t="shared" si="3"/>
        <v>92922622.839686751</v>
      </c>
      <c r="L90" s="30">
        <f t="shared" si="6"/>
        <v>929.22622839686755</v>
      </c>
      <c r="R90">
        <v>29</v>
      </c>
      <c r="S90">
        <f t="shared" si="7"/>
        <v>85.336065573770497</v>
      </c>
      <c r="T90">
        <f t="shared" si="8"/>
        <v>221152.4970970978</v>
      </c>
      <c r="U90" s="30">
        <f t="shared" si="9"/>
        <v>2.2115249709709781</v>
      </c>
      <c r="Y90">
        <v>1029</v>
      </c>
      <c r="Z90" s="30">
        <f t="shared" si="12"/>
        <v>986.03252026792666</v>
      </c>
      <c r="AA90">
        <v>88</v>
      </c>
    </row>
    <row r="91" spans="1:27">
      <c r="A91">
        <v>15</v>
      </c>
      <c r="C91">
        <v>61</v>
      </c>
      <c r="D91">
        <f t="shared" si="10"/>
        <v>130.35119047619048</v>
      </c>
      <c r="F91">
        <f t="shared" si="11"/>
        <v>1085396.5997291377</v>
      </c>
      <c r="G91" s="30">
        <f t="shared" si="4"/>
        <v>10.853965997291377</v>
      </c>
      <c r="H91" s="30">
        <f t="shared" si="5"/>
        <v>11.288124637183033</v>
      </c>
      <c r="J91">
        <v>917</v>
      </c>
      <c r="K91">
        <f t="shared" si="3"/>
        <v>92821399.938989937</v>
      </c>
      <c r="L91" s="30">
        <f t="shared" si="6"/>
        <v>928.21399938989941</v>
      </c>
      <c r="R91">
        <v>28</v>
      </c>
      <c r="S91">
        <f t="shared" si="7"/>
        <v>82.393442622950829</v>
      </c>
      <c r="T91">
        <f t="shared" si="8"/>
        <v>199054.47604557348</v>
      </c>
      <c r="U91" s="30">
        <f t="shared" si="9"/>
        <v>1.9905447604557347</v>
      </c>
      <c r="Y91">
        <v>1028</v>
      </c>
      <c r="Z91" s="30">
        <f t="shared" si="12"/>
        <v>985.02029126095829</v>
      </c>
      <c r="AA91">
        <v>89</v>
      </c>
    </row>
    <row r="92" spans="1:27">
      <c r="A92">
        <v>14</v>
      </c>
      <c r="C92">
        <v>60</v>
      </c>
      <c r="D92">
        <f t="shared" si="10"/>
        <v>128.21428571428572</v>
      </c>
      <c r="F92">
        <f t="shared" si="11"/>
        <v>1032886.7418043526</v>
      </c>
      <c r="G92" s="30">
        <f t="shared" si="4"/>
        <v>10.328867418043526</v>
      </c>
      <c r="H92" s="30">
        <f t="shared" si="5"/>
        <v>10.742022114765268</v>
      </c>
      <c r="J92">
        <v>916</v>
      </c>
      <c r="K92">
        <f t="shared" si="3"/>
        <v>92720177.038293093</v>
      </c>
      <c r="L92" s="30">
        <f t="shared" si="6"/>
        <v>927.20177038293093</v>
      </c>
      <c r="R92">
        <v>27</v>
      </c>
      <c r="S92">
        <f t="shared" si="7"/>
        <v>79.450819672131146</v>
      </c>
      <c r="T92">
        <f t="shared" si="8"/>
        <v>178479.83108623457</v>
      </c>
      <c r="U92" s="30">
        <f t="shared" si="9"/>
        <v>1.7847983108623457</v>
      </c>
      <c r="Y92">
        <v>1027</v>
      </c>
      <c r="Z92" s="30">
        <f t="shared" si="12"/>
        <v>984.00806225399003</v>
      </c>
      <c r="AA92">
        <v>90</v>
      </c>
    </row>
    <row r="93" spans="1:27">
      <c r="A93">
        <v>13</v>
      </c>
      <c r="C93">
        <v>59</v>
      </c>
      <c r="D93">
        <f t="shared" si="10"/>
        <v>126.07738095238096</v>
      </c>
      <c r="F93">
        <f t="shared" si="11"/>
        <v>982098.36178257456</v>
      </c>
      <c r="G93" s="30">
        <f t="shared" si="4"/>
        <v>9.8209836178257461</v>
      </c>
      <c r="H93" s="30">
        <f t="shared" si="5"/>
        <v>10.213822962538776</v>
      </c>
      <c r="J93">
        <v>915</v>
      </c>
      <c r="K93">
        <f t="shared" si="3"/>
        <v>92618954.137596279</v>
      </c>
      <c r="L93" s="30">
        <f t="shared" si="6"/>
        <v>926.18954137596279</v>
      </c>
      <c r="R93">
        <v>26</v>
      </c>
      <c r="S93">
        <f t="shared" si="7"/>
        <v>76.508196721311478</v>
      </c>
      <c r="T93">
        <f t="shared" si="8"/>
        <v>159374.15593007466</v>
      </c>
      <c r="U93" s="30">
        <f t="shared" si="9"/>
        <v>1.5937415593007467</v>
      </c>
      <c r="Y93">
        <v>1026</v>
      </c>
      <c r="Z93" s="30">
        <f t="shared" si="12"/>
        <v>982.99583324702189</v>
      </c>
      <c r="AA93">
        <v>91</v>
      </c>
    </row>
    <row r="94" spans="1:27">
      <c r="A94">
        <v>12</v>
      </c>
      <c r="C94">
        <v>58</v>
      </c>
      <c r="D94">
        <f t="shared" si="10"/>
        <v>123.94047619047619</v>
      </c>
      <c r="F94">
        <f t="shared" si="11"/>
        <v>933002.76836542028</v>
      </c>
      <c r="G94" s="30">
        <f t="shared" si="4"/>
        <v>9.3300276836542029</v>
      </c>
      <c r="H94" s="30">
        <f t="shared" si="5"/>
        <v>9.7032287910003721</v>
      </c>
      <c r="J94">
        <v>914</v>
      </c>
      <c r="K94">
        <f t="shared" si="3"/>
        <v>92517731.23689945</v>
      </c>
      <c r="L94" s="30">
        <f t="shared" si="6"/>
        <v>925.17731236899454</v>
      </c>
      <c r="R94">
        <v>25</v>
      </c>
      <c r="S94">
        <f t="shared" si="7"/>
        <v>73.56557377049181</v>
      </c>
      <c r="T94">
        <f t="shared" si="8"/>
        <v>141683.04428808697</v>
      </c>
      <c r="U94" s="30">
        <f t="shared" si="9"/>
        <v>1.4168304428808696</v>
      </c>
      <c r="Y94">
        <v>1025</v>
      </c>
      <c r="Z94" s="30">
        <f t="shared" si="12"/>
        <v>981.98360424005341</v>
      </c>
      <c r="AA94">
        <v>92</v>
      </c>
    </row>
    <row r="95" spans="1:27">
      <c r="A95">
        <v>11</v>
      </c>
      <c r="C95">
        <v>57</v>
      </c>
      <c r="D95">
        <f t="shared" si="10"/>
        <v>121.80357142857143</v>
      </c>
      <c r="F95">
        <f t="shared" si="11"/>
        <v>885571.27025450661</v>
      </c>
      <c r="G95" s="30">
        <f t="shared" si="4"/>
        <v>8.8557127025450662</v>
      </c>
      <c r="H95" s="30">
        <f t="shared" si="5"/>
        <v>9.2099412106468694</v>
      </c>
      <c r="J95">
        <v>913</v>
      </c>
      <c r="K95">
        <f t="shared" si="3"/>
        <v>92416508.336202621</v>
      </c>
      <c r="L95" s="30">
        <f t="shared" si="6"/>
        <v>924.16508336202617</v>
      </c>
      <c r="R95">
        <v>24</v>
      </c>
      <c r="S95">
        <f t="shared" si="7"/>
        <v>70.622950819672141</v>
      </c>
      <c r="T95">
        <f t="shared" si="8"/>
        <v>125352.08987126492</v>
      </c>
      <c r="U95" s="30">
        <f t="shared" si="9"/>
        <v>1.2535208987126492</v>
      </c>
      <c r="Y95">
        <v>1024</v>
      </c>
      <c r="Z95" s="30">
        <f t="shared" si="12"/>
        <v>980.97137523308527</v>
      </c>
      <c r="AA95">
        <v>93</v>
      </c>
    </row>
    <row r="96" spans="1:27">
      <c r="A96">
        <v>10</v>
      </c>
      <c r="C96">
        <v>56</v>
      </c>
      <c r="D96">
        <f t="shared" si="10"/>
        <v>119.66666666666667</v>
      </c>
      <c r="F96">
        <f t="shared" si="11"/>
        <v>839775.17615144979</v>
      </c>
      <c r="G96" s="30">
        <f t="shared" si="4"/>
        <v>8.3977517615144972</v>
      </c>
      <c r="H96" s="30">
        <f t="shared" si="5"/>
        <v>8.733661831975077</v>
      </c>
      <c r="J96">
        <v>912</v>
      </c>
      <c r="K96">
        <f t="shared" si="3"/>
        <v>92315285.435505792</v>
      </c>
      <c r="L96" s="30">
        <f t="shared" si="6"/>
        <v>923.15285435505791</v>
      </c>
      <c r="R96">
        <v>23</v>
      </c>
      <c r="S96">
        <f t="shared" si="7"/>
        <v>67.680327868852459</v>
      </c>
      <c r="T96">
        <f t="shared" si="8"/>
        <v>110326.88639060182</v>
      </c>
      <c r="U96" s="30">
        <f t="shared" si="9"/>
        <v>1.1032688639060182</v>
      </c>
      <c r="Y96">
        <v>1023</v>
      </c>
      <c r="Z96" s="30">
        <f>L69+$H$68</f>
        <v>979.95914622611701</v>
      </c>
      <c r="AA96">
        <v>94</v>
      </c>
    </row>
    <row r="97" spans="1:27">
      <c r="A97">
        <v>9</v>
      </c>
      <c r="C97">
        <v>55</v>
      </c>
      <c r="D97">
        <f t="shared" si="10"/>
        <v>117.52976190476191</v>
      </c>
      <c r="F97">
        <f t="shared" si="11"/>
        <v>795585.79475786642</v>
      </c>
      <c r="G97" s="30">
        <f t="shared" si="4"/>
        <v>7.9558579475786644</v>
      </c>
      <c r="H97" s="30">
        <f t="shared" si="5"/>
        <v>8.2740922654818121</v>
      </c>
      <c r="J97">
        <v>911</v>
      </c>
      <c r="K97">
        <f t="shared" si="3"/>
        <v>92214062.534808964</v>
      </c>
      <c r="L97" s="30">
        <f t="shared" si="6"/>
        <v>922.14062534808966</v>
      </c>
      <c r="R97">
        <v>22</v>
      </c>
      <c r="S97">
        <f t="shared" si="7"/>
        <v>64.73770491803279</v>
      </c>
      <c r="T97">
        <f t="shared" si="8"/>
        <v>96553.027557091191</v>
      </c>
      <c r="U97" s="30">
        <f t="shared" si="9"/>
        <v>0.96553027557091187</v>
      </c>
      <c r="Y97">
        <v>1022</v>
      </c>
      <c r="Z97" s="30">
        <f t="shared" si="12"/>
        <v>978.94691721914876</v>
      </c>
      <c r="AA97">
        <v>95</v>
      </c>
    </row>
    <row r="98" spans="1:27">
      <c r="A98">
        <v>8</v>
      </c>
      <c r="C98">
        <v>54</v>
      </c>
      <c r="D98">
        <f t="shared" si="10"/>
        <v>115.39285714285715</v>
      </c>
      <c r="F98">
        <f t="shared" si="11"/>
        <v>752974.43477537308</v>
      </c>
      <c r="G98" s="30">
        <f t="shared" si="4"/>
        <v>7.5297443477537307</v>
      </c>
      <c r="H98" s="30">
        <f t="shared" si="5"/>
        <v>7.8309341216638799</v>
      </c>
      <c r="J98">
        <v>910</v>
      </c>
      <c r="K98">
        <f t="shared" si="3"/>
        <v>92112839.634112149</v>
      </c>
      <c r="L98" s="30">
        <f t="shared" si="6"/>
        <v>921.12839634112152</v>
      </c>
      <c r="R98">
        <v>21</v>
      </c>
      <c r="S98">
        <f t="shared" si="7"/>
        <v>61.795081967213122</v>
      </c>
      <c r="T98">
        <f t="shared" si="8"/>
        <v>83976.10708172631</v>
      </c>
      <c r="U98" s="30">
        <f t="shared" si="9"/>
        <v>0.83976107081726314</v>
      </c>
      <c r="Y98">
        <v>1021</v>
      </c>
      <c r="Z98" s="30">
        <f t="shared" si="12"/>
        <v>977.9346882121805</v>
      </c>
      <c r="AA98">
        <v>96</v>
      </c>
    </row>
    <row r="99" spans="1:27">
      <c r="A99">
        <v>7</v>
      </c>
      <c r="C99">
        <v>53</v>
      </c>
      <c r="D99">
        <f t="shared" si="10"/>
        <v>113.25595238095238</v>
      </c>
      <c r="F99">
        <f t="shared" si="11"/>
        <v>711912.40490558604</v>
      </c>
      <c r="G99" s="30">
        <f t="shared" si="4"/>
        <v>7.11912404905586</v>
      </c>
      <c r="H99" s="30">
        <f t="shared" si="5"/>
        <v>7.4038890110180944</v>
      </c>
      <c r="J99">
        <v>909</v>
      </c>
      <c r="K99">
        <f t="shared" si="3"/>
        <v>92011616.733415321</v>
      </c>
      <c r="L99" s="30">
        <f t="shared" si="6"/>
        <v>920.11616733415326</v>
      </c>
      <c r="R99">
        <v>20</v>
      </c>
      <c r="S99">
        <f t="shared" si="7"/>
        <v>58.852459016393446</v>
      </c>
      <c r="T99">
        <f t="shared" si="8"/>
        <v>72541.718675500524</v>
      </c>
      <c r="U99" s="30">
        <f t="shared" si="9"/>
        <v>0.72541718675500522</v>
      </c>
      <c r="Y99">
        <v>1020</v>
      </c>
      <c r="Z99" s="30">
        <f t="shared" si="12"/>
        <v>976.92245920521214</v>
      </c>
      <c r="AA99">
        <v>97</v>
      </c>
    </row>
    <row r="100" spans="1:27">
      <c r="A100">
        <v>6</v>
      </c>
      <c r="C100">
        <v>52</v>
      </c>
      <c r="D100">
        <f t="shared" si="10"/>
        <v>111.11904761904762</v>
      </c>
      <c r="F100">
        <f t="shared" si="11"/>
        <v>672371.01385012211</v>
      </c>
      <c r="G100" s="30">
        <f t="shared" si="4"/>
        <v>6.7237101385012208</v>
      </c>
      <c r="H100" s="30">
        <f t="shared" si="5"/>
        <v>6.9926585440412703</v>
      </c>
      <c r="J100">
        <v>908</v>
      </c>
      <c r="K100">
        <f t="shared" si="3"/>
        <v>91910393.832718492</v>
      </c>
      <c r="L100" s="30">
        <f t="shared" si="6"/>
        <v>919.10393832718489</v>
      </c>
      <c r="R100">
        <v>19</v>
      </c>
      <c r="S100">
        <f t="shared" si="7"/>
        <v>55.909836065573778</v>
      </c>
      <c r="T100">
        <f t="shared" si="8"/>
        <v>62195.456049407272</v>
      </c>
      <c r="U100" s="30">
        <f t="shared" si="9"/>
        <v>0.62195456049407272</v>
      </c>
      <c r="Y100">
        <v>1019</v>
      </c>
      <c r="Z100" s="30">
        <f t="shared" si="12"/>
        <v>975.91023019824399</v>
      </c>
      <c r="AA100">
        <v>98</v>
      </c>
    </row>
    <row r="101" spans="1:27">
      <c r="A101">
        <v>5</v>
      </c>
      <c r="C101">
        <v>51</v>
      </c>
      <c r="D101">
        <f t="shared" si="10"/>
        <v>108.98214285714286</v>
      </c>
      <c r="F101">
        <f t="shared" si="11"/>
        <v>634321.57031059789</v>
      </c>
      <c r="G101" s="30">
        <f t="shared" si="4"/>
        <v>6.3432157031059786</v>
      </c>
      <c r="H101" s="30">
        <f t="shared" si="5"/>
        <v>6.5969443312302181</v>
      </c>
      <c r="J101">
        <v>907</v>
      </c>
      <c r="K101">
        <f t="shared" si="3"/>
        <v>91809170.932021663</v>
      </c>
      <c r="L101" s="30">
        <f t="shared" si="6"/>
        <v>918.09170932021664</v>
      </c>
      <c r="R101">
        <v>18</v>
      </c>
      <c r="S101">
        <f t="shared" si="7"/>
        <v>52.967213114754102</v>
      </c>
      <c r="T101">
        <f t="shared" si="8"/>
        <v>52882.912914439883</v>
      </c>
      <c r="U101" s="30">
        <f t="shared" si="9"/>
        <v>0.52882912914439884</v>
      </c>
      <c r="Y101">
        <v>1018</v>
      </c>
      <c r="Z101" s="30">
        <f t="shared" si="12"/>
        <v>974.89800119127563</v>
      </c>
      <c r="AA101">
        <v>99</v>
      </c>
    </row>
    <row r="102" spans="1:27">
      <c r="A102">
        <v>4</v>
      </c>
      <c r="C102">
        <v>50</v>
      </c>
      <c r="D102">
        <f t="shared" si="10"/>
        <v>106.8452380952381</v>
      </c>
      <c r="F102">
        <f t="shared" si="11"/>
        <v>597735.38298862986</v>
      </c>
      <c r="G102" s="30">
        <f t="shared" si="4"/>
        <v>5.9773538298862983</v>
      </c>
      <c r="H102" s="30">
        <f t="shared" si="5"/>
        <v>6.2164479830817507</v>
      </c>
      <c r="J102">
        <v>906</v>
      </c>
      <c r="K102">
        <f t="shared" si="3"/>
        <v>91707948.031324849</v>
      </c>
      <c r="L102" s="30">
        <f t="shared" si="6"/>
        <v>917.0794803132485</v>
      </c>
      <c r="R102">
        <v>17</v>
      </c>
      <c r="S102">
        <f t="shared" si="7"/>
        <v>50.024590163934427</v>
      </c>
      <c r="T102">
        <f t="shared" si="8"/>
        <v>44549.682981591759</v>
      </c>
      <c r="U102" s="30">
        <f t="shared" si="9"/>
        <v>0.44549682981591759</v>
      </c>
      <c r="Y102">
        <v>1017</v>
      </c>
      <c r="Z102" s="30">
        <f t="shared" si="12"/>
        <v>973.88577218430748</v>
      </c>
      <c r="AA102">
        <v>100</v>
      </c>
    </row>
    <row r="103" spans="1:27">
      <c r="A103">
        <v>3</v>
      </c>
      <c r="C103">
        <v>49</v>
      </c>
      <c r="D103">
        <f t="shared" si="10"/>
        <v>104.70833333333334</v>
      </c>
      <c r="F103">
        <f t="shared" si="11"/>
        <v>562583.76058583462</v>
      </c>
      <c r="G103" s="30">
        <f t="shared" si="4"/>
        <v>5.6258376058583464</v>
      </c>
      <c r="H103" s="30">
        <f t="shared" si="5"/>
        <v>5.8508711100926805</v>
      </c>
      <c r="J103">
        <v>905</v>
      </c>
      <c r="K103">
        <f t="shared" si="3"/>
        <v>91606725.130628005</v>
      </c>
      <c r="L103" s="30">
        <f t="shared" si="6"/>
        <v>916.06725130628001</v>
      </c>
      <c r="R103">
        <v>16</v>
      </c>
      <c r="S103">
        <f t="shared" si="7"/>
        <v>47.081967213114758</v>
      </c>
      <c r="T103">
        <f t="shared" si="8"/>
        <v>37141.359961856266</v>
      </c>
      <c r="U103" s="30">
        <f t="shared" si="9"/>
        <v>0.37141359961856268</v>
      </c>
      <c r="Y103">
        <v>1016</v>
      </c>
      <c r="Z103" s="30">
        <f t="shared" si="12"/>
        <v>972.87354317733912</v>
      </c>
      <c r="AA103">
        <v>101</v>
      </c>
    </row>
    <row r="104" spans="1:27">
      <c r="A104">
        <v>2</v>
      </c>
      <c r="C104">
        <v>48</v>
      </c>
      <c r="D104">
        <f t="shared" si="10"/>
        <v>102.57142857142857</v>
      </c>
      <c r="F104">
        <f t="shared" si="11"/>
        <v>528838.0118038283</v>
      </c>
      <c r="G104" s="30">
        <f t="shared" si="4"/>
        <v>5.2883801180382832</v>
      </c>
      <c r="H104" s="30">
        <f t="shared" si="5"/>
        <v>5.499915322759815</v>
      </c>
      <c r="J104">
        <v>904</v>
      </c>
      <c r="K104">
        <f t="shared" si="3"/>
        <v>91505502.229931176</v>
      </c>
      <c r="L104" s="30">
        <f t="shared" si="6"/>
        <v>915.05502229931176</v>
      </c>
      <c r="R104">
        <v>15</v>
      </c>
      <c r="S104">
        <f t="shared" si="7"/>
        <v>44.139344262295083</v>
      </c>
      <c r="T104">
        <f t="shared" si="8"/>
        <v>30603.53756622678</v>
      </c>
      <c r="U104" s="30">
        <f t="shared" si="9"/>
        <v>0.30603537566226779</v>
      </c>
      <c r="Y104">
        <v>1015</v>
      </c>
      <c r="Z104" s="30">
        <f t="shared" si="12"/>
        <v>971.86131417037097</v>
      </c>
      <c r="AA104">
        <v>102</v>
      </c>
    </row>
    <row r="105" spans="1:27">
      <c r="A105">
        <v>1</v>
      </c>
      <c r="C105">
        <v>47</v>
      </c>
      <c r="D105">
        <f t="shared" si="10"/>
        <v>100.43452380952381</v>
      </c>
      <c r="F105">
        <f t="shared" si="11"/>
        <v>496469.44534422806</v>
      </c>
      <c r="G105" s="30">
        <f t="shared" si="4"/>
        <v>4.9646944534422808</v>
      </c>
      <c r="H105" s="30">
        <f t="shared" si="5"/>
        <v>5.1632822315799718</v>
      </c>
      <c r="J105">
        <v>903</v>
      </c>
      <c r="K105">
        <f t="shared" si="3"/>
        <v>91404279.329234362</v>
      </c>
      <c r="L105" s="30">
        <f t="shared" si="6"/>
        <v>914.04279329234362</v>
      </c>
      <c r="R105">
        <v>14</v>
      </c>
      <c r="S105">
        <f t="shared" si="7"/>
        <v>41.196721311475414</v>
      </c>
      <c r="T105">
        <f t="shared" si="8"/>
        <v>24881.809505696685</v>
      </c>
      <c r="U105" s="30">
        <f t="shared" si="9"/>
        <v>0.24881809505696684</v>
      </c>
      <c r="Y105">
        <v>1014</v>
      </c>
      <c r="Z105" s="30">
        <f t="shared" si="12"/>
        <v>970.84908516340261</v>
      </c>
      <c r="AA105">
        <v>103</v>
      </c>
    </row>
    <row r="106" spans="1:27">
      <c r="A106">
        <v>0</v>
      </c>
      <c r="C106">
        <v>46</v>
      </c>
      <c r="D106">
        <f t="shared" si="10"/>
        <v>98.297619047619051</v>
      </c>
      <c r="F106">
        <f t="shared" si="11"/>
        <v>465449.36990865017</v>
      </c>
      <c r="G106" s="30">
        <f t="shared" si="4"/>
        <v>4.654493699086502</v>
      </c>
      <c r="H106" s="30">
        <f t="shared" si="5"/>
        <v>4.8406734470499622</v>
      </c>
      <c r="J106">
        <v>902</v>
      </c>
      <c r="K106">
        <f t="shared" si="3"/>
        <v>91303056.428537533</v>
      </c>
      <c r="L106" s="30">
        <f t="shared" si="6"/>
        <v>913.03056428537536</v>
      </c>
      <c r="R106">
        <v>13</v>
      </c>
      <c r="S106">
        <f t="shared" si="7"/>
        <v>38.254098360655739</v>
      </c>
      <c r="T106">
        <f t="shared" si="8"/>
        <v>19921.769491259332</v>
      </c>
      <c r="U106" s="30">
        <f t="shared" si="9"/>
        <v>0.19921769491259333</v>
      </c>
      <c r="Y106">
        <v>1013</v>
      </c>
      <c r="Z106" s="30">
        <f t="shared" si="12"/>
        <v>969.83685615643424</v>
      </c>
      <c r="AA106">
        <v>104</v>
      </c>
    </row>
    <row r="107" spans="1:27">
      <c r="C107">
        <v>45</v>
      </c>
      <c r="D107">
        <f t="shared" si="10"/>
        <v>96.160714285714292</v>
      </c>
      <c r="F107">
        <f t="shared" si="11"/>
        <v>435749.09419871116</v>
      </c>
      <c r="G107" s="30">
        <f t="shared" si="4"/>
        <v>4.3574909419871117</v>
      </c>
      <c r="H107" s="30">
        <f t="shared" si="5"/>
        <v>4.5317905796665965</v>
      </c>
      <c r="J107">
        <v>901</v>
      </c>
      <c r="K107">
        <f t="shared" si="3"/>
        <v>91201833.527840704</v>
      </c>
      <c r="L107" s="30">
        <f t="shared" si="6"/>
        <v>912.01833527840699</v>
      </c>
      <c r="R107">
        <v>12</v>
      </c>
      <c r="S107">
        <f t="shared" si="7"/>
        <v>35.311475409836071</v>
      </c>
      <c r="T107">
        <f t="shared" si="8"/>
        <v>15669.011233908115</v>
      </c>
      <c r="U107" s="30">
        <f t="shared" si="9"/>
        <v>0.15669011233908114</v>
      </c>
      <c r="Y107">
        <v>1012</v>
      </c>
      <c r="Z107" s="30">
        <f t="shared" si="12"/>
        <v>968.8246271494661</v>
      </c>
      <c r="AA107">
        <v>105</v>
      </c>
    </row>
    <row r="108" spans="1:27">
      <c r="C108">
        <v>44</v>
      </c>
      <c r="D108">
        <f t="shared" si="10"/>
        <v>94.023809523809533</v>
      </c>
      <c r="F108">
        <f t="shared" si="11"/>
        <v>407339.92691602762</v>
      </c>
      <c r="G108" s="30">
        <f t="shared" si="4"/>
        <v>4.0733992691602765</v>
      </c>
      <c r="H108" s="30">
        <f t="shared" si="5"/>
        <v>4.2363352399266878</v>
      </c>
      <c r="J108">
        <v>900</v>
      </c>
      <c r="K108">
        <f t="shared" si="3"/>
        <v>91100610.627143875</v>
      </c>
      <c r="L108" s="30">
        <f t="shared" si="6"/>
        <v>911.00610627143874</v>
      </c>
      <c r="R108">
        <v>11</v>
      </c>
      <c r="S108">
        <f t="shared" si="7"/>
        <v>32.368852459016395</v>
      </c>
      <c r="T108">
        <f t="shared" si="8"/>
        <v>12069.128444636399</v>
      </c>
      <c r="U108" s="30">
        <f t="shared" si="9"/>
        <v>0.12069128444636398</v>
      </c>
      <c r="Y108">
        <v>1011</v>
      </c>
      <c r="Z108" s="30">
        <f t="shared" si="12"/>
        <v>967.81239814249773</v>
      </c>
      <c r="AA108">
        <v>106</v>
      </c>
    </row>
    <row r="109" spans="1:27">
      <c r="C109">
        <v>43</v>
      </c>
      <c r="D109">
        <f t="shared" si="10"/>
        <v>91.886904761904759</v>
      </c>
      <c r="F109">
        <f t="shared" si="11"/>
        <v>380193.17676221597</v>
      </c>
      <c r="G109" s="30">
        <f t="shared" si="4"/>
        <v>3.8019317676221598</v>
      </c>
      <c r="H109" s="30">
        <f t="shared" si="5"/>
        <v>3.9540090383270465</v>
      </c>
      <c r="J109">
        <v>899</v>
      </c>
      <c r="K109">
        <f t="shared" si="3"/>
        <v>90999387.726447061</v>
      </c>
      <c r="L109" s="30">
        <f t="shared" si="6"/>
        <v>909.9938772644706</v>
      </c>
      <c r="R109">
        <v>10</v>
      </c>
      <c r="S109">
        <f t="shared" si="7"/>
        <v>29.426229508196723</v>
      </c>
      <c r="T109">
        <f t="shared" si="8"/>
        <v>9067.7148344375655</v>
      </c>
      <c r="U109" s="30">
        <f t="shared" si="9"/>
        <v>9.0677148344375652E-2</v>
      </c>
      <c r="Y109">
        <v>1010</v>
      </c>
      <c r="Z109" s="30">
        <f t="shared" si="12"/>
        <v>966.80016913552959</v>
      </c>
      <c r="AA109">
        <v>107</v>
      </c>
    </row>
    <row r="110" spans="1:27">
      <c r="C110">
        <v>42</v>
      </c>
      <c r="D110">
        <f t="shared" si="10"/>
        <v>89.75</v>
      </c>
      <c r="F110">
        <f t="shared" si="11"/>
        <v>354280.15243889281</v>
      </c>
      <c r="G110" s="30">
        <f t="shared" si="4"/>
        <v>3.5428015243889281</v>
      </c>
      <c r="H110" s="30">
        <f t="shared" si="5"/>
        <v>3.6845135853644853</v>
      </c>
      <c r="J110">
        <v>898</v>
      </c>
      <c r="K110">
        <f t="shared" si="3"/>
        <v>90898164.825750232</v>
      </c>
      <c r="L110" s="30">
        <f t="shared" si="6"/>
        <v>908.98164825750234</v>
      </c>
      <c r="R110">
        <v>9</v>
      </c>
      <c r="S110">
        <f t="shared" si="7"/>
        <v>26.483606557377051</v>
      </c>
      <c r="T110">
        <f t="shared" si="8"/>
        <v>6610.3641143049854</v>
      </c>
      <c r="U110" s="30">
        <f t="shared" si="9"/>
        <v>6.6103641143049854E-2</v>
      </c>
      <c r="Y110">
        <v>1009</v>
      </c>
      <c r="Z110" s="30">
        <f t="shared" si="12"/>
        <v>965.78794012856122</v>
      </c>
      <c r="AA110">
        <v>108</v>
      </c>
    </row>
    <row r="111" spans="1:27">
      <c r="C111">
        <v>41</v>
      </c>
      <c r="D111">
        <f t="shared" si="10"/>
        <v>87.613095238095241</v>
      </c>
      <c r="F111">
        <f t="shared" si="11"/>
        <v>329572.16264767485</v>
      </c>
      <c r="G111" s="30">
        <f t="shared" si="4"/>
        <v>3.2957216264767486</v>
      </c>
      <c r="H111" s="30">
        <f t="shared" si="5"/>
        <v>3.4275504915358188</v>
      </c>
      <c r="J111">
        <v>897</v>
      </c>
      <c r="K111">
        <f t="shared" si="3"/>
        <v>90796941.925053388</v>
      </c>
      <c r="L111" s="30">
        <f t="shared" si="6"/>
        <v>907.96941925053386</v>
      </c>
      <c r="R111">
        <v>8</v>
      </c>
      <c r="S111">
        <f t="shared" si="7"/>
        <v>23.540983606557379</v>
      </c>
      <c r="T111">
        <f t="shared" si="8"/>
        <v>4642.6699952320332</v>
      </c>
      <c r="U111" s="30">
        <f t="shared" si="9"/>
        <v>4.6426699952320336E-2</v>
      </c>
      <c r="Y111">
        <v>1008</v>
      </c>
      <c r="Z111" s="30">
        <f t="shared" si="12"/>
        <v>964.77571112159308</v>
      </c>
      <c r="AA111">
        <v>109</v>
      </c>
    </row>
    <row r="112" spans="1:27">
      <c r="C112">
        <v>40</v>
      </c>
      <c r="D112">
        <f t="shared" si="10"/>
        <v>85.476190476190482</v>
      </c>
      <c r="F112">
        <f t="shared" si="11"/>
        <v>306040.51609017851</v>
      </c>
      <c r="G112" s="30">
        <f t="shared" si="4"/>
        <v>3.060405160901785</v>
      </c>
      <c r="H112" s="30">
        <f t="shared" si="5"/>
        <v>3.1828213673378567</v>
      </c>
      <c r="J112">
        <v>896</v>
      </c>
      <c r="K112">
        <f t="shared" si="3"/>
        <v>90695719.024356574</v>
      </c>
      <c r="L112" s="30">
        <f t="shared" si="6"/>
        <v>906.95719024356572</v>
      </c>
      <c r="R112">
        <v>7</v>
      </c>
      <c r="S112">
        <f t="shared" si="7"/>
        <v>20.598360655737707</v>
      </c>
      <c r="T112">
        <f t="shared" si="8"/>
        <v>3110.2261882120856</v>
      </c>
      <c r="U112" s="30">
        <f t="shared" si="9"/>
        <v>3.1102261882120855E-2</v>
      </c>
      <c r="Y112">
        <v>1007</v>
      </c>
      <c r="Z112" s="30">
        <f t="shared" si="12"/>
        <v>963.76348211462471</v>
      </c>
      <c r="AA112">
        <v>110</v>
      </c>
    </row>
    <row r="113" spans="3:27">
      <c r="C113">
        <v>39</v>
      </c>
      <c r="D113">
        <f t="shared" si="10"/>
        <v>83.339285714285722</v>
      </c>
      <c r="F113">
        <f t="shared" si="11"/>
        <v>283656.52146802034</v>
      </c>
      <c r="G113" s="30">
        <f t="shared" si="4"/>
        <v>2.8365652146802032</v>
      </c>
      <c r="H113" s="30">
        <f t="shared" si="5"/>
        <v>2.9500278232674115</v>
      </c>
      <c r="J113">
        <v>895</v>
      </c>
      <c r="K113">
        <f t="shared" si="3"/>
        <v>90594496.123659745</v>
      </c>
      <c r="L113" s="30">
        <f t="shared" si="6"/>
        <v>905.94496123659746</v>
      </c>
      <c r="R113">
        <v>6</v>
      </c>
      <c r="S113">
        <f t="shared" si="7"/>
        <v>17.655737704918035</v>
      </c>
      <c r="T113">
        <f t="shared" si="8"/>
        <v>1958.6264042385144</v>
      </c>
      <c r="U113" s="30">
        <f t="shared" si="9"/>
        <v>1.9586264042385143E-2</v>
      </c>
      <c r="Y113">
        <v>1006</v>
      </c>
      <c r="Z113" s="30">
        <f t="shared" si="12"/>
        <v>962.75125310765657</v>
      </c>
      <c r="AA113">
        <v>111</v>
      </c>
    </row>
    <row r="114" spans="3:27">
      <c r="C114">
        <v>38</v>
      </c>
      <c r="D114">
        <f t="shared" si="10"/>
        <v>81.202380952380949</v>
      </c>
      <c r="F114">
        <f t="shared" si="11"/>
        <v>262391.48748281674</v>
      </c>
      <c r="G114" s="30">
        <f t="shared" si="4"/>
        <v>2.6239148748281673</v>
      </c>
      <c r="H114" s="30">
        <f t="shared" si="5"/>
        <v>2.7288714698212941</v>
      </c>
      <c r="J114">
        <v>894</v>
      </c>
      <c r="K114">
        <f t="shared" si="3"/>
        <v>90493273.222962916</v>
      </c>
      <c r="L114" s="30">
        <f t="shared" si="6"/>
        <v>904.93273222962921</v>
      </c>
      <c r="R114">
        <v>5</v>
      </c>
      <c r="S114">
        <f t="shared" si="7"/>
        <v>14.713114754098362</v>
      </c>
      <c r="T114">
        <f t="shared" si="8"/>
        <v>1133.4643543046957</v>
      </c>
      <c r="U114" s="30">
        <f t="shared" si="9"/>
        <v>1.1334643543046957E-2</v>
      </c>
      <c r="Y114">
        <v>1005</v>
      </c>
      <c r="Z114" s="30">
        <f t="shared" si="12"/>
        <v>961.73902410068831</v>
      </c>
      <c r="AA114">
        <v>112</v>
      </c>
    </row>
    <row r="115" spans="3:27">
      <c r="C115">
        <v>37</v>
      </c>
      <c r="D115">
        <f t="shared" si="10"/>
        <v>79.06547619047619</v>
      </c>
      <c r="F115">
        <f t="shared" si="11"/>
        <v>242216.72283618455</v>
      </c>
      <c r="G115" s="30">
        <f t="shared" si="4"/>
        <v>2.4221672283618454</v>
      </c>
      <c r="H115" s="30">
        <f t="shared" si="5"/>
        <v>2.5190539174963194</v>
      </c>
      <c r="J115">
        <v>893</v>
      </c>
      <c r="K115">
        <f t="shared" si="3"/>
        <v>90392050.322266087</v>
      </c>
      <c r="L115" s="30">
        <f t="shared" si="6"/>
        <v>903.92050322266084</v>
      </c>
      <c r="R115">
        <v>4</v>
      </c>
      <c r="S115">
        <f t="shared" si="7"/>
        <v>11.77049180327869</v>
      </c>
      <c r="T115">
        <f t="shared" si="8"/>
        <v>580.33374940400415</v>
      </c>
      <c r="U115" s="30">
        <f t="shared" si="9"/>
        <v>5.8033374940400419E-3</v>
      </c>
      <c r="Y115">
        <v>1004</v>
      </c>
      <c r="Z115" s="30">
        <f t="shared" si="12"/>
        <v>960.72679509371994</v>
      </c>
      <c r="AA115">
        <v>113</v>
      </c>
    </row>
    <row r="116" spans="3:27">
      <c r="C116">
        <v>36</v>
      </c>
      <c r="D116">
        <f t="shared" si="10"/>
        <v>76.928571428571431</v>
      </c>
      <c r="F116">
        <f t="shared" si="11"/>
        <v>223103.5362297401</v>
      </c>
      <c r="G116" s="30">
        <f t="shared" si="4"/>
        <v>2.2310353622974008</v>
      </c>
      <c r="H116" s="30">
        <f t="shared" si="5"/>
        <v>2.3202767767892971</v>
      </c>
      <c r="J116">
        <v>892</v>
      </c>
      <c r="K116">
        <f t="shared" si="3"/>
        <v>90290827.421569273</v>
      </c>
      <c r="L116" s="30">
        <f t="shared" si="6"/>
        <v>902.9082742156927</v>
      </c>
      <c r="R116">
        <v>3</v>
      </c>
      <c r="S116">
        <f t="shared" si="7"/>
        <v>8.8278688524590176</v>
      </c>
      <c r="T116">
        <f t="shared" si="8"/>
        <v>244.8283005298143</v>
      </c>
      <c r="U116" s="30">
        <f t="shared" si="9"/>
        <v>2.4482830052981429E-3</v>
      </c>
      <c r="Y116">
        <v>1003</v>
      </c>
      <c r="Z116" s="30">
        <f t="shared" si="12"/>
        <v>959.71456608675169</v>
      </c>
      <c r="AA116">
        <v>114</v>
      </c>
    </row>
    <row r="117" spans="3:27">
      <c r="C117">
        <v>35</v>
      </c>
      <c r="D117">
        <f t="shared" si="10"/>
        <v>74.791666666666671</v>
      </c>
      <c r="F117">
        <f t="shared" si="11"/>
        <v>205023.23636510002</v>
      </c>
      <c r="G117" s="30">
        <f t="shared" si="4"/>
        <v>2.0502323636510003</v>
      </c>
      <c r="H117" s="30">
        <f t="shared" si="5"/>
        <v>2.1322416581970405</v>
      </c>
      <c r="J117">
        <v>891</v>
      </c>
      <c r="K117">
        <f t="shared" si="3"/>
        <v>90189604.520872444</v>
      </c>
      <c r="L117" s="30">
        <f t="shared" si="6"/>
        <v>901.89604520872444</v>
      </c>
      <c r="R117">
        <v>2</v>
      </c>
      <c r="S117">
        <f t="shared" si="7"/>
        <v>5.8852459016393448</v>
      </c>
      <c r="T117">
        <f t="shared" si="8"/>
        <v>72.541718675500519</v>
      </c>
      <c r="U117" s="30">
        <f t="shared" si="9"/>
        <v>7.2541718675500524E-4</v>
      </c>
      <c r="Y117">
        <v>1002</v>
      </c>
      <c r="Z117" s="30">
        <f t="shared" si="12"/>
        <v>958.70233707978343</v>
      </c>
      <c r="AA117">
        <v>115</v>
      </c>
    </row>
    <row r="118" spans="3:27">
      <c r="C118">
        <v>34</v>
      </c>
      <c r="D118">
        <f t="shared" si="10"/>
        <v>72.654761904761912</v>
      </c>
      <c r="F118">
        <f t="shared" si="11"/>
        <v>187947.1319438809</v>
      </c>
      <c r="G118" s="30">
        <f t="shared" si="4"/>
        <v>1.8794713194388091</v>
      </c>
      <c r="H118" s="30">
        <f t="shared" si="5"/>
        <v>1.9546501722163616</v>
      </c>
      <c r="J118">
        <v>890</v>
      </c>
      <c r="K118">
        <f t="shared" si="3"/>
        <v>90088381.620175615</v>
      </c>
      <c r="L118" s="30">
        <f t="shared" si="6"/>
        <v>900.88381620175619</v>
      </c>
      <c r="R118">
        <v>1</v>
      </c>
      <c r="S118">
        <f t="shared" si="7"/>
        <v>2.9426229508196724</v>
      </c>
      <c r="T118">
        <f t="shared" si="8"/>
        <v>9.0677148344375649</v>
      </c>
      <c r="U118" s="30">
        <f t="shared" si="9"/>
        <v>9.0677148344375655E-5</v>
      </c>
      <c r="Y118">
        <v>1001</v>
      </c>
      <c r="Z118" s="30">
        <f t="shared" si="12"/>
        <v>957.69010807281529</v>
      </c>
      <c r="AA118">
        <v>116</v>
      </c>
    </row>
    <row r="119" spans="3:27">
      <c r="C119">
        <v>33</v>
      </c>
      <c r="D119">
        <f t="shared" si="10"/>
        <v>70.517857142857139</v>
      </c>
      <c r="F119">
        <f t="shared" si="11"/>
        <v>171846.53166769911</v>
      </c>
      <c r="G119" s="30">
        <f t="shared" si="4"/>
        <v>1.718465316676991</v>
      </c>
      <c r="H119" s="30">
        <f t="shared" si="5"/>
        <v>1.7872039293440707</v>
      </c>
      <c r="J119">
        <v>889</v>
      </c>
      <c r="K119">
        <f t="shared" si="3"/>
        <v>89987158.719478786</v>
      </c>
      <c r="L119" s="30">
        <f t="shared" si="6"/>
        <v>899.87158719478782</v>
      </c>
      <c r="Y119">
        <v>1000</v>
      </c>
      <c r="Z119" s="30">
        <f t="shared" si="12"/>
        <v>956.67787906584681</v>
      </c>
      <c r="AA119">
        <v>117</v>
      </c>
    </row>
    <row r="120" spans="3:27">
      <c r="C120">
        <v>32</v>
      </c>
      <c r="D120">
        <f t="shared" si="10"/>
        <v>68.38095238095238</v>
      </c>
      <c r="F120">
        <f t="shared" si="11"/>
        <v>156692.74423817138</v>
      </c>
      <c r="G120" s="30">
        <f t="shared" si="4"/>
        <v>1.5669274423817137</v>
      </c>
      <c r="H120" s="30">
        <f t="shared" si="5"/>
        <v>1.6296045400769823</v>
      </c>
      <c r="J120">
        <v>888</v>
      </c>
      <c r="K120">
        <f t="shared" si="3"/>
        <v>89885935.818781957</v>
      </c>
      <c r="L120" s="30">
        <f t="shared" si="6"/>
        <v>898.85935818781957</v>
      </c>
      <c r="Y120">
        <v>999</v>
      </c>
      <c r="Z120" s="30">
        <f t="shared" si="12"/>
        <v>955.66565005887867</v>
      </c>
      <c r="AA120">
        <v>118</v>
      </c>
    </row>
    <row r="121" spans="3:27">
      <c r="C121">
        <v>31</v>
      </c>
      <c r="D121">
        <f t="shared" si="10"/>
        <v>66.24404761904762</v>
      </c>
      <c r="F121">
        <f t="shared" si="11"/>
        <v>142457.07835691416</v>
      </c>
      <c r="G121" s="30">
        <f t="shared" si="4"/>
        <v>1.4245707835691417</v>
      </c>
      <c r="H121" s="30">
        <f t="shared" si="5"/>
        <v>1.4815536149119075</v>
      </c>
      <c r="J121">
        <v>887</v>
      </c>
      <c r="K121">
        <f t="shared" si="3"/>
        <v>89784712.918085143</v>
      </c>
      <c r="L121" s="30">
        <f t="shared" si="6"/>
        <v>897.84712918085143</v>
      </c>
      <c r="Y121">
        <v>998</v>
      </c>
      <c r="Z121" s="30">
        <f t="shared" si="12"/>
        <v>954.65342105191041</v>
      </c>
      <c r="AA121">
        <v>119</v>
      </c>
    </row>
    <row r="122" spans="3:27">
      <c r="C122">
        <v>30</v>
      </c>
      <c r="D122">
        <f t="shared" ref="D122:D152" si="13">C122/$E$54</f>
        <v>64.107142857142861</v>
      </c>
      <c r="F122">
        <f t="shared" si="11"/>
        <v>129110.84272554408</v>
      </c>
      <c r="G122" s="30">
        <f t="shared" si="4"/>
        <v>1.2911084272554407</v>
      </c>
      <c r="H122" s="30">
        <f t="shared" si="5"/>
        <v>1.3427527643456585</v>
      </c>
      <c r="J122">
        <v>886</v>
      </c>
      <c r="K122">
        <f t="shared" ref="K122:K185" si="14">$A$1*J122*$B$52^2</f>
        <v>89683490.017388299</v>
      </c>
      <c r="L122" s="30">
        <f t="shared" si="6"/>
        <v>896.83490017388294</v>
      </c>
      <c r="Y122">
        <v>997</v>
      </c>
      <c r="Z122" s="30">
        <f t="shared" si="12"/>
        <v>953.64119204494204</v>
      </c>
      <c r="AA122">
        <v>120</v>
      </c>
    </row>
    <row r="123" spans="3:27">
      <c r="C123">
        <v>29</v>
      </c>
      <c r="D123">
        <f t="shared" si="13"/>
        <v>61.970238095238095</v>
      </c>
      <c r="F123">
        <f t="shared" ref="F123:F151" si="15">($A$1*D123^2*C123)/3</f>
        <v>116625.34604567754</v>
      </c>
      <c r="G123" s="30">
        <f t="shared" ref="G123:G151" si="16">F123/100000</f>
        <v>1.1662534604567754</v>
      </c>
      <c r="H123" s="30">
        <f t="shared" ref="H123:H151" si="17">G123*1.04</f>
        <v>1.2129035988750465</v>
      </c>
      <c r="J123">
        <v>885</v>
      </c>
      <c r="K123">
        <f t="shared" si="14"/>
        <v>89582267.116691485</v>
      </c>
      <c r="L123" s="30">
        <f t="shared" ref="L123:L186" si="18">K123/100000</f>
        <v>895.8226711669148</v>
      </c>
      <c r="Y123">
        <v>996</v>
      </c>
      <c r="Z123" s="30">
        <f t="shared" si="12"/>
        <v>952.62896303797379</v>
      </c>
      <c r="AA123">
        <v>121</v>
      </c>
    </row>
    <row r="124" spans="3:27">
      <c r="C124">
        <v>28</v>
      </c>
      <c r="D124">
        <f t="shared" si="13"/>
        <v>59.833333333333336</v>
      </c>
      <c r="F124">
        <f t="shared" si="15"/>
        <v>104971.89701893122</v>
      </c>
      <c r="G124" s="30">
        <f t="shared" si="16"/>
        <v>1.0497189701893122</v>
      </c>
      <c r="H124" s="30">
        <f t="shared" si="17"/>
        <v>1.0917077289968846</v>
      </c>
      <c r="J124">
        <v>884</v>
      </c>
      <c r="K124">
        <f t="shared" si="14"/>
        <v>89481044.215994656</v>
      </c>
      <c r="L124" s="30">
        <f t="shared" si="18"/>
        <v>894.81044215994655</v>
      </c>
      <c r="Y124">
        <v>995</v>
      </c>
      <c r="Z124" s="30">
        <f t="shared" si="12"/>
        <v>951.61673403100554</v>
      </c>
      <c r="AA124">
        <v>122</v>
      </c>
    </row>
    <row r="125" spans="3:27">
      <c r="C125">
        <v>27</v>
      </c>
      <c r="D125">
        <f t="shared" si="13"/>
        <v>57.696428571428577</v>
      </c>
      <c r="F125">
        <f t="shared" si="15"/>
        <v>94121.804346921635</v>
      </c>
      <c r="G125" s="30">
        <f t="shared" si="16"/>
        <v>0.94121804346921634</v>
      </c>
      <c r="H125" s="30">
        <f t="shared" si="17"/>
        <v>0.97886676520798499</v>
      </c>
      <c r="J125">
        <v>883</v>
      </c>
      <c r="K125">
        <f t="shared" si="14"/>
        <v>89379821.315297827</v>
      </c>
      <c r="L125" s="30">
        <f t="shared" si="18"/>
        <v>893.79821315297829</v>
      </c>
      <c r="Y125">
        <v>994</v>
      </c>
      <c r="Z125" s="30">
        <f t="shared" si="12"/>
        <v>950.60450502403739</v>
      </c>
      <c r="AA125">
        <v>123</v>
      </c>
    </row>
    <row r="126" spans="3:27">
      <c r="C126">
        <v>26</v>
      </c>
      <c r="D126">
        <f t="shared" si="13"/>
        <v>55.55952380952381</v>
      </c>
      <c r="F126">
        <f t="shared" si="15"/>
        <v>84046.376731265264</v>
      </c>
      <c r="G126" s="30">
        <f t="shared" si="16"/>
        <v>0.8404637673126526</v>
      </c>
      <c r="H126" s="30">
        <f t="shared" si="17"/>
        <v>0.87408231800515879</v>
      </c>
      <c r="J126">
        <v>882</v>
      </c>
      <c r="K126">
        <f t="shared" si="14"/>
        <v>89278598.414600998</v>
      </c>
      <c r="L126" s="30">
        <f t="shared" si="18"/>
        <v>892.78598414601004</v>
      </c>
      <c r="Y126">
        <v>993</v>
      </c>
      <c r="Z126" s="30">
        <f t="shared" si="12"/>
        <v>949.59227601706914</v>
      </c>
      <c r="AA126">
        <v>124</v>
      </c>
    </row>
    <row r="127" spans="3:27">
      <c r="C127">
        <v>25</v>
      </c>
      <c r="D127">
        <f t="shared" si="13"/>
        <v>53.422619047619051</v>
      </c>
      <c r="F127">
        <f t="shared" si="15"/>
        <v>74716.922873578733</v>
      </c>
      <c r="G127" s="30">
        <f t="shared" si="16"/>
        <v>0.74716922873578728</v>
      </c>
      <c r="H127" s="30">
        <f t="shared" si="17"/>
        <v>0.77705599788521884</v>
      </c>
      <c r="J127">
        <v>881</v>
      </c>
      <c r="K127">
        <f t="shared" si="14"/>
        <v>89177375.513904169</v>
      </c>
      <c r="L127" s="30">
        <f t="shared" si="18"/>
        <v>891.77375513904167</v>
      </c>
      <c r="Y127">
        <v>992</v>
      </c>
      <c r="Z127" s="30">
        <f t="shared" si="12"/>
        <v>948.58004701010077</v>
      </c>
      <c r="AA127">
        <v>125</v>
      </c>
    </row>
    <row r="128" spans="3:27">
      <c r="C128">
        <v>24</v>
      </c>
      <c r="D128">
        <f t="shared" si="13"/>
        <v>51.285714285714285</v>
      </c>
      <c r="F128">
        <f t="shared" si="15"/>
        <v>66104.751475478537</v>
      </c>
      <c r="G128" s="30">
        <f t="shared" si="16"/>
        <v>0.6610475147547854</v>
      </c>
      <c r="H128" s="30">
        <f t="shared" si="17"/>
        <v>0.68748941534497687</v>
      </c>
      <c r="J128">
        <v>880</v>
      </c>
      <c r="K128">
        <f t="shared" si="14"/>
        <v>89076152.613207355</v>
      </c>
      <c r="L128" s="30">
        <f t="shared" si="18"/>
        <v>890.76152613207353</v>
      </c>
      <c r="Y128">
        <v>991</v>
      </c>
      <c r="Z128" s="30">
        <f t="shared" si="12"/>
        <v>947.56781800313252</v>
      </c>
      <c r="AA128">
        <v>126</v>
      </c>
    </row>
    <row r="129" spans="3:27">
      <c r="C129">
        <v>23</v>
      </c>
      <c r="D129">
        <f t="shared" si="13"/>
        <v>49.148809523809526</v>
      </c>
      <c r="F129">
        <f t="shared" si="15"/>
        <v>58181.171238581272</v>
      </c>
      <c r="G129" s="30">
        <f t="shared" si="16"/>
        <v>0.58181171238581275</v>
      </c>
      <c r="H129" s="30">
        <f t="shared" si="17"/>
        <v>0.60508418088124527</v>
      </c>
      <c r="J129">
        <v>879</v>
      </c>
      <c r="K129">
        <f t="shared" si="14"/>
        <v>88974929.712510511</v>
      </c>
      <c r="L129" s="30">
        <f t="shared" si="18"/>
        <v>889.74929712510516</v>
      </c>
      <c r="Y129">
        <v>990</v>
      </c>
      <c r="Z129" s="30">
        <f t="shared" si="12"/>
        <v>946.55558899616437</v>
      </c>
      <c r="AA129">
        <v>127</v>
      </c>
    </row>
    <row r="130" spans="3:27">
      <c r="C130">
        <v>22</v>
      </c>
      <c r="D130">
        <f t="shared" si="13"/>
        <v>47.011904761904766</v>
      </c>
      <c r="F130">
        <f t="shared" si="15"/>
        <v>50917.490864503452</v>
      </c>
      <c r="G130" s="30">
        <f t="shared" si="16"/>
        <v>0.50917490864503456</v>
      </c>
      <c r="H130" s="30">
        <f t="shared" si="17"/>
        <v>0.52954190499083598</v>
      </c>
      <c r="J130">
        <v>878</v>
      </c>
      <c r="K130">
        <f t="shared" si="14"/>
        <v>88873706.811813697</v>
      </c>
      <c r="L130" s="30">
        <f t="shared" si="18"/>
        <v>888.73706811813702</v>
      </c>
      <c r="Y130">
        <v>989</v>
      </c>
      <c r="Z130" s="30">
        <f t="shared" si="12"/>
        <v>945.54335998919589</v>
      </c>
      <c r="AA130">
        <v>128</v>
      </c>
    </row>
    <row r="131" spans="3:27">
      <c r="C131">
        <v>21</v>
      </c>
      <c r="D131">
        <f t="shared" si="13"/>
        <v>44.875</v>
      </c>
      <c r="F131">
        <f t="shared" si="15"/>
        <v>44285.019054861601</v>
      </c>
      <c r="G131" s="30">
        <f t="shared" si="16"/>
        <v>0.44285019054861602</v>
      </c>
      <c r="H131" s="30">
        <f t="shared" si="17"/>
        <v>0.46056419817056066</v>
      </c>
      <c r="J131">
        <v>877</v>
      </c>
      <c r="K131">
        <f t="shared" si="14"/>
        <v>88772483.911116868</v>
      </c>
      <c r="L131" s="30">
        <f t="shared" si="18"/>
        <v>887.72483911116865</v>
      </c>
      <c r="Y131">
        <v>988</v>
      </c>
      <c r="Z131" s="30">
        <f t="shared" si="12"/>
        <v>944.53113098222764</v>
      </c>
      <c r="AA131">
        <v>129</v>
      </c>
    </row>
    <row r="132" spans="3:27">
      <c r="C132">
        <v>20</v>
      </c>
      <c r="D132">
        <f t="shared" si="13"/>
        <v>42.738095238095241</v>
      </c>
      <c r="F132">
        <f t="shared" si="15"/>
        <v>38255.064511272314</v>
      </c>
      <c r="G132" s="30">
        <f t="shared" si="16"/>
        <v>0.38255064511272313</v>
      </c>
      <c r="H132" s="30">
        <f t="shared" si="17"/>
        <v>0.39785267091723209</v>
      </c>
      <c r="J132">
        <v>876</v>
      </c>
      <c r="K132">
        <f t="shared" si="14"/>
        <v>88671261.010420054</v>
      </c>
      <c r="L132" s="30">
        <f t="shared" si="18"/>
        <v>886.71261010420051</v>
      </c>
      <c r="Y132">
        <v>987</v>
      </c>
      <c r="Z132" s="30">
        <f t="shared" si="12"/>
        <v>943.5189019752595</v>
      </c>
      <c r="AA132">
        <v>130</v>
      </c>
    </row>
    <row r="133" spans="3:27">
      <c r="C133">
        <v>19</v>
      </c>
      <c r="D133">
        <f t="shared" si="13"/>
        <v>40.601190476190474</v>
      </c>
      <c r="F133">
        <f t="shared" si="15"/>
        <v>32798.935935352092</v>
      </c>
      <c r="G133" s="30">
        <f t="shared" si="16"/>
        <v>0.32798935935352092</v>
      </c>
      <c r="H133" s="30">
        <f t="shared" si="17"/>
        <v>0.34110893372766177</v>
      </c>
      <c r="J133">
        <v>875</v>
      </c>
      <c r="K133">
        <f t="shared" si="14"/>
        <v>88570038.10972321</v>
      </c>
      <c r="L133" s="30">
        <f t="shared" si="18"/>
        <v>885.70038109723214</v>
      </c>
      <c r="Y133">
        <v>986</v>
      </c>
      <c r="Z133" s="30">
        <f t="shared" si="12"/>
        <v>942.50667296829124</v>
      </c>
      <c r="AA133">
        <v>131</v>
      </c>
    </row>
    <row r="134" spans="3:27">
      <c r="C134">
        <v>18</v>
      </c>
      <c r="D134">
        <f t="shared" si="13"/>
        <v>38.464285714285715</v>
      </c>
      <c r="F134">
        <f t="shared" si="15"/>
        <v>27887.942028717513</v>
      </c>
      <c r="G134" s="30">
        <f t="shared" si="16"/>
        <v>0.27887942028717511</v>
      </c>
      <c r="H134" s="30">
        <f t="shared" si="17"/>
        <v>0.29003459709866214</v>
      </c>
      <c r="J134">
        <v>874</v>
      </c>
      <c r="K134">
        <f t="shared" si="14"/>
        <v>88468815.209026396</v>
      </c>
      <c r="L134" s="30">
        <f t="shared" si="18"/>
        <v>884.688152090264</v>
      </c>
      <c r="Y134">
        <v>985</v>
      </c>
      <c r="Z134" s="30">
        <f t="shared" si="12"/>
        <v>941.49444396132287</v>
      </c>
      <c r="AA134">
        <v>132</v>
      </c>
    </row>
    <row r="135" spans="3:27">
      <c r="C135">
        <v>17</v>
      </c>
      <c r="D135">
        <f t="shared" si="13"/>
        <v>36.327380952380956</v>
      </c>
      <c r="F135">
        <f t="shared" si="15"/>
        <v>23493.391492985113</v>
      </c>
      <c r="G135" s="30">
        <f t="shared" si="16"/>
        <v>0.23493391492985113</v>
      </c>
      <c r="H135" s="30">
        <f t="shared" si="17"/>
        <v>0.2443312715270452</v>
      </c>
      <c r="J135">
        <v>873</v>
      </c>
      <c r="K135">
        <f t="shared" si="14"/>
        <v>88367592.308329567</v>
      </c>
      <c r="L135" s="30">
        <f t="shared" si="18"/>
        <v>883.67592308329563</v>
      </c>
      <c r="Y135">
        <v>984</v>
      </c>
      <c r="Z135" s="30">
        <f t="shared" si="12"/>
        <v>940.48221495435462</v>
      </c>
      <c r="AA135">
        <v>133</v>
      </c>
    </row>
    <row r="136" spans="3:27">
      <c r="C136">
        <v>16</v>
      </c>
      <c r="D136">
        <f t="shared" si="13"/>
        <v>34.19047619047619</v>
      </c>
      <c r="F136">
        <f t="shared" si="15"/>
        <v>19586.593029771422</v>
      </c>
      <c r="G136" s="30">
        <f t="shared" si="16"/>
        <v>0.19586593029771421</v>
      </c>
      <c r="H136" s="30">
        <f t="shared" si="17"/>
        <v>0.20370056750962279</v>
      </c>
      <c r="J136">
        <v>872</v>
      </c>
      <c r="K136">
        <f t="shared" si="14"/>
        <v>88266369.407632723</v>
      </c>
      <c r="L136" s="30">
        <f t="shared" si="18"/>
        <v>882.66369407632726</v>
      </c>
      <c r="Y136">
        <v>983</v>
      </c>
      <c r="Z136" s="30">
        <f t="shared" si="12"/>
        <v>939.46998594738648</v>
      </c>
      <c r="AA136">
        <v>134</v>
      </c>
    </row>
    <row r="137" spans="3:27">
      <c r="C137">
        <v>15</v>
      </c>
      <c r="D137">
        <f t="shared" si="13"/>
        <v>32.053571428571431</v>
      </c>
      <c r="F137">
        <f t="shared" si="15"/>
        <v>16138.85534069301</v>
      </c>
      <c r="G137" s="30">
        <f t="shared" si="16"/>
        <v>0.16138855340693009</v>
      </c>
      <c r="H137" s="30">
        <f t="shared" si="17"/>
        <v>0.16784409554320731</v>
      </c>
      <c r="J137">
        <v>871</v>
      </c>
      <c r="K137">
        <f t="shared" si="14"/>
        <v>88165146.506935909</v>
      </c>
      <c r="L137" s="30">
        <f t="shared" si="18"/>
        <v>881.65146506935912</v>
      </c>
      <c r="Y137">
        <v>982</v>
      </c>
      <c r="Z137" s="30">
        <f t="shared" si="12"/>
        <v>938.45775694041822</v>
      </c>
      <c r="AA137">
        <v>135</v>
      </c>
    </row>
    <row r="138" spans="3:27">
      <c r="C138">
        <v>14</v>
      </c>
      <c r="D138">
        <f t="shared" si="13"/>
        <v>29.916666666666668</v>
      </c>
      <c r="F138">
        <f t="shared" si="15"/>
        <v>13121.487127366403</v>
      </c>
      <c r="G138" s="30">
        <f t="shared" si="16"/>
        <v>0.13121487127366402</v>
      </c>
      <c r="H138" s="30">
        <f t="shared" si="17"/>
        <v>0.13646346612461058</v>
      </c>
      <c r="J138">
        <v>870</v>
      </c>
      <c r="K138">
        <f t="shared" si="14"/>
        <v>88063923.60623908</v>
      </c>
      <c r="L138" s="30">
        <f t="shared" si="18"/>
        <v>880.63923606239075</v>
      </c>
      <c r="Y138">
        <v>981</v>
      </c>
      <c r="Z138" s="30">
        <f t="shared" si="12"/>
        <v>937.44552793344974</v>
      </c>
      <c r="AA138">
        <v>136</v>
      </c>
    </row>
    <row r="139" spans="3:27">
      <c r="C139">
        <v>13</v>
      </c>
      <c r="D139">
        <f t="shared" si="13"/>
        <v>27.779761904761905</v>
      </c>
      <c r="F139">
        <f t="shared" si="15"/>
        <v>10505.797091408158</v>
      </c>
      <c r="G139" s="30">
        <f t="shared" si="16"/>
        <v>0.10505797091408157</v>
      </c>
      <c r="H139" s="30">
        <f t="shared" si="17"/>
        <v>0.10926028975064485</v>
      </c>
      <c r="J139">
        <v>869</v>
      </c>
      <c r="K139">
        <f t="shared" si="14"/>
        <v>87962700.705542266</v>
      </c>
      <c r="L139" s="30">
        <f t="shared" si="18"/>
        <v>879.62700705542261</v>
      </c>
      <c r="Y139">
        <v>980</v>
      </c>
      <c r="Z139" s="30">
        <f t="shared" si="12"/>
        <v>936.4332989264816</v>
      </c>
      <c r="AA139">
        <v>137</v>
      </c>
    </row>
    <row r="140" spans="3:27">
      <c r="C140">
        <v>12</v>
      </c>
      <c r="D140">
        <f t="shared" si="13"/>
        <v>25.642857142857142</v>
      </c>
      <c r="F140">
        <f t="shared" si="15"/>
        <v>8263.0939344348171</v>
      </c>
      <c r="G140" s="30">
        <f t="shared" si="16"/>
        <v>8.2630939344348175E-2</v>
      </c>
      <c r="H140" s="30">
        <f t="shared" si="17"/>
        <v>8.5936176918122109E-2</v>
      </c>
      <c r="J140">
        <v>868</v>
      </c>
      <c r="K140">
        <f t="shared" si="14"/>
        <v>87861477.804845423</v>
      </c>
      <c r="L140" s="30">
        <f t="shared" si="18"/>
        <v>878.61477804845424</v>
      </c>
      <c r="Y140">
        <v>979</v>
      </c>
      <c r="Z140" s="30">
        <f t="shared" si="12"/>
        <v>935.42106991951334</v>
      </c>
      <c r="AA140">
        <v>138</v>
      </c>
    </row>
    <row r="141" spans="3:27">
      <c r="C141">
        <v>11</v>
      </c>
      <c r="D141">
        <f t="shared" si="13"/>
        <v>23.505952380952383</v>
      </c>
      <c r="F141">
        <f t="shared" si="15"/>
        <v>6364.6863580629315</v>
      </c>
      <c r="G141" s="30">
        <f t="shared" si="16"/>
        <v>6.364686358062932E-2</v>
      </c>
      <c r="H141" s="30">
        <f t="shared" si="17"/>
        <v>6.6192738123854497E-2</v>
      </c>
      <c r="J141">
        <v>867</v>
      </c>
      <c r="K141">
        <f t="shared" si="14"/>
        <v>87760254.904148608</v>
      </c>
      <c r="L141" s="30">
        <f t="shared" si="18"/>
        <v>877.6025490414861</v>
      </c>
      <c r="Y141">
        <v>978</v>
      </c>
      <c r="Z141" s="30">
        <f t="shared" si="12"/>
        <v>934.40884091254509</v>
      </c>
      <c r="AA141">
        <v>139</v>
      </c>
    </row>
    <row r="142" spans="3:27">
      <c r="C142">
        <v>10</v>
      </c>
      <c r="D142">
        <f t="shared" si="13"/>
        <v>21.36904761904762</v>
      </c>
      <c r="F142">
        <f t="shared" si="15"/>
        <v>4781.8830639090393</v>
      </c>
      <c r="G142" s="30">
        <f t="shared" si="16"/>
        <v>4.7818830639090391E-2</v>
      </c>
      <c r="H142" s="30">
        <f t="shared" si="17"/>
        <v>4.9731583864654011E-2</v>
      </c>
      <c r="J142">
        <v>866</v>
      </c>
      <c r="K142">
        <f t="shared" si="14"/>
        <v>87659032.003451779</v>
      </c>
      <c r="L142" s="30">
        <f t="shared" si="18"/>
        <v>876.59032003451784</v>
      </c>
      <c r="Y142">
        <v>977</v>
      </c>
      <c r="Z142" s="30">
        <f t="shared" si="12"/>
        <v>933.39661190557672</v>
      </c>
      <c r="AA142">
        <v>140</v>
      </c>
    </row>
    <row r="143" spans="3:27">
      <c r="C143">
        <v>9</v>
      </c>
      <c r="D143">
        <f t="shared" si="13"/>
        <v>19.232142857142858</v>
      </c>
      <c r="F143">
        <f t="shared" si="15"/>
        <v>3485.9927535896891</v>
      </c>
      <c r="G143" s="30">
        <f t="shared" si="16"/>
        <v>3.4859927535896888E-2</v>
      </c>
      <c r="H143" s="30">
        <f t="shared" si="17"/>
        <v>3.6254324637332767E-2</v>
      </c>
      <c r="J143">
        <v>865</v>
      </c>
      <c r="K143">
        <f t="shared" si="14"/>
        <v>87557809.102754951</v>
      </c>
      <c r="L143" s="30">
        <f t="shared" si="18"/>
        <v>875.57809102754948</v>
      </c>
      <c r="Y143">
        <v>976</v>
      </c>
      <c r="Z143" s="30">
        <f t="shared" si="12"/>
        <v>932.38438289860858</v>
      </c>
      <c r="AA143">
        <v>141</v>
      </c>
    </row>
    <row r="144" spans="3:27">
      <c r="C144">
        <v>8</v>
      </c>
      <c r="D144">
        <f t="shared" si="13"/>
        <v>17.095238095238095</v>
      </c>
      <c r="F144">
        <f t="shared" si="15"/>
        <v>2448.3241287214278</v>
      </c>
      <c r="G144" s="30">
        <f t="shared" si="16"/>
        <v>2.4483241287214276E-2</v>
      </c>
      <c r="H144" s="30">
        <f t="shared" si="17"/>
        <v>2.5462570938702848E-2</v>
      </c>
      <c r="J144">
        <v>864</v>
      </c>
      <c r="K144">
        <f t="shared" si="14"/>
        <v>87456586.202058122</v>
      </c>
      <c r="L144" s="30">
        <f t="shared" si="18"/>
        <v>874.56586202058122</v>
      </c>
      <c r="Y144">
        <v>975</v>
      </c>
      <c r="Z144" s="30">
        <f t="shared" si="12"/>
        <v>931.37215389164032</v>
      </c>
      <c r="AA144">
        <v>142</v>
      </c>
    </row>
    <row r="145" spans="3:27">
      <c r="C145">
        <v>7</v>
      </c>
      <c r="D145">
        <f t="shared" si="13"/>
        <v>14.958333333333334</v>
      </c>
      <c r="F145">
        <f t="shared" si="15"/>
        <v>1640.1858909208004</v>
      </c>
      <c r="G145" s="30">
        <f t="shared" si="16"/>
        <v>1.6401858909208002E-2</v>
      </c>
      <c r="H145" s="30">
        <f t="shared" si="17"/>
        <v>1.7057933265576322E-2</v>
      </c>
      <c r="J145">
        <v>863</v>
      </c>
      <c r="K145">
        <f t="shared" si="14"/>
        <v>87355363.301361293</v>
      </c>
      <c r="L145" s="30">
        <f t="shared" si="18"/>
        <v>873.55363301361297</v>
      </c>
      <c r="Y145">
        <v>974</v>
      </c>
      <c r="Z145" s="30">
        <f t="shared" si="12"/>
        <v>930.35992488467207</v>
      </c>
      <c r="AA145">
        <v>143</v>
      </c>
    </row>
    <row r="146" spans="3:27">
      <c r="C146">
        <v>6</v>
      </c>
      <c r="D146">
        <f t="shared" si="13"/>
        <v>12.821428571428571</v>
      </c>
      <c r="F146">
        <f t="shared" si="15"/>
        <v>1032.8867418043521</v>
      </c>
      <c r="G146" s="30">
        <f t="shared" si="16"/>
        <v>1.0328867418043522E-2</v>
      </c>
      <c r="H146" s="30">
        <f t="shared" si="17"/>
        <v>1.0742022114765264E-2</v>
      </c>
      <c r="J146">
        <v>862</v>
      </c>
      <c r="K146">
        <f t="shared" si="14"/>
        <v>87254140.400664479</v>
      </c>
      <c r="L146" s="30">
        <f t="shared" si="18"/>
        <v>872.54140400664483</v>
      </c>
      <c r="Y146">
        <v>973</v>
      </c>
      <c r="Z146" s="30">
        <f t="shared" si="12"/>
        <v>929.3476958777037</v>
      </c>
      <c r="AA146">
        <v>144</v>
      </c>
    </row>
    <row r="147" spans="3:27">
      <c r="C147">
        <v>5</v>
      </c>
      <c r="D147">
        <f t="shared" si="13"/>
        <v>10.68452380952381</v>
      </c>
      <c r="F147">
        <f t="shared" si="15"/>
        <v>597.73538298862991</v>
      </c>
      <c r="G147" s="30">
        <f t="shared" si="16"/>
        <v>5.9773538298862989E-3</v>
      </c>
      <c r="H147" s="30">
        <f t="shared" si="17"/>
        <v>6.2164479830817514E-3</v>
      </c>
      <c r="J147">
        <v>861</v>
      </c>
      <c r="K147">
        <f t="shared" si="14"/>
        <v>87152917.499967635</v>
      </c>
      <c r="L147" s="30">
        <f t="shared" si="18"/>
        <v>871.52917499967634</v>
      </c>
      <c r="Y147">
        <v>972</v>
      </c>
      <c r="Z147" s="30">
        <f t="shared" si="12"/>
        <v>928.33546687073544</v>
      </c>
      <c r="AA147">
        <v>145</v>
      </c>
    </row>
    <row r="148" spans="3:27">
      <c r="C148">
        <v>4</v>
      </c>
      <c r="D148">
        <f t="shared" si="13"/>
        <v>8.5476190476190474</v>
      </c>
      <c r="F148">
        <f t="shared" si="15"/>
        <v>306.04051609017847</v>
      </c>
      <c r="G148" s="30">
        <f t="shared" si="16"/>
        <v>3.0604051609017845E-3</v>
      </c>
      <c r="H148" s="30">
        <f t="shared" si="17"/>
        <v>3.1828213673378561E-3</v>
      </c>
      <c r="J148">
        <v>860</v>
      </c>
      <c r="K148">
        <f t="shared" si="14"/>
        <v>87051694.599270821</v>
      </c>
      <c r="L148" s="30">
        <f t="shared" si="18"/>
        <v>870.5169459927082</v>
      </c>
      <c r="Y148">
        <v>971</v>
      </c>
      <c r="Z148" s="30">
        <f t="shared" si="12"/>
        <v>927.3232378637673</v>
      </c>
      <c r="AA148">
        <v>146</v>
      </c>
    </row>
    <row r="149" spans="3:27">
      <c r="C149">
        <v>3</v>
      </c>
      <c r="D149">
        <f t="shared" si="13"/>
        <v>6.4107142857142856</v>
      </c>
      <c r="F149">
        <f t="shared" si="15"/>
        <v>129.11084272554402</v>
      </c>
      <c r="G149" s="30">
        <f t="shared" si="16"/>
        <v>1.2911084272554402E-3</v>
      </c>
      <c r="H149" s="30">
        <f t="shared" si="17"/>
        <v>1.342752764345658E-3</v>
      </c>
      <c r="J149">
        <v>859</v>
      </c>
      <c r="K149">
        <f t="shared" si="14"/>
        <v>86950471.698573992</v>
      </c>
      <c r="L149" s="30">
        <f t="shared" si="18"/>
        <v>869.50471698573995</v>
      </c>
      <c r="Y149">
        <v>970</v>
      </c>
      <c r="Z149" s="30">
        <f t="shared" si="12"/>
        <v>926.31100885679882</v>
      </c>
      <c r="AA149">
        <v>147</v>
      </c>
    </row>
    <row r="150" spans="3:27">
      <c r="C150">
        <v>2</v>
      </c>
      <c r="D150">
        <f t="shared" si="13"/>
        <v>4.2738095238095237</v>
      </c>
      <c r="F150">
        <f t="shared" si="15"/>
        <v>38.255064511272309</v>
      </c>
      <c r="G150" s="30">
        <f t="shared" si="16"/>
        <v>3.8255064511272306E-4</v>
      </c>
      <c r="H150" s="30">
        <f t="shared" si="17"/>
        <v>3.9785267091723201E-4</v>
      </c>
      <c r="J150">
        <v>858</v>
      </c>
      <c r="K150">
        <f t="shared" si="14"/>
        <v>86849248.797877163</v>
      </c>
      <c r="L150" s="30">
        <f t="shared" si="18"/>
        <v>868.49248797877158</v>
      </c>
      <c r="Y150">
        <v>969</v>
      </c>
      <c r="Z150" s="30">
        <f t="shared" ref="Z150:Z213" si="19">L123+$H$68</f>
        <v>925.29877984983068</v>
      </c>
      <c r="AA150">
        <v>148</v>
      </c>
    </row>
    <row r="151" spans="3:27">
      <c r="C151">
        <v>1</v>
      </c>
      <c r="D151">
        <f t="shared" si="13"/>
        <v>2.1369047619047619</v>
      </c>
      <c r="F151">
        <f t="shared" si="15"/>
        <v>4.7818830639090386</v>
      </c>
      <c r="G151" s="30">
        <f t="shared" si="16"/>
        <v>4.7818830639090383E-5</v>
      </c>
      <c r="H151" s="30">
        <f t="shared" si="17"/>
        <v>4.9731583864654001E-5</v>
      </c>
      <c r="J151">
        <v>857</v>
      </c>
      <c r="K151">
        <f t="shared" si="14"/>
        <v>86748025.897180334</v>
      </c>
      <c r="L151" s="30">
        <f t="shared" si="18"/>
        <v>867.48025897180332</v>
      </c>
      <c r="Y151">
        <v>968</v>
      </c>
      <c r="Z151" s="30">
        <f t="shared" si="19"/>
        <v>924.28655084286243</v>
      </c>
      <c r="AA151">
        <v>149</v>
      </c>
    </row>
    <row r="152" spans="3:27">
      <c r="C152">
        <v>0</v>
      </c>
      <c r="D152">
        <f t="shared" si="13"/>
        <v>0</v>
      </c>
      <c r="J152">
        <v>856</v>
      </c>
      <c r="K152">
        <f t="shared" si="14"/>
        <v>86646802.996483505</v>
      </c>
      <c r="L152" s="30">
        <f t="shared" si="18"/>
        <v>866.46802996483507</v>
      </c>
      <c r="Y152">
        <v>967</v>
      </c>
      <c r="Z152" s="30">
        <f t="shared" si="19"/>
        <v>923.27432183589417</v>
      </c>
      <c r="AA152">
        <v>150</v>
      </c>
    </row>
    <row r="153" spans="3:27">
      <c r="J153">
        <v>855</v>
      </c>
      <c r="K153">
        <f t="shared" si="14"/>
        <v>86545580.095786691</v>
      </c>
      <c r="L153" s="30">
        <f t="shared" si="18"/>
        <v>865.45580095786693</v>
      </c>
      <c r="Y153">
        <v>966</v>
      </c>
      <c r="Z153" s="30">
        <f t="shared" si="19"/>
        <v>922.26209282892592</v>
      </c>
      <c r="AA153">
        <v>151</v>
      </c>
    </row>
    <row r="154" spans="3:27">
      <c r="J154">
        <v>854</v>
      </c>
      <c r="K154">
        <f t="shared" si="14"/>
        <v>86444357.195089862</v>
      </c>
      <c r="L154" s="30">
        <f t="shared" si="18"/>
        <v>864.44357195089867</v>
      </c>
      <c r="Y154">
        <v>965</v>
      </c>
      <c r="Z154" s="30">
        <f t="shared" si="19"/>
        <v>921.24986382195755</v>
      </c>
      <c r="AA154">
        <v>152</v>
      </c>
    </row>
    <row r="155" spans="3:27">
      <c r="J155">
        <v>853</v>
      </c>
      <c r="K155">
        <f t="shared" si="14"/>
        <v>86343134.294393033</v>
      </c>
      <c r="L155" s="30">
        <f t="shared" si="18"/>
        <v>863.4313429439303</v>
      </c>
      <c r="Y155">
        <v>964</v>
      </c>
      <c r="Z155" s="30">
        <f t="shared" si="19"/>
        <v>920.23763481498941</v>
      </c>
      <c r="AA155">
        <v>153</v>
      </c>
    </row>
    <row r="156" spans="3:27">
      <c r="J156">
        <v>852</v>
      </c>
      <c r="K156">
        <f t="shared" si="14"/>
        <v>86241911.393696204</v>
      </c>
      <c r="L156" s="30">
        <f t="shared" si="18"/>
        <v>862.41911393696205</v>
      </c>
      <c r="Y156">
        <v>963</v>
      </c>
      <c r="Z156" s="30">
        <f t="shared" si="19"/>
        <v>919.22540580802104</v>
      </c>
      <c r="AA156">
        <v>154</v>
      </c>
    </row>
    <row r="157" spans="3:27">
      <c r="J157">
        <v>851</v>
      </c>
      <c r="K157">
        <f t="shared" si="14"/>
        <v>86140688.49299939</v>
      </c>
      <c r="L157" s="30">
        <f t="shared" si="18"/>
        <v>861.40688492999391</v>
      </c>
      <c r="Y157">
        <v>962</v>
      </c>
      <c r="Z157" s="30">
        <f t="shared" si="19"/>
        <v>918.2131768010529</v>
      </c>
      <c r="AA157">
        <v>155</v>
      </c>
    </row>
    <row r="158" spans="3:27">
      <c r="J158">
        <v>850</v>
      </c>
      <c r="K158">
        <f t="shared" si="14"/>
        <v>86039465.592302546</v>
      </c>
      <c r="L158" s="30">
        <f t="shared" si="18"/>
        <v>860.39465592302543</v>
      </c>
      <c r="Y158">
        <v>961</v>
      </c>
      <c r="Z158" s="30">
        <f t="shared" si="19"/>
        <v>917.20094779408453</v>
      </c>
      <c r="AA158">
        <v>156</v>
      </c>
    </row>
    <row r="159" spans="3:27">
      <c r="J159">
        <v>849</v>
      </c>
      <c r="K159">
        <f t="shared" si="14"/>
        <v>85938242.691605717</v>
      </c>
      <c r="L159" s="30">
        <f t="shared" si="18"/>
        <v>859.38242691605717</v>
      </c>
      <c r="Y159">
        <v>960</v>
      </c>
      <c r="Z159" s="30">
        <f t="shared" si="19"/>
        <v>916.18871878711639</v>
      </c>
      <c r="AA159">
        <v>157</v>
      </c>
    </row>
    <row r="160" spans="3:27">
      <c r="J160">
        <v>848</v>
      </c>
      <c r="K160">
        <f t="shared" si="14"/>
        <v>85837019.790908903</v>
      </c>
      <c r="L160" s="30">
        <f t="shared" si="18"/>
        <v>858.37019790908903</v>
      </c>
      <c r="Y160">
        <v>959</v>
      </c>
      <c r="Z160" s="30">
        <f t="shared" si="19"/>
        <v>915.17648978014802</v>
      </c>
      <c r="AA160">
        <v>158</v>
      </c>
    </row>
    <row r="161" spans="10:27">
      <c r="J161">
        <v>847</v>
      </c>
      <c r="K161">
        <f t="shared" si="14"/>
        <v>85735796.890212074</v>
      </c>
      <c r="L161" s="30">
        <f t="shared" si="18"/>
        <v>857.35796890212077</v>
      </c>
      <c r="Y161">
        <v>958</v>
      </c>
      <c r="Z161" s="30">
        <f t="shared" si="19"/>
        <v>914.16426077317988</v>
      </c>
      <c r="AA161">
        <v>159</v>
      </c>
    </row>
    <row r="162" spans="10:27">
      <c r="J162">
        <v>846</v>
      </c>
      <c r="K162">
        <f t="shared" si="14"/>
        <v>85634573.989515245</v>
      </c>
      <c r="L162" s="30">
        <f t="shared" si="18"/>
        <v>856.34573989515241</v>
      </c>
      <c r="Y162">
        <v>957</v>
      </c>
      <c r="Z162" s="30">
        <f t="shared" si="19"/>
        <v>913.15203176621151</v>
      </c>
      <c r="AA162">
        <v>160</v>
      </c>
    </row>
    <row r="163" spans="10:27">
      <c r="J163">
        <v>845</v>
      </c>
      <c r="K163">
        <f t="shared" si="14"/>
        <v>85533351.088818416</v>
      </c>
      <c r="L163" s="30">
        <f t="shared" si="18"/>
        <v>855.33351088818415</v>
      </c>
      <c r="Y163">
        <v>956</v>
      </c>
      <c r="Z163" s="30">
        <f t="shared" si="19"/>
        <v>912.13980275924314</v>
      </c>
      <c r="AA163">
        <v>161</v>
      </c>
    </row>
    <row r="164" spans="10:27">
      <c r="J164">
        <v>844</v>
      </c>
      <c r="K164">
        <f t="shared" si="14"/>
        <v>85432128.188121602</v>
      </c>
      <c r="L164" s="30">
        <f t="shared" si="18"/>
        <v>854.32128188121601</v>
      </c>
      <c r="Y164">
        <v>955</v>
      </c>
      <c r="Z164" s="30">
        <f t="shared" si="19"/>
        <v>911.127573752275</v>
      </c>
      <c r="AA164">
        <v>162</v>
      </c>
    </row>
    <row r="165" spans="10:27">
      <c r="J165">
        <v>843</v>
      </c>
      <c r="K165">
        <f t="shared" si="14"/>
        <v>85330905.287424773</v>
      </c>
      <c r="L165" s="30">
        <f t="shared" si="18"/>
        <v>853.30905287424775</v>
      </c>
      <c r="Y165">
        <v>954</v>
      </c>
      <c r="Z165" s="30">
        <f t="shared" si="19"/>
        <v>910.11534474530663</v>
      </c>
      <c r="AA165">
        <v>163</v>
      </c>
    </row>
    <row r="166" spans="10:27">
      <c r="J166">
        <v>842</v>
      </c>
      <c r="K166">
        <f t="shared" si="14"/>
        <v>85229682.386727929</v>
      </c>
      <c r="L166" s="30">
        <f t="shared" si="18"/>
        <v>852.29682386727927</v>
      </c>
      <c r="Y166">
        <v>953</v>
      </c>
      <c r="Z166" s="30">
        <f t="shared" si="19"/>
        <v>909.10311573833849</v>
      </c>
      <c r="AA166">
        <v>164</v>
      </c>
    </row>
    <row r="167" spans="10:27">
      <c r="J167">
        <v>841</v>
      </c>
      <c r="K167">
        <f t="shared" si="14"/>
        <v>85128459.486031115</v>
      </c>
      <c r="L167" s="30">
        <f t="shared" si="18"/>
        <v>851.28459486031113</v>
      </c>
      <c r="Y167">
        <v>952</v>
      </c>
      <c r="Z167" s="30">
        <f t="shared" si="19"/>
        <v>908.09088673137012</v>
      </c>
      <c r="AA167">
        <v>165</v>
      </c>
    </row>
    <row r="168" spans="10:27">
      <c r="J168">
        <v>840</v>
      </c>
      <c r="K168">
        <f t="shared" si="14"/>
        <v>85027236.585334286</v>
      </c>
      <c r="L168" s="30">
        <f t="shared" si="18"/>
        <v>850.27236585334288</v>
      </c>
      <c r="Y168">
        <v>951</v>
      </c>
      <c r="Z168" s="30">
        <f t="shared" si="19"/>
        <v>907.07865772440198</v>
      </c>
      <c r="AA168">
        <v>166</v>
      </c>
    </row>
    <row r="169" spans="10:27">
      <c r="J169">
        <v>839</v>
      </c>
      <c r="K169">
        <f t="shared" si="14"/>
        <v>84926013.684637457</v>
      </c>
      <c r="L169" s="30">
        <f t="shared" si="18"/>
        <v>849.26013684637462</v>
      </c>
      <c r="Y169">
        <v>950</v>
      </c>
      <c r="Z169" s="30">
        <f t="shared" si="19"/>
        <v>906.06642871743372</v>
      </c>
      <c r="AA169">
        <v>167</v>
      </c>
    </row>
    <row r="170" spans="10:27">
      <c r="J170">
        <v>838</v>
      </c>
      <c r="K170">
        <f t="shared" si="14"/>
        <v>84824790.783940628</v>
      </c>
      <c r="L170" s="30">
        <f t="shared" si="18"/>
        <v>848.24790783940625</v>
      </c>
      <c r="Y170">
        <v>949</v>
      </c>
      <c r="Z170" s="30">
        <f t="shared" si="19"/>
        <v>905.05419971046535</v>
      </c>
      <c r="AA170">
        <v>168</v>
      </c>
    </row>
    <row r="171" spans="10:27">
      <c r="J171">
        <v>837</v>
      </c>
      <c r="K171">
        <f t="shared" si="14"/>
        <v>84723567.883243814</v>
      </c>
      <c r="L171" s="30">
        <f t="shared" si="18"/>
        <v>847.23567883243811</v>
      </c>
      <c r="Y171">
        <v>948</v>
      </c>
      <c r="Z171" s="30">
        <f t="shared" si="19"/>
        <v>904.0419707034971</v>
      </c>
      <c r="AA171">
        <v>169</v>
      </c>
    </row>
    <row r="172" spans="10:27">
      <c r="J172">
        <v>836</v>
      </c>
      <c r="K172">
        <f t="shared" si="14"/>
        <v>84622344.982546985</v>
      </c>
      <c r="L172" s="30">
        <f t="shared" si="18"/>
        <v>846.22344982546986</v>
      </c>
      <c r="Y172">
        <v>947</v>
      </c>
      <c r="Z172" s="30">
        <f t="shared" si="19"/>
        <v>903.02974169652884</v>
      </c>
      <c r="AA172">
        <v>170</v>
      </c>
    </row>
    <row r="173" spans="10:27">
      <c r="J173">
        <v>835</v>
      </c>
      <c r="K173">
        <f t="shared" si="14"/>
        <v>84521122.081850156</v>
      </c>
      <c r="L173" s="30">
        <f t="shared" si="18"/>
        <v>845.2112208185016</v>
      </c>
      <c r="Y173">
        <v>946</v>
      </c>
      <c r="Z173" s="30">
        <f t="shared" si="19"/>
        <v>902.0175126895607</v>
      </c>
      <c r="AA173">
        <v>171</v>
      </c>
    </row>
    <row r="174" spans="10:27">
      <c r="J174">
        <v>834</v>
      </c>
      <c r="K174">
        <f t="shared" si="14"/>
        <v>84419899.181153327</v>
      </c>
      <c r="L174" s="30">
        <f t="shared" si="18"/>
        <v>844.19899181153323</v>
      </c>
      <c r="Y174">
        <v>945</v>
      </c>
      <c r="Z174" s="30">
        <f t="shared" si="19"/>
        <v>901.00528368259222</v>
      </c>
      <c r="AA174">
        <v>172</v>
      </c>
    </row>
    <row r="175" spans="10:27">
      <c r="J175">
        <v>833</v>
      </c>
      <c r="K175">
        <f t="shared" si="14"/>
        <v>84318676.280456498</v>
      </c>
      <c r="L175" s="30">
        <f t="shared" si="18"/>
        <v>843.18676280456498</v>
      </c>
      <c r="Y175">
        <v>944</v>
      </c>
      <c r="Z175" s="30">
        <f t="shared" si="19"/>
        <v>899.99305467562408</v>
      </c>
      <c r="AA175">
        <v>173</v>
      </c>
    </row>
    <row r="176" spans="10:27">
      <c r="J176">
        <v>832</v>
      </c>
      <c r="K176">
        <f t="shared" si="14"/>
        <v>84217453.379759684</v>
      </c>
      <c r="L176" s="30">
        <f t="shared" si="18"/>
        <v>842.17453379759684</v>
      </c>
      <c r="Y176">
        <v>943</v>
      </c>
      <c r="Z176" s="30">
        <f t="shared" si="19"/>
        <v>898.98082566865583</v>
      </c>
      <c r="AA176">
        <v>174</v>
      </c>
    </row>
    <row r="177" spans="10:27">
      <c r="J177">
        <v>831</v>
      </c>
      <c r="K177">
        <f t="shared" si="14"/>
        <v>84116230.47906284</v>
      </c>
      <c r="L177" s="30">
        <f t="shared" si="18"/>
        <v>841.16230479062835</v>
      </c>
      <c r="Y177">
        <v>942</v>
      </c>
      <c r="Z177" s="30">
        <f t="shared" si="19"/>
        <v>897.96859666168746</v>
      </c>
      <c r="AA177">
        <v>175</v>
      </c>
    </row>
    <row r="178" spans="10:27">
      <c r="J178">
        <v>830</v>
      </c>
      <c r="K178">
        <f t="shared" si="14"/>
        <v>84015007.578366026</v>
      </c>
      <c r="L178" s="30">
        <f t="shared" si="18"/>
        <v>840.15007578366021</v>
      </c>
      <c r="Y178">
        <v>941</v>
      </c>
      <c r="Z178" s="30">
        <f t="shared" si="19"/>
        <v>896.9563676547192</v>
      </c>
      <c r="AA178">
        <v>176</v>
      </c>
    </row>
    <row r="179" spans="10:27">
      <c r="J179">
        <v>829</v>
      </c>
      <c r="K179">
        <f t="shared" si="14"/>
        <v>83913784.677669197</v>
      </c>
      <c r="L179" s="30">
        <f t="shared" si="18"/>
        <v>839.13784677669196</v>
      </c>
      <c r="Y179">
        <v>940</v>
      </c>
      <c r="Z179" s="30">
        <f t="shared" si="19"/>
        <v>895.94413864775095</v>
      </c>
      <c r="AA179">
        <v>177</v>
      </c>
    </row>
    <row r="180" spans="10:27">
      <c r="J180">
        <v>828</v>
      </c>
      <c r="K180">
        <f t="shared" si="14"/>
        <v>83812561.776972368</v>
      </c>
      <c r="L180" s="30">
        <f t="shared" si="18"/>
        <v>838.1256177697237</v>
      </c>
      <c r="Y180">
        <v>939</v>
      </c>
      <c r="Z180" s="30">
        <f t="shared" si="19"/>
        <v>894.93190964078281</v>
      </c>
      <c r="AA180">
        <v>178</v>
      </c>
    </row>
    <row r="181" spans="10:27">
      <c r="J181">
        <v>827</v>
      </c>
      <c r="K181">
        <f t="shared" si="14"/>
        <v>83711338.876275539</v>
      </c>
      <c r="L181" s="30">
        <f t="shared" si="18"/>
        <v>837.11338876275545</v>
      </c>
      <c r="Y181">
        <v>938</v>
      </c>
      <c r="Z181" s="30">
        <f t="shared" si="19"/>
        <v>893.91968063381455</v>
      </c>
      <c r="AA181">
        <v>179</v>
      </c>
    </row>
    <row r="182" spans="10:27">
      <c r="J182">
        <v>826</v>
      </c>
      <c r="K182">
        <f t="shared" si="14"/>
        <v>83610115.97557871</v>
      </c>
      <c r="L182" s="30">
        <f t="shared" si="18"/>
        <v>836.10115975578708</v>
      </c>
      <c r="Y182">
        <v>937</v>
      </c>
      <c r="Z182" s="30">
        <f t="shared" si="19"/>
        <v>892.90745162684618</v>
      </c>
      <c r="AA182">
        <v>180</v>
      </c>
    </row>
    <row r="183" spans="10:27">
      <c r="J183">
        <v>825</v>
      </c>
      <c r="K183">
        <f t="shared" si="14"/>
        <v>83508893.074881896</v>
      </c>
      <c r="L183" s="30">
        <f t="shared" si="18"/>
        <v>835.08893074881894</v>
      </c>
      <c r="Y183">
        <v>936</v>
      </c>
      <c r="Z183" s="30">
        <f t="shared" si="19"/>
        <v>891.89522261987793</v>
      </c>
      <c r="AA183">
        <v>181</v>
      </c>
    </row>
    <row r="184" spans="10:27">
      <c r="J184">
        <v>824</v>
      </c>
      <c r="K184">
        <f t="shared" si="14"/>
        <v>83407670.174185053</v>
      </c>
      <c r="L184" s="30">
        <f t="shared" si="18"/>
        <v>834.07670174185057</v>
      </c>
      <c r="Y184">
        <v>935</v>
      </c>
      <c r="Z184" s="30">
        <f t="shared" si="19"/>
        <v>890.88299361290979</v>
      </c>
      <c r="AA184">
        <v>182</v>
      </c>
    </row>
    <row r="185" spans="10:27">
      <c r="J185">
        <v>823</v>
      </c>
      <c r="K185">
        <f t="shared" si="14"/>
        <v>83306447.273488238</v>
      </c>
      <c r="L185" s="30">
        <f t="shared" si="18"/>
        <v>833.06447273488243</v>
      </c>
      <c r="Y185">
        <v>934</v>
      </c>
      <c r="Z185" s="30">
        <f t="shared" si="19"/>
        <v>889.8707646059413</v>
      </c>
      <c r="AA185">
        <v>183</v>
      </c>
    </row>
    <row r="186" spans="10:27">
      <c r="J186">
        <v>822</v>
      </c>
      <c r="K186">
        <f t="shared" ref="K186:K249" si="20">$A$1*J186*$B$52^2</f>
        <v>83205224.372791409</v>
      </c>
      <c r="L186" s="30">
        <f t="shared" si="18"/>
        <v>832.05224372791406</v>
      </c>
      <c r="Y186">
        <v>933</v>
      </c>
      <c r="Z186" s="30">
        <f t="shared" si="19"/>
        <v>888.85853559897305</v>
      </c>
      <c r="AA186">
        <v>184</v>
      </c>
    </row>
    <row r="187" spans="10:27">
      <c r="J187">
        <v>821</v>
      </c>
      <c r="K187">
        <f t="shared" si="20"/>
        <v>83104001.472094581</v>
      </c>
      <c r="L187" s="30">
        <f t="shared" ref="L187:L250" si="21">K187/100000</f>
        <v>831.04001472094581</v>
      </c>
      <c r="Y187">
        <v>932</v>
      </c>
      <c r="Z187" s="30">
        <f t="shared" si="19"/>
        <v>887.84630659200491</v>
      </c>
      <c r="AA187">
        <v>185</v>
      </c>
    </row>
    <row r="188" spans="10:27">
      <c r="J188">
        <v>820</v>
      </c>
      <c r="K188">
        <f t="shared" si="20"/>
        <v>83002778.571397752</v>
      </c>
      <c r="L188" s="30">
        <f t="shared" si="21"/>
        <v>830.02778571397755</v>
      </c>
      <c r="Y188">
        <v>931</v>
      </c>
      <c r="Z188" s="30">
        <f t="shared" si="19"/>
        <v>886.83407758503665</v>
      </c>
      <c r="AA188">
        <v>186</v>
      </c>
    </row>
    <row r="189" spans="10:27">
      <c r="J189">
        <v>819</v>
      </c>
      <c r="K189">
        <f t="shared" si="20"/>
        <v>82901555.670700938</v>
      </c>
      <c r="L189" s="30">
        <f t="shared" si="21"/>
        <v>829.01555670700941</v>
      </c>
      <c r="Y189">
        <v>930</v>
      </c>
      <c r="Z189" s="30">
        <f t="shared" si="19"/>
        <v>885.82184857806828</v>
      </c>
      <c r="AA189">
        <v>187</v>
      </c>
    </row>
    <row r="190" spans="10:27">
      <c r="J190">
        <v>818</v>
      </c>
      <c r="K190">
        <f t="shared" si="20"/>
        <v>82800332.770004109</v>
      </c>
      <c r="L190" s="30">
        <f t="shared" si="21"/>
        <v>828.00332770004104</v>
      </c>
      <c r="Y190">
        <v>929</v>
      </c>
      <c r="Z190" s="30">
        <f t="shared" si="19"/>
        <v>884.80961957110003</v>
      </c>
      <c r="AA190">
        <v>188</v>
      </c>
    </row>
    <row r="191" spans="10:27">
      <c r="J191">
        <v>817</v>
      </c>
      <c r="K191">
        <f t="shared" si="20"/>
        <v>82699109.869307265</v>
      </c>
      <c r="L191" s="30">
        <f t="shared" si="21"/>
        <v>826.99109869307267</v>
      </c>
      <c r="Y191">
        <v>928</v>
      </c>
      <c r="Z191" s="30">
        <f t="shared" si="19"/>
        <v>883.79739056413189</v>
      </c>
      <c r="AA191">
        <v>189</v>
      </c>
    </row>
    <row r="192" spans="10:27">
      <c r="J192">
        <v>816</v>
      </c>
      <c r="K192">
        <f t="shared" si="20"/>
        <v>82597886.968610451</v>
      </c>
      <c r="L192" s="30">
        <f t="shared" si="21"/>
        <v>825.97886968610453</v>
      </c>
      <c r="Y192">
        <v>927</v>
      </c>
      <c r="Z192" s="30">
        <f t="shared" si="19"/>
        <v>882.78516155716363</v>
      </c>
      <c r="AA192">
        <v>190</v>
      </c>
    </row>
    <row r="193" spans="10:27">
      <c r="J193">
        <v>815</v>
      </c>
      <c r="K193">
        <f t="shared" si="20"/>
        <v>82496664.067913622</v>
      </c>
      <c r="L193" s="30">
        <f t="shared" si="21"/>
        <v>824.96664067913616</v>
      </c>
      <c r="Y193">
        <v>926</v>
      </c>
      <c r="Z193" s="30">
        <f t="shared" si="19"/>
        <v>881.77293255019515</v>
      </c>
      <c r="AA193">
        <v>191</v>
      </c>
    </row>
    <row r="194" spans="10:27">
      <c r="J194">
        <v>814</v>
      </c>
      <c r="K194">
        <f t="shared" si="20"/>
        <v>82395441.167216808</v>
      </c>
      <c r="L194" s="30">
        <f t="shared" si="21"/>
        <v>823.95441167216802</v>
      </c>
      <c r="Y194">
        <v>925</v>
      </c>
      <c r="Z194" s="30">
        <f t="shared" si="19"/>
        <v>880.76070354322701</v>
      </c>
      <c r="AA194">
        <v>192</v>
      </c>
    </row>
    <row r="195" spans="10:27">
      <c r="J195">
        <v>813</v>
      </c>
      <c r="K195">
        <f t="shared" si="20"/>
        <v>82294218.266519964</v>
      </c>
      <c r="L195" s="30">
        <f t="shared" si="21"/>
        <v>822.94218266519965</v>
      </c>
      <c r="Y195">
        <v>924</v>
      </c>
      <c r="Z195" s="30">
        <f t="shared" si="19"/>
        <v>879.74847453625875</v>
      </c>
      <c r="AA195">
        <v>193</v>
      </c>
    </row>
    <row r="196" spans="10:27">
      <c r="J196">
        <v>812</v>
      </c>
      <c r="K196">
        <f t="shared" si="20"/>
        <v>82192995.36582315</v>
      </c>
      <c r="L196" s="30">
        <f t="shared" si="21"/>
        <v>821.92995365823151</v>
      </c>
      <c r="Y196">
        <v>923</v>
      </c>
      <c r="Z196" s="30">
        <f t="shared" si="19"/>
        <v>878.7362455292905</v>
      </c>
      <c r="AA196">
        <v>194</v>
      </c>
    </row>
    <row r="197" spans="10:27">
      <c r="J197">
        <v>811</v>
      </c>
      <c r="K197">
        <f t="shared" si="20"/>
        <v>82091772.465126321</v>
      </c>
      <c r="L197" s="30">
        <f t="shared" si="21"/>
        <v>820.91772465126326</v>
      </c>
      <c r="Y197">
        <v>922</v>
      </c>
      <c r="Z197" s="30">
        <f t="shared" si="19"/>
        <v>877.72401652232213</v>
      </c>
      <c r="AA197">
        <v>195</v>
      </c>
    </row>
    <row r="198" spans="10:27">
      <c r="J198">
        <v>810</v>
      </c>
      <c r="K198">
        <f t="shared" si="20"/>
        <v>81990549.564429477</v>
      </c>
      <c r="L198" s="30">
        <f t="shared" si="21"/>
        <v>819.90549564429477</v>
      </c>
      <c r="Y198">
        <v>921</v>
      </c>
      <c r="Z198" s="30">
        <f t="shared" si="19"/>
        <v>876.71178751535399</v>
      </c>
      <c r="AA198">
        <v>196</v>
      </c>
    </row>
    <row r="199" spans="10:27">
      <c r="J199">
        <v>809</v>
      </c>
      <c r="K199">
        <f t="shared" si="20"/>
        <v>81889326.663732663</v>
      </c>
      <c r="L199" s="30">
        <f t="shared" si="21"/>
        <v>818.89326663732663</v>
      </c>
      <c r="Y199">
        <v>920</v>
      </c>
      <c r="Z199" s="30">
        <f t="shared" si="19"/>
        <v>875.69955850838573</v>
      </c>
      <c r="AA199">
        <v>197</v>
      </c>
    </row>
    <row r="200" spans="10:27">
      <c r="J200">
        <v>808</v>
      </c>
      <c r="K200">
        <f t="shared" si="20"/>
        <v>81788103.763035834</v>
      </c>
      <c r="L200" s="30">
        <f t="shared" si="21"/>
        <v>817.88103763035838</v>
      </c>
      <c r="Y200">
        <v>919</v>
      </c>
      <c r="Z200" s="30">
        <f t="shared" si="19"/>
        <v>874.68732950141748</v>
      </c>
      <c r="AA200">
        <v>198</v>
      </c>
    </row>
    <row r="201" spans="10:27">
      <c r="J201">
        <v>807</v>
      </c>
      <c r="K201">
        <f t="shared" si="20"/>
        <v>81686880.86233902</v>
      </c>
      <c r="L201" s="30">
        <f t="shared" si="21"/>
        <v>816.86880862339024</v>
      </c>
      <c r="Y201">
        <v>918</v>
      </c>
      <c r="Z201" s="30">
        <f t="shared" si="19"/>
        <v>873.67510049444911</v>
      </c>
      <c r="AA201">
        <v>199</v>
      </c>
    </row>
    <row r="202" spans="10:27">
      <c r="J202">
        <v>806</v>
      </c>
      <c r="K202">
        <f t="shared" si="20"/>
        <v>81585657.961642176</v>
      </c>
      <c r="L202" s="30">
        <f t="shared" si="21"/>
        <v>815.85657961642175</v>
      </c>
      <c r="Y202">
        <v>917</v>
      </c>
      <c r="Z202" s="30">
        <f t="shared" si="19"/>
        <v>872.66287148748086</v>
      </c>
      <c r="AA202">
        <v>200</v>
      </c>
    </row>
    <row r="203" spans="10:27">
      <c r="J203">
        <v>805</v>
      </c>
      <c r="K203">
        <f t="shared" si="20"/>
        <v>81484435.060945362</v>
      </c>
      <c r="L203" s="30">
        <f t="shared" si="21"/>
        <v>814.84435060945361</v>
      </c>
      <c r="Y203">
        <v>916</v>
      </c>
      <c r="Z203" s="30">
        <f t="shared" si="19"/>
        <v>871.65064248051272</v>
      </c>
      <c r="AA203">
        <v>201</v>
      </c>
    </row>
    <row r="204" spans="10:27">
      <c r="J204">
        <v>804</v>
      </c>
      <c r="K204">
        <f t="shared" si="20"/>
        <v>81383212.160248533</v>
      </c>
      <c r="L204" s="30">
        <f t="shared" si="21"/>
        <v>813.83212160248536</v>
      </c>
      <c r="Y204">
        <v>915</v>
      </c>
      <c r="Z204" s="30">
        <f t="shared" si="19"/>
        <v>870.63841347354423</v>
      </c>
      <c r="AA204">
        <v>202</v>
      </c>
    </row>
    <row r="205" spans="10:27">
      <c r="J205">
        <v>803</v>
      </c>
      <c r="K205">
        <f t="shared" si="20"/>
        <v>81281989.259551704</v>
      </c>
      <c r="L205" s="30">
        <f t="shared" si="21"/>
        <v>812.81989259551699</v>
      </c>
      <c r="Y205">
        <v>914</v>
      </c>
      <c r="Z205" s="30">
        <f t="shared" si="19"/>
        <v>869.62618446657609</v>
      </c>
      <c r="AA205">
        <v>203</v>
      </c>
    </row>
    <row r="206" spans="10:27">
      <c r="J206">
        <v>802</v>
      </c>
      <c r="K206">
        <f t="shared" si="20"/>
        <v>81180766.358854875</v>
      </c>
      <c r="L206" s="30">
        <f t="shared" si="21"/>
        <v>811.80766358854873</v>
      </c>
      <c r="Y206">
        <v>913</v>
      </c>
      <c r="Z206" s="30">
        <f t="shared" si="19"/>
        <v>868.61395545960784</v>
      </c>
      <c r="AA206">
        <v>204</v>
      </c>
    </row>
    <row r="207" spans="10:27">
      <c r="J207">
        <v>801</v>
      </c>
      <c r="K207">
        <f t="shared" si="20"/>
        <v>81079543.458158046</v>
      </c>
      <c r="L207" s="30">
        <f t="shared" si="21"/>
        <v>810.79543458158048</v>
      </c>
      <c r="Y207">
        <v>912</v>
      </c>
      <c r="Z207" s="30">
        <f t="shared" si="19"/>
        <v>867.60172645263958</v>
      </c>
      <c r="AA207">
        <v>205</v>
      </c>
    </row>
    <row r="208" spans="10:27">
      <c r="J208">
        <v>800</v>
      </c>
      <c r="K208">
        <f t="shared" si="20"/>
        <v>80978320.557461232</v>
      </c>
      <c r="L208" s="30">
        <f t="shared" si="21"/>
        <v>809.78320557461234</v>
      </c>
      <c r="Y208">
        <v>911</v>
      </c>
      <c r="Z208" s="30">
        <f t="shared" si="19"/>
        <v>866.58949744567133</v>
      </c>
      <c r="AA208">
        <v>206</v>
      </c>
    </row>
    <row r="209" spans="10:27">
      <c r="J209">
        <v>799</v>
      </c>
      <c r="K209">
        <f t="shared" si="20"/>
        <v>80877097.656764388</v>
      </c>
      <c r="L209" s="30">
        <f t="shared" si="21"/>
        <v>808.77097656764386</v>
      </c>
      <c r="Y209">
        <v>910</v>
      </c>
      <c r="Z209" s="30">
        <f t="shared" si="19"/>
        <v>865.57726843870296</v>
      </c>
      <c r="AA209">
        <v>207</v>
      </c>
    </row>
    <row r="210" spans="10:27">
      <c r="J210">
        <v>798</v>
      </c>
      <c r="K210">
        <f t="shared" si="20"/>
        <v>80775874.756067574</v>
      </c>
      <c r="L210" s="30">
        <f t="shared" si="21"/>
        <v>807.75874756067572</v>
      </c>
      <c r="Y210">
        <v>909</v>
      </c>
      <c r="Z210" s="30">
        <f t="shared" si="19"/>
        <v>864.56503943173482</v>
      </c>
      <c r="AA210">
        <v>208</v>
      </c>
    </row>
    <row r="211" spans="10:27">
      <c r="J211">
        <v>797</v>
      </c>
      <c r="K211">
        <f t="shared" si="20"/>
        <v>80674651.855370745</v>
      </c>
      <c r="L211" s="30">
        <f t="shared" si="21"/>
        <v>806.74651855370746</v>
      </c>
      <c r="Y211">
        <v>908</v>
      </c>
      <c r="Z211" s="30">
        <f t="shared" si="19"/>
        <v>863.55281042476645</v>
      </c>
      <c r="AA211">
        <v>209</v>
      </c>
    </row>
    <row r="212" spans="10:27">
      <c r="J212">
        <v>796</v>
      </c>
      <c r="K212">
        <f t="shared" si="20"/>
        <v>80573428.954673931</v>
      </c>
      <c r="L212" s="30">
        <f t="shared" si="21"/>
        <v>805.73428954673932</v>
      </c>
      <c r="Y212">
        <v>907</v>
      </c>
      <c r="Z212" s="30">
        <f t="shared" si="19"/>
        <v>862.54058141779831</v>
      </c>
      <c r="AA212">
        <v>210</v>
      </c>
    </row>
    <row r="213" spans="10:27">
      <c r="J213">
        <v>795</v>
      </c>
      <c r="K213">
        <f t="shared" si="20"/>
        <v>80472206.053977087</v>
      </c>
      <c r="L213" s="30">
        <f t="shared" si="21"/>
        <v>804.72206053977084</v>
      </c>
      <c r="Y213">
        <v>906</v>
      </c>
      <c r="Z213" s="30">
        <f t="shared" si="19"/>
        <v>861.52835241082994</v>
      </c>
      <c r="AA213">
        <v>211</v>
      </c>
    </row>
    <row r="214" spans="10:27">
      <c r="J214">
        <v>794</v>
      </c>
      <c r="K214">
        <f t="shared" si="20"/>
        <v>80370983.153280258</v>
      </c>
      <c r="L214" s="30">
        <f t="shared" si="21"/>
        <v>803.70983153280258</v>
      </c>
      <c r="Y214">
        <v>905</v>
      </c>
      <c r="Z214" s="30">
        <f t="shared" ref="Z214:Z277" si="22">L187+$H$68</f>
        <v>860.51612340386168</v>
      </c>
      <c r="AA214">
        <v>212</v>
      </c>
    </row>
    <row r="215" spans="10:27">
      <c r="J215">
        <v>793</v>
      </c>
      <c r="K215">
        <f t="shared" si="20"/>
        <v>80269760.252583444</v>
      </c>
      <c r="L215" s="30">
        <f t="shared" si="21"/>
        <v>802.69760252583444</v>
      </c>
      <c r="Y215">
        <v>904</v>
      </c>
      <c r="Z215" s="30">
        <f t="shared" si="22"/>
        <v>859.50389439689343</v>
      </c>
      <c r="AA215">
        <v>213</v>
      </c>
    </row>
    <row r="216" spans="10:27">
      <c r="J216">
        <v>792</v>
      </c>
      <c r="K216">
        <f t="shared" si="20"/>
        <v>80168537.351886615</v>
      </c>
      <c r="L216" s="30">
        <f t="shared" si="21"/>
        <v>801.68537351886619</v>
      </c>
      <c r="Y216">
        <v>903</v>
      </c>
      <c r="Z216" s="30">
        <f t="shared" si="22"/>
        <v>858.49166538992529</v>
      </c>
      <c r="AA216">
        <v>214</v>
      </c>
    </row>
    <row r="217" spans="10:27">
      <c r="J217">
        <v>791</v>
      </c>
      <c r="K217">
        <f t="shared" si="20"/>
        <v>80067314.451189786</v>
      </c>
      <c r="L217" s="30">
        <f t="shared" si="21"/>
        <v>800.67314451189782</v>
      </c>
      <c r="Y217">
        <v>902</v>
      </c>
      <c r="Z217" s="30">
        <f t="shared" si="22"/>
        <v>857.47943638295692</v>
      </c>
      <c r="AA217">
        <v>215</v>
      </c>
    </row>
    <row r="218" spans="10:27">
      <c r="J218">
        <v>790</v>
      </c>
      <c r="K218">
        <f t="shared" si="20"/>
        <v>79966091.550492957</v>
      </c>
      <c r="L218" s="30">
        <f t="shared" si="21"/>
        <v>799.66091550492956</v>
      </c>
      <c r="Y218">
        <v>901</v>
      </c>
      <c r="Z218" s="30">
        <f t="shared" si="22"/>
        <v>856.46720737598855</v>
      </c>
      <c r="AA218">
        <v>216</v>
      </c>
    </row>
    <row r="219" spans="10:27">
      <c r="J219">
        <v>789</v>
      </c>
      <c r="K219">
        <f t="shared" si="20"/>
        <v>79864868.649796143</v>
      </c>
      <c r="L219" s="30">
        <f t="shared" si="21"/>
        <v>798.64868649796142</v>
      </c>
      <c r="Y219">
        <v>900</v>
      </c>
      <c r="Z219" s="30">
        <f t="shared" si="22"/>
        <v>855.45497836902041</v>
      </c>
      <c r="AA219">
        <v>217</v>
      </c>
    </row>
    <row r="220" spans="10:27">
      <c r="J220">
        <v>788</v>
      </c>
      <c r="K220">
        <f t="shared" si="20"/>
        <v>79763645.749099299</v>
      </c>
      <c r="L220" s="30">
        <f t="shared" si="21"/>
        <v>797.63645749099294</v>
      </c>
      <c r="Y220">
        <v>899</v>
      </c>
      <c r="Z220" s="30">
        <f t="shared" si="22"/>
        <v>854.44274936205204</v>
      </c>
      <c r="AA220">
        <v>218</v>
      </c>
    </row>
    <row r="221" spans="10:27">
      <c r="J221">
        <v>787</v>
      </c>
      <c r="K221">
        <f t="shared" si="20"/>
        <v>79662422.84840247</v>
      </c>
      <c r="L221" s="30">
        <f t="shared" si="21"/>
        <v>796.62422848402468</v>
      </c>
      <c r="Y221">
        <v>898</v>
      </c>
      <c r="Z221" s="30">
        <f t="shared" si="22"/>
        <v>853.4305203550839</v>
      </c>
      <c r="AA221">
        <v>219</v>
      </c>
    </row>
    <row r="222" spans="10:27">
      <c r="J222">
        <v>786</v>
      </c>
      <c r="K222">
        <f t="shared" si="20"/>
        <v>79561199.947705656</v>
      </c>
      <c r="L222" s="30">
        <f t="shared" si="21"/>
        <v>795.61199947705654</v>
      </c>
      <c r="Y222">
        <v>897</v>
      </c>
      <c r="Z222" s="30">
        <f t="shared" si="22"/>
        <v>852.41829134811553</v>
      </c>
      <c r="AA222">
        <v>220</v>
      </c>
    </row>
    <row r="223" spans="10:27">
      <c r="J223">
        <v>785</v>
      </c>
      <c r="K223">
        <f t="shared" si="20"/>
        <v>79459977.047008827</v>
      </c>
      <c r="L223" s="30">
        <f t="shared" si="21"/>
        <v>794.59977047008829</v>
      </c>
      <c r="Y223">
        <v>896</v>
      </c>
      <c r="Z223" s="30">
        <f t="shared" si="22"/>
        <v>851.40606234114739</v>
      </c>
      <c r="AA223">
        <v>221</v>
      </c>
    </row>
    <row r="224" spans="10:27">
      <c r="J224">
        <v>784</v>
      </c>
      <c r="K224">
        <f t="shared" si="20"/>
        <v>79358754.146311998</v>
      </c>
      <c r="L224" s="30">
        <f t="shared" si="21"/>
        <v>793.58754146312003</v>
      </c>
      <c r="Y224">
        <v>895</v>
      </c>
      <c r="Z224" s="30">
        <f t="shared" si="22"/>
        <v>850.39383333417913</v>
      </c>
      <c r="AA224">
        <v>222</v>
      </c>
    </row>
    <row r="225" spans="10:27">
      <c r="J225">
        <v>783</v>
      </c>
      <c r="K225">
        <f t="shared" si="20"/>
        <v>79257531.245615169</v>
      </c>
      <c r="L225" s="30">
        <f t="shared" si="21"/>
        <v>792.57531245615166</v>
      </c>
      <c r="Y225">
        <v>894</v>
      </c>
      <c r="Z225" s="30">
        <f t="shared" si="22"/>
        <v>849.38160432721065</v>
      </c>
      <c r="AA225">
        <v>223</v>
      </c>
    </row>
    <row r="226" spans="10:27">
      <c r="J226">
        <v>782</v>
      </c>
      <c r="K226">
        <f t="shared" si="20"/>
        <v>79156308.344918355</v>
      </c>
      <c r="L226" s="30">
        <f t="shared" si="21"/>
        <v>791.56308344918352</v>
      </c>
      <c r="Y226">
        <v>893</v>
      </c>
      <c r="Z226" s="30">
        <f t="shared" si="22"/>
        <v>848.36937532024251</v>
      </c>
      <c r="AA226">
        <v>224</v>
      </c>
    </row>
    <row r="227" spans="10:27">
      <c r="J227">
        <v>781</v>
      </c>
      <c r="K227">
        <f t="shared" si="20"/>
        <v>79055085.444221526</v>
      </c>
      <c r="L227" s="30">
        <f t="shared" si="21"/>
        <v>790.55085444221527</v>
      </c>
      <c r="Y227">
        <v>892</v>
      </c>
      <c r="Z227" s="30">
        <f t="shared" si="22"/>
        <v>847.35714631327426</v>
      </c>
      <c r="AA227">
        <v>225</v>
      </c>
    </row>
    <row r="228" spans="10:27">
      <c r="J228">
        <v>780</v>
      </c>
      <c r="K228">
        <f t="shared" si="20"/>
        <v>78953862.543524697</v>
      </c>
      <c r="L228" s="30">
        <f t="shared" si="21"/>
        <v>789.53862543524701</v>
      </c>
      <c r="Y228">
        <v>891</v>
      </c>
      <c r="Z228" s="30">
        <f t="shared" si="22"/>
        <v>846.34491730630612</v>
      </c>
      <c r="AA228">
        <v>226</v>
      </c>
    </row>
    <row r="229" spans="10:27">
      <c r="J229">
        <v>779</v>
      </c>
      <c r="K229">
        <f t="shared" si="20"/>
        <v>78852639.642827868</v>
      </c>
      <c r="L229" s="30">
        <f t="shared" si="21"/>
        <v>788.52639642827864</v>
      </c>
      <c r="Y229">
        <v>890</v>
      </c>
      <c r="Z229" s="30">
        <f t="shared" si="22"/>
        <v>845.33268829933763</v>
      </c>
      <c r="AA229">
        <v>227</v>
      </c>
    </row>
    <row r="230" spans="10:27">
      <c r="J230">
        <v>778</v>
      </c>
      <c r="K230">
        <f t="shared" si="20"/>
        <v>78751416.74213104</v>
      </c>
      <c r="L230" s="30">
        <f t="shared" si="21"/>
        <v>787.51416742131039</v>
      </c>
      <c r="Y230">
        <v>889</v>
      </c>
      <c r="Z230" s="30">
        <f t="shared" si="22"/>
        <v>844.32045929236949</v>
      </c>
      <c r="AA230">
        <v>228</v>
      </c>
    </row>
    <row r="231" spans="10:27">
      <c r="J231">
        <v>777</v>
      </c>
      <c r="K231">
        <f t="shared" si="20"/>
        <v>78650193.841434211</v>
      </c>
      <c r="L231" s="30">
        <f t="shared" si="21"/>
        <v>786.50193841434213</v>
      </c>
      <c r="Y231">
        <v>888</v>
      </c>
      <c r="Z231" s="30">
        <f t="shared" si="22"/>
        <v>843.30823028540124</v>
      </c>
      <c r="AA231">
        <v>229</v>
      </c>
    </row>
    <row r="232" spans="10:27">
      <c r="J232">
        <v>776</v>
      </c>
      <c r="K232">
        <f t="shared" si="20"/>
        <v>78548970.940737382</v>
      </c>
      <c r="L232" s="30">
        <f t="shared" si="21"/>
        <v>785.48970940737377</v>
      </c>
      <c r="Y232">
        <v>887</v>
      </c>
      <c r="Z232" s="30">
        <f t="shared" si="22"/>
        <v>842.29600127843287</v>
      </c>
      <c r="AA232">
        <v>230</v>
      </c>
    </row>
    <row r="233" spans="10:27">
      <c r="J233">
        <v>775</v>
      </c>
      <c r="K233">
        <f t="shared" si="20"/>
        <v>78447748.040040568</v>
      </c>
      <c r="L233" s="30">
        <f t="shared" si="21"/>
        <v>784.47748040040563</v>
      </c>
      <c r="Y233">
        <v>886</v>
      </c>
      <c r="Z233" s="30">
        <f t="shared" si="22"/>
        <v>841.28377227146461</v>
      </c>
      <c r="AA233">
        <v>231</v>
      </c>
    </row>
    <row r="234" spans="10:27">
      <c r="J234">
        <v>774</v>
      </c>
      <c r="K234">
        <f t="shared" si="20"/>
        <v>78346525.139343739</v>
      </c>
      <c r="L234" s="30">
        <f t="shared" si="21"/>
        <v>783.46525139343737</v>
      </c>
      <c r="Y234">
        <v>885</v>
      </c>
      <c r="Z234" s="30">
        <f t="shared" si="22"/>
        <v>840.27154326449636</v>
      </c>
      <c r="AA234">
        <v>232</v>
      </c>
    </row>
    <row r="235" spans="10:27">
      <c r="J235">
        <v>773</v>
      </c>
      <c r="K235">
        <f t="shared" si="20"/>
        <v>78245302.23864691</v>
      </c>
      <c r="L235" s="30">
        <f t="shared" si="21"/>
        <v>782.45302238646912</v>
      </c>
      <c r="Y235">
        <v>884</v>
      </c>
      <c r="Z235" s="30">
        <f t="shared" si="22"/>
        <v>839.25931425752822</v>
      </c>
      <c r="AA235">
        <v>233</v>
      </c>
    </row>
    <row r="236" spans="10:27">
      <c r="J236">
        <v>772</v>
      </c>
      <c r="K236">
        <f t="shared" si="20"/>
        <v>78144079.337950081</v>
      </c>
      <c r="L236" s="30">
        <f t="shared" si="21"/>
        <v>781.44079337950086</v>
      </c>
      <c r="Y236">
        <v>883</v>
      </c>
      <c r="Z236" s="30">
        <f t="shared" si="22"/>
        <v>838.24708525055973</v>
      </c>
      <c r="AA236">
        <v>234</v>
      </c>
    </row>
    <row r="237" spans="10:27">
      <c r="J237">
        <v>771</v>
      </c>
      <c r="K237">
        <f t="shared" si="20"/>
        <v>78042856.437253252</v>
      </c>
      <c r="L237" s="30">
        <f t="shared" si="21"/>
        <v>780.42856437253249</v>
      </c>
      <c r="Y237">
        <v>882</v>
      </c>
      <c r="Z237" s="30">
        <f t="shared" si="22"/>
        <v>837.23485624359159</v>
      </c>
      <c r="AA237">
        <v>235</v>
      </c>
    </row>
    <row r="238" spans="10:27">
      <c r="J238">
        <v>770</v>
      </c>
      <c r="K238">
        <f t="shared" si="20"/>
        <v>77941633.536556438</v>
      </c>
      <c r="L238" s="30">
        <f t="shared" si="21"/>
        <v>779.41633536556435</v>
      </c>
      <c r="Y238">
        <v>881</v>
      </c>
      <c r="Z238" s="30">
        <f t="shared" si="22"/>
        <v>836.22262723662334</v>
      </c>
      <c r="AA238">
        <v>236</v>
      </c>
    </row>
    <row r="239" spans="10:27">
      <c r="J239">
        <v>769</v>
      </c>
      <c r="K239">
        <f t="shared" si="20"/>
        <v>77840410.635859594</v>
      </c>
      <c r="L239" s="30">
        <f t="shared" si="21"/>
        <v>778.40410635859598</v>
      </c>
      <c r="Y239">
        <v>880</v>
      </c>
      <c r="Z239" s="30">
        <f t="shared" si="22"/>
        <v>835.2103982296552</v>
      </c>
      <c r="AA239">
        <v>237</v>
      </c>
    </row>
    <row r="240" spans="10:27">
      <c r="J240">
        <v>768</v>
      </c>
      <c r="K240">
        <f t="shared" si="20"/>
        <v>77739187.73516278</v>
      </c>
      <c r="L240" s="30">
        <f t="shared" si="21"/>
        <v>777.39187735162784</v>
      </c>
      <c r="Y240">
        <v>879</v>
      </c>
      <c r="Z240" s="30">
        <f t="shared" si="22"/>
        <v>834.19816922268672</v>
      </c>
      <c r="AA240">
        <v>238</v>
      </c>
    </row>
    <row r="241" spans="10:27">
      <c r="J241">
        <v>767</v>
      </c>
      <c r="K241">
        <f t="shared" si="20"/>
        <v>77637964.834465951</v>
      </c>
      <c r="L241" s="30">
        <f t="shared" si="21"/>
        <v>776.37964834465947</v>
      </c>
      <c r="Y241">
        <v>878</v>
      </c>
      <c r="Z241" s="30">
        <f t="shared" si="22"/>
        <v>833.18594021571846</v>
      </c>
      <c r="AA241">
        <v>239</v>
      </c>
    </row>
    <row r="242" spans="10:27">
      <c r="J242">
        <v>766</v>
      </c>
      <c r="K242">
        <f t="shared" si="20"/>
        <v>77536741.933769122</v>
      </c>
      <c r="L242" s="30">
        <f t="shared" si="21"/>
        <v>775.36741933769122</v>
      </c>
      <c r="Y242">
        <v>877</v>
      </c>
      <c r="Z242" s="30">
        <f t="shared" si="22"/>
        <v>832.17371120875032</v>
      </c>
      <c r="AA242">
        <v>240</v>
      </c>
    </row>
    <row r="243" spans="10:27">
      <c r="J243">
        <v>765</v>
      </c>
      <c r="K243">
        <f t="shared" si="20"/>
        <v>77435519.033072293</v>
      </c>
      <c r="L243" s="30">
        <f t="shared" si="21"/>
        <v>774.35519033072296</v>
      </c>
      <c r="Y243">
        <v>876</v>
      </c>
      <c r="Z243" s="30">
        <f t="shared" si="22"/>
        <v>831.16148220178206</v>
      </c>
      <c r="AA243">
        <v>241</v>
      </c>
    </row>
    <row r="244" spans="10:27">
      <c r="J244">
        <v>764</v>
      </c>
      <c r="K244">
        <f t="shared" si="20"/>
        <v>77334296.132375479</v>
      </c>
      <c r="L244" s="30">
        <f t="shared" si="21"/>
        <v>773.34296132375482</v>
      </c>
      <c r="Y244">
        <v>875</v>
      </c>
      <c r="Z244" s="30">
        <f t="shared" si="22"/>
        <v>830.1492531948137</v>
      </c>
      <c r="AA244">
        <v>242</v>
      </c>
    </row>
    <row r="245" spans="10:27">
      <c r="J245">
        <v>763</v>
      </c>
      <c r="K245">
        <f t="shared" si="20"/>
        <v>77233073.23167865</v>
      </c>
      <c r="L245" s="30">
        <f t="shared" si="21"/>
        <v>772.33073231678645</v>
      </c>
      <c r="Y245">
        <v>874</v>
      </c>
      <c r="Z245" s="30">
        <f t="shared" si="22"/>
        <v>829.13702418784544</v>
      </c>
      <c r="AA245">
        <v>243</v>
      </c>
    </row>
    <row r="246" spans="10:27">
      <c r="J246">
        <v>762</v>
      </c>
      <c r="K246">
        <f t="shared" si="20"/>
        <v>77131850.330981806</v>
      </c>
      <c r="L246" s="30">
        <f t="shared" si="21"/>
        <v>771.31850330981808</v>
      </c>
      <c r="Y246">
        <v>873</v>
      </c>
      <c r="Z246" s="30">
        <f t="shared" si="22"/>
        <v>828.1247951808773</v>
      </c>
      <c r="AA246">
        <v>244</v>
      </c>
    </row>
    <row r="247" spans="10:27">
      <c r="J247">
        <v>761</v>
      </c>
      <c r="K247">
        <f t="shared" si="20"/>
        <v>77030627.430284992</v>
      </c>
      <c r="L247" s="30">
        <f t="shared" si="21"/>
        <v>770.30627430284994</v>
      </c>
      <c r="Y247">
        <v>872</v>
      </c>
      <c r="Z247" s="30">
        <f t="shared" si="22"/>
        <v>827.11256617390882</v>
      </c>
      <c r="AA247">
        <v>245</v>
      </c>
    </row>
    <row r="248" spans="10:27">
      <c r="J248">
        <v>760</v>
      </c>
      <c r="K248">
        <f t="shared" si="20"/>
        <v>76929404.529588163</v>
      </c>
      <c r="L248" s="30">
        <f t="shared" si="21"/>
        <v>769.29404529588157</v>
      </c>
      <c r="Y248">
        <v>871</v>
      </c>
      <c r="Z248" s="30">
        <f t="shared" si="22"/>
        <v>826.10033716694056</v>
      </c>
      <c r="AA248">
        <v>246</v>
      </c>
    </row>
    <row r="249" spans="10:27">
      <c r="J249">
        <v>759</v>
      </c>
      <c r="K249">
        <f t="shared" si="20"/>
        <v>76828181.628891349</v>
      </c>
      <c r="L249" s="30">
        <f t="shared" si="21"/>
        <v>768.28181628891343</v>
      </c>
      <c r="Y249">
        <v>870</v>
      </c>
      <c r="Z249" s="30">
        <f t="shared" si="22"/>
        <v>825.08810815997242</v>
      </c>
      <c r="AA249">
        <v>247</v>
      </c>
    </row>
    <row r="250" spans="10:27">
      <c r="J250">
        <v>758</v>
      </c>
      <c r="K250">
        <f t="shared" ref="K250:K313" si="23">$A$1*J250*$B$52^2</f>
        <v>76726958.728194505</v>
      </c>
      <c r="L250" s="30">
        <f t="shared" si="21"/>
        <v>767.26958728194506</v>
      </c>
      <c r="Y250">
        <v>869</v>
      </c>
      <c r="Z250" s="30">
        <f t="shared" si="22"/>
        <v>824.07587915300417</v>
      </c>
      <c r="AA250">
        <v>248</v>
      </c>
    </row>
    <row r="251" spans="10:27">
      <c r="J251">
        <v>757</v>
      </c>
      <c r="K251">
        <f t="shared" si="23"/>
        <v>76625735.827497691</v>
      </c>
      <c r="L251" s="30">
        <f t="shared" ref="L251:L314" si="24">K251/100000</f>
        <v>766.25735827497692</v>
      </c>
      <c r="Y251">
        <v>868</v>
      </c>
      <c r="Z251" s="30">
        <f t="shared" si="22"/>
        <v>823.06365014603591</v>
      </c>
      <c r="AA251">
        <v>249</v>
      </c>
    </row>
    <row r="252" spans="10:27">
      <c r="J252">
        <v>756</v>
      </c>
      <c r="K252">
        <f t="shared" si="23"/>
        <v>76524512.926800862</v>
      </c>
      <c r="L252" s="30">
        <f t="shared" si="24"/>
        <v>765.24512926800867</v>
      </c>
      <c r="Y252">
        <v>867</v>
      </c>
      <c r="Z252" s="30">
        <f t="shared" si="22"/>
        <v>822.05142113906754</v>
      </c>
      <c r="AA252">
        <v>250</v>
      </c>
    </row>
    <row r="253" spans="10:27">
      <c r="J253">
        <v>755</v>
      </c>
      <c r="K253">
        <f t="shared" si="23"/>
        <v>76423290.026104018</v>
      </c>
      <c r="L253" s="30">
        <f t="shared" si="24"/>
        <v>764.23290026104019</v>
      </c>
      <c r="Y253">
        <v>866</v>
      </c>
      <c r="Z253" s="30">
        <f t="shared" si="22"/>
        <v>821.0391921320994</v>
      </c>
      <c r="AA253">
        <v>251</v>
      </c>
    </row>
    <row r="254" spans="10:27">
      <c r="J254">
        <v>754</v>
      </c>
      <c r="K254">
        <f t="shared" si="23"/>
        <v>76322067.125407204</v>
      </c>
      <c r="L254" s="30">
        <f t="shared" si="24"/>
        <v>763.22067125407204</v>
      </c>
      <c r="Y254">
        <v>865</v>
      </c>
      <c r="Z254" s="30">
        <f t="shared" si="22"/>
        <v>820.02696312513115</v>
      </c>
      <c r="AA254">
        <v>252</v>
      </c>
    </row>
    <row r="255" spans="10:27">
      <c r="J255">
        <v>753</v>
      </c>
      <c r="K255">
        <f t="shared" si="23"/>
        <v>76220844.224710375</v>
      </c>
      <c r="L255" s="30">
        <f t="shared" si="24"/>
        <v>762.20844224710379</v>
      </c>
      <c r="Y255">
        <v>864</v>
      </c>
      <c r="Z255" s="30">
        <f t="shared" si="22"/>
        <v>819.01473411816289</v>
      </c>
      <c r="AA255">
        <v>253</v>
      </c>
    </row>
    <row r="256" spans="10:27">
      <c r="J256">
        <v>752</v>
      </c>
      <c r="K256">
        <f t="shared" si="23"/>
        <v>76119621.324013561</v>
      </c>
      <c r="L256" s="30">
        <f t="shared" si="24"/>
        <v>761.19621324013565</v>
      </c>
      <c r="Y256">
        <v>863</v>
      </c>
      <c r="Z256" s="30">
        <f t="shared" si="22"/>
        <v>818.00250511119452</v>
      </c>
      <c r="AA256">
        <v>254</v>
      </c>
    </row>
    <row r="257" spans="10:27">
      <c r="J257">
        <v>751</v>
      </c>
      <c r="K257">
        <f t="shared" si="23"/>
        <v>76018398.423316717</v>
      </c>
      <c r="L257" s="30">
        <f t="shared" si="24"/>
        <v>760.18398423316717</v>
      </c>
      <c r="Y257">
        <v>862</v>
      </c>
      <c r="Z257" s="30">
        <f t="shared" si="22"/>
        <v>816.99027610422627</v>
      </c>
      <c r="AA257">
        <v>255</v>
      </c>
    </row>
    <row r="258" spans="10:27">
      <c r="J258">
        <v>750</v>
      </c>
      <c r="K258">
        <f t="shared" si="23"/>
        <v>75917175.522619903</v>
      </c>
      <c r="L258" s="30">
        <f t="shared" si="24"/>
        <v>759.17175522619902</v>
      </c>
      <c r="Y258">
        <v>861</v>
      </c>
      <c r="Z258" s="30">
        <f t="shared" si="22"/>
        <v>815.97804709725801</v>
      </c>
      <c r="AA258">
        <v>256</v>
      </c>
    </row>
    <row r="259" spans="10:27">
      <c r="J259">
        <v>749</v>
      </c>
      <c r="K259">
        <f t="shared" si="23"/>
        <v>75815952.621923074</v>
      </c>
      <c r="L259" s="30">
        <f t="shared" si="24"/>
        <v>758.15952621923077</v>
      </c>
      <c r="Y259">
        <v>860</v>
      </c>
      <c r="Z259" s="30">
        <f t="shared" si="22"/>
        <v>814.96581809028964</v>
      </c>
      <c r="AA259">
        <v>257</v>
      </c>
    </row>
    <row r="260" spans="10:27">
      <c r="J260">
        <v>748</v>
      </c>
      <c r="K260">
        <f t="shared" si="23"/>
        <v>75714729.721226245</v>
      </c>
      <c r="L260" s="30">
        <f t="shared" si="24"/>
        <v>757.1472972122624</v>
      </c>
      <c r="Y260">
        <v>859</v>
      </c>
      <c r="Z260" s="30">
        <f t="shared" si="22"/>
        <v>813.9535890833215</v>
      </c>
      <c r="AA260">
        <v>258</v>
      </c>
    </row>
    <row r="261" spans="10:27">
      <c r="J261">
        <v>747</v>
      </c>
      <c r="K261">
        <f t="shared" si="23"/>
        <v>75613506.820529416</v>
      </c>
      <c r="L261" s="30">
        <f t="shared" si="24"/>
        <v>756.13506820529415</v>
      </c>
      <c r="Y261">
        <v>858</v>
      </c>
      <c r="Z261" s="30">
        <f t="shared" si="22"/>
        <v>812.94136007635325</v>
      </c>
      <c r="AA261">
        <v>259</v>
      </c>
    </row>
    <row r="262" spans="10:27">
      <c r="J262">
        <v>746</v>
      </c>
      <c r="K262">
        <f t="shared" si="23"/>
        <v>75512283.919832587</v>
      </c>
      <c r="L262" s="30">
        <f t="shared" si="24"/>
        <v>755.12283919832589</v>
      </c>
      <c r="Y262">
        <v>857</v>
      </c>
      <c r="Z262" s="30">
        <f t="shared" si="22"/>
        <v>811.92913106938499</v>
      </c>
      <c r="AA262">
        <v>260</v>
      </c>
    </row>
    <row r="263" spans="10:27">
      <c r="J263">
        <v>745</v>
      </c>
      <c r="K263">
        <f t="shared" si="23"/>
        <v>75411061.019135773</v>
      </c>
      <c r="L263" s="30">
        <f t="shared" si="24"/>
        <v>754.11061019135775</v>
      </c>
      <c r="Y263">
        <v>856</v>
      </c>
      <c r="Z263" s="30">
        <f t="shared" si="22"/>
        <v>810.91690206241674</v>
      </c>
      <c r="AA263">
        <v>261</v>
      </c>
    </row>
    <row r="264" spans="10:27">
      <c r="J264">
        <v>744</v>
      </c>
      <c r="K264">
        <f t="shared" si="23"/>
        <v>75309838.118438929</v>
      </c>
      <c r="L264" s="30">
        <f t="shared" si="24"/>
        <v>753.09838118438927</v>
      </c>
      <c r="Y264">
        <v>855</v>
      </c>
      <c r="Z264" s="30">
        <f t="shared" si="22"/>
        <v>809.90467305544837</v>
      </c>
      <c r="AA264">
        <v>262</v>
      </c>
    </row>
    <row r="265" spans="10:27">
      <c r="J265">
        <v>743</v>
      </c>
      <c r="K265">
        <f t="shared" si="23"/>
        <v>75208615.217742115</v>
      </c>
      <c r="L265" s="30">
        <f t="shared" si="24"/>
        <v>752.08615217742113</v>
      </c>
      <c r="Y265">
        <v>854</v>
      </c>
      <c r="Z265" s="30">
        <f t="shared" si="22"/>
        <v>808.89244404848023</v>
      </c>
      <c r="AA265">
        <v>263</v>
      </c>
    </row>
    <row r="266" spans="10:27">
      <c r="J266">
        <v>742</v>
      </c>
      <c r="K266">
        <f t="shared" si="23"/>
        <v>75107392.317045286</v>
      </c>
      <c r="L266" s="30">
        <f t="shared" si="24"/>
        <v>751.07392317045287</v>
      </c>
      <c r="Y266">
        <v>853</v>
      </c>
      <c r="Z266" s="30">
        <f t="shared" si="22"/>
        <v>807.88021504151186</v>
      </c>
      <c r="AA266">
        <v>264</v>
      </c>
    </row>
    <row r="267" spans="10:27">
      <c r="J267">
        <v>741</v>
      </c>
      <c r="K267">
        <f t="shared" si="23"/>
        <v>75006169.416348472</v>
      </c>
      <c r="L267" s="30">
        <f t="shared" si="24"/>
        <v>750.06169416348473</v>
      </c>
      <c r="Y267">
        <v>852</v>
      </c>
      <c r="Z267" s="30">
        <f t="shared" si="22"/>
        <v>806.86798603454372</v>
      </c>
      <c r="AA267">
        <v>265</v>
      </c>
    </row>
    <row r="268" spans="10:27">
      <c r="J268">
        <v>740</v>
      </c>
      <c r="K268">
        <f t="shared" si="23"/>
        <v>74904946.515651628</v>
      </c>
      <c r="L268" s="30">
        <f t="shared" si="24"/>
        <v>749.04946515651625</v>
      </c>
      <c r="Y268">
        <v>851</v>
      </c>
      <c r="Z268" s="30">
        <f t="shared" si="22"/>
        <v>805.85575702757535</v>
      </c>
      <c r="AA268">
        <v>266</v>
      </c>
    </row>
    <row r="269" spans="10:27">
      <c r="J269">
        <v>739</v>
      </c>
      <c r="K269">
        <f t="shared" si="23"/>
        <v>74803723.614954799</v>
      </c>
      <c r="L269" s="30">
        <f t="shared" si="24"/>
        <v>748.03723614954799</v>
      </c>
      <c r="Y269">
        <v>850</v>
      </c>
      <c r="Z269" s="30">
        <f t="shared" si="22"/>
        <v>804.8435280206071</v>
      </c>
      <c r="AA269">
        <v>267</v>
      </c>
    </row>
    <row r="270" spans="10:27">
      <c r="J270">
        <v>738</v>
      </c>
      <c r="K270">
        <f t="shared" si="23"/>
        <v>74702500.714257985</v>
      </c>
      <c r="L270" s="30">
        <f t="shared" si="24"/>
        <v>747.02500714257985</v>
      </c>
      <c r="Y270">
        <v>849</v>
      </c>
      <c r="Z270" s="30">
        <f t="shared" si="22"/>
        <v>803.83129901363884</v>
      </c>
      <c r="AA270">
        <v>268</v>
      </c>
    </row>
    <row r="271" spans="10:27">
      <c r="J271">
        <v>737</v>
      </c>
      <c r="K271">
        <f t="shared" si="23"/>
        <v>74601277.813561156</v>
      </c>
      <c r="L271" s="30">
        <f t="shared" si="24"/>
        <v>746.0127781356116</v>
      </c>
      <c r="Y271">
        <v>848</v>
      </c>
      <c r="Z271" s="30">
        <f t="shared" si="22"/>
        <v>802.8190700066707</v>
      </c>
      <c r="AA271">
        <v>269</v>
      </c>
    </row>
    <row r="272" spans="10:27">
      <c r="J272">
        <v>736</v>
      </c>
      <c r="K272">
        <f t="shared" si="23"/>
        <v>74500054.912864327</v>
      </c>
      <c r="L272" s="30">
        <f t="shared" si="24"/>
        <v>745.00054912864323</v>
      </c>
      <c r="Y272">
        <v>847</v>
      </c>
      <c r="Z272" s="30">
        <f t="shared" si="22"/>
        <v>801.80684099970233</v>
      </c>
      <c r="AA272">
        <v>270</v>
      </c>
    </row>
    <row r="273" spans="10:27">
      <c r="J273">
        <v>735</v>
      </c>
      <c r="K273">
        <f t="shared" si="23"/>
        <v>74398832.012167498</v>
      </c>
      <c r="L273" s="30">
        <f t="shared" si="24"/>
        <v>743.98832012167497</v>
      </c>
      <c r="Y273">
        <v>846</v>
      </c>
      <c r="Z273" s="30">
        <f t="shared" si="22"/>
        <v>800.79461199273396</v>
      </c>
      <c r="AA273">
        <v>271</v>
      </c>
    </row>
    <row r="274" spans="10:27">
      <c r="J274">
        <v>734</v>
      </c>
      <c r="K274">
        <f t="shared" si="23"/>
        <v>74297609.111470684</v>
      </c>
      <c r="L274" s="30">
        <f t="shared" si="24"/>
        <v>742.97609111470683</v>
      </c>
      <c r="Y274">
        <v>845</v>
      </c>
      <c r="Z274" s="30">
        <f t="shared" si="22"/>
        <v>799.78238298576582</v>
      </c>
      <c r="AA274">
        <v>272</v>
      </c>
    </row>
    <row r="275" spans="10:27">
      <c r="J275">
        <v>733</v>
      </c>
      <c r="K275">
        <f t="shared" si="23"/>
        <v>74196386.210773841</v>
      </c>
      <c r="L275" s="30">
        <f t="shared" si="24"/>
        <v>741.96386210773835</v>
      </c>
      <c r="Y275">
        <v>844</v>
      </c>
      <c r="Z275" s="30">
        <f t="shared" si="22"/>
        <v>798.77015397879745</v>
      </c>
      <c r="AA275">
        <v>273</v>
      </c>
    </row>
    <row r="276" spans="10:27">
      <c r="J276">
        <v>732</v>
      </c>
      <c r="K276">
        <f t="shared" si="23"/>
        <v>74095163.310077012</v>
      </c>
      <c r="L276" s="30">
        <f t="shared" si="24"/>
        <v>740.9516331007701</v>
      </c>
      <c r="Y276">
        <v>843</v>
      </c>
      <c r="Z276" s="30">
        <f t="shared" si="22"/>
        <v>797.75792497182931</v>
      </c>
      <c r="AA276">
        <v>274</v>
      </c>
    </row>
    <row r="277" spans="10:27">
      <c r="J277">
        <v>731</v>
      </c>
      <c r="K277">
        <f t="shared" si="23"/>
        <v>73993940.409380198</v>
      </c>
      <c r="L277" s="30">
        <f t="shared" si="24"/>
        <v>739.93940409380195</v>
      </c>
      <c r="Y277">
        <v>842</v>
      </c>
      <c r="Z277" s="30">
        <f t="shared" si="22"/>
        <v>796.74569596486094</v>
      </c>
      <c r="AA277">
        <v>275</v>
      </c>
    </row>
    <row r="278" spans="10:27">
      <c r="J278">
        <v>730</v>
      </c>
      <c r="K278">
        <f t="shared" si="23"/>
        <v>73892717.508683369</v>
      </c>
      <c r="L278" s="30">
        <f t="shared" si="24"/>
        <v>738.9271750868337</v>
      </c>
      <c r="Y278">
        <v>841</v>
      </c>
      <c r="Z278" s="30">
        <f t="shared" ref="Z278:Z341" si="25">L251+$H$68</f>
        <v>795.7334669578928</v>
      </c>
      <c r="AA278">
        <v>276</v>
      </c>
    </row>
    <row r="279" spans="10:27">
      <c r="J279">
        <v>729</v>
      </c>
      <c r="K279">
        <f t="shared" si="23"/>
        <v>73791494.60798654</v>
      </c>
      <c r="L279" s="30">
        <f t="shared" si="24"/>
        <v>737.91494607986544</v>
      </c>
      <c r="Y279">
        <v>840</v>
      </c>
      <c r="Z279" s="30">
        <f t="shared" si="25"/>
        <v>794.72123795092455</v>
      </c>
      <c r="AA279">
        <v>277</v>
      </c>
    </row>
    <row r="280" spans="10:27">
      <c r="J280">
        <v>728</v>
      </c>
      <c r="K280">
        <f t="shared" si="23"/>
        <v>73690271.707289711</v>
      </c>
      <c r="L280" s="30">
        <f t="shared" si="24"/>
        <v>736.90271707289708</v>
      </c>
      <c r="Y280">
        <v>839</v>
      </c>
      <c r="Z280" s="30">
        <f t="shared" si="25"/>
        <v>793.70900894395606</v>
      </c>
      <c r="AA280">
        <v>278</v>
      </c>
    </row>
    <row r="281" spans="10:27">
      <c r="J281">
        <v>727</v>
      </c>
      <c r="K281">
        <f t="shared" si="23"/>
        <v>73589048.806592897</v>
      </c>
      <c r="L281" s="30">
        <f t="shared" si="24"/>
        <v>735.89048806592893</v>
      </c>
      <c r="Y281">
        <v>838</v>
      </c>
      <c r="Z281" s="30">
        <f t="shared" si="25"/>
        <v>792.69677993698792</v>
      </c>
      <c r="AA281">
        <v>279</v>
      </c>
    </row>
    <row r="282" spans="10:27">
      <c r="J282">
        <v>726</v>
      </c>
      <c r="K282">
        <f t="shared" si="23"/>
        <v>73487825.905896068</v>
      </c>
      <c r="L282" s="30">
        <f t="shared" si="24"/>
        <v>734.87825905896068</v>
      </c>
      <c r="Y282">
        <v>837</v>
      </c>
      <c r="Z282" s="30">
        <f t="shared" si="25"/>
        <v>791.68455093001967</v>
      </c>
      <c r="AA282">
        <v>280</v>
      </c>
    </row>
    <row r="283" spans="10:27">
      <c r="J283">
        <v>725</v>
      </c>
      <c r="K283">
        <f t="shared" si="23"/>
        <v>73386603.005199239</v>
      </c>
      <c r="L283" s="30">
        <f t="shared" si="24"/>
        <v>733.86603005199242</v>
      </c>
      <c r="Y283">
        <v>836</v>
      </c>
      <c r="Z283" s="30">
        <f t="shared" si="25"/>
        <v>790.67232192305153</v>
      </c>
      <c r="AA283">
        <v>281</v>
      </c>
    </row>
    <row r="284" spans="10:27">
      <c r="J284">
        <v>724</v>
      </c>
      <c r="K284">
        <f t="shared" si="23"/>
        <v>73285380.10450241</v>
      </c>
      <c r="L284" s="30">
        <f t="shared" si="24"/>
        <v>732.85380104502406</v>
      </c>
      <c r="Y284">
        <v>835</v>
      </c>
      <c r="Z284" s="30">
        <f t="shared" si="25"/>
        <v>789.66009291608304</v>
      </c>
      <c r="AA284">
        <v>282</v>
      </c>
    </row>
    <row r="285" spans="10:27">
      <c r="J285">
        <v>723</v>
      </c>
      <c r="K285">
        <f t="shared" si="23"/>
        <v>73184157.203805581</v>
      </c>
      <c r="L285" s="30">
        <f t="shared" si="24"/>
        <v>731.8415720380558</v>
      </c>
      <c r="Y285">
        <v>834</v>
      </c>
      <c r="Z285" s="30">
        <f t="shared" si="25"/>
        <v>788.6478639091149</v>
      </c>
      <c r="AA285">
        <v>283</v>
      </c>
    </row>
    <row r="286" spans="10:27">
      <c r="J286">
        <v>722</v>
      </c>
      <c r="K286">
        <f t="shared" si="23"/>
        <v>73082934.303108752</v>
      </c>
      <c r="L286" s="30">
        <f t="shared" si="24"/>
        <v>730.82934303108755</v>
      </c>
      <c r="Y286">
        <v>833</v>
      </c>
      <c r="Z286" s="30">
        <f t="shared" si="25"/>
        <v>787.63563490214665</v>
      </c>
      <c r="AA286">
        <v>284</v>
      </c>
    </row>
    <row r="287" spans="10:27">
      <c r="J287">
        <v>721</v>
      </c>
      <c r="K287">
        <f t="shared" si="23"/>
        <v>72981711.402411923</v>
      </c>
      <c r="L287" s="30">
        <f t="shared" si="24"/>
        <v>729.81711402411918</v>
      </c>
      <c r="Y287">
        <v>832</v>
      </c>
      <c r="Z287" s="30">
        <f t="shared" si="25"/>
        <v>786.62340589517828</v>
      </c>
      <c r="AA287">
        <v>285</v>
      </c>
    </row>
    <row r="288" spans="10:27">
      <c r="J288">
        <v>720</v>
      </c>
      <c r="K288">
        <f t="shared" si="23"/>
        <v>72880488.501715109</v>
      </c>
      <c r="L288" s="30">
        <f t="shared" si="24"/>
        <v>728.80488501715104</v>
      </c>
      <c r="Y288">
        <v>831</v>
      </c>
      <c r="Z288" s="30">
        <f t="shared" si="25"/>
        <v>785.61117688821003</v>
      </c>
      <c r="AA288">
        <v>286</v>
      </c>
    </row>
    <row r="289" spans="10:27">
      <c r="J289">
        <v>719</v>
      </c>
      <c r="K289">
        <f t="shared" si="23"/>
        <v>72779265.60101828</v>
      </c>
      <c r="L289" s="30">
        <f t="shared" si="24"/>
        <v>727.79265601018278</v>
      </c>
      <c r="Y289">
        <v>830</v>
      </c>
      <c r="Z289" s="30">
        <f t="shared" si="25"/>
        <v>784.59894788124177</v>
      </c>
      <c r="AA289">
        <v>287</v>
      </c>
    </row>
    <row r="290" spans="10:27">
      <c r="J290">
        <v>718</v>
      </c>
      <c r="K290">
        <f t="shared" si="23"/>
        <v>72678042.700321451</v>
      </c>
      <c r="L290" s="30">
        <f t="shared" si="24"/>
        <v>726.78042700321453</v>
      </c>
      <c r="Y290">
        <v>829</v>
      </c>
      <c r="Z290" s="30">
        <f t="shared" si="25"/>
        <v>783.58671887427363</v>
      </c>
      <c r="AA290">
        <v>288</v>
      </c>
    </row>
    <row r="291" spans="10:27">
      <c r="J291">
        <v>717</v>
      </c>
      <c r="K291">
        <f t="shared" si="23"/>
        <v>72576819.799624622</v>
      </c>
      <c r="L291" s="30">
        <f t="shared" si="24"/>
        <v>725.76819799624627</v>
      </c>
      <c r="Y291">
        <v>828</v>
      </c>
      <c r="Z291" s="30">
        <f t="shared" si="25"/>
        <v>782.57448986730515</v>
      </c>
      <c r="AA291">
        <v>289</v>
      </c>
    </row>
    <row r="292" spans="10:27">
      <c r="J292">
        <v>716</v>
      </c>
      <c r="K292">
        <f t="shared" si="23"/>
        <v>72475596.898927793</v>
      </c>
      <c r="L292" s="30">
        <f t="shared" si="24"/>
        <v>724.7559689892779</v>
      </c>
      <c r="Y292">
        <v>827</v>
      </c>
      <c r="Z292" s="30">
        <f t="shared" si="25"/>
        <v>781.56226086033701</v>
      </c>
      <c r="AA292">
        <v>290</v>
      </c>
    </row>
    <row r="293" spans="10:27">
      <c r="J293">
        <v>715</v>
      </c>
      <c r="K293">
        <f t="shared" si="23"/>
        <v>72374373.998230979</v>
      </c>
      <c r="L293" s="30">
        <f t="shared" si="24"/>
        <v>723.74373998230976</v>
      </c>
      <c r="Y293">
        <v>826</v>
      </c>
      <c r="Z293" s="30">
        <f t="shared" si="25"/>
        <v>780.55003185336875</v>
      </c>
      <c r="AA293">
        <v>291</v>
      </c>
    </row>
    <row r="294" spans="10:27">
      <c r="J294">
        <v>714</v>
      </c>
      <c r="K294">
        <f t="shared" si="23"/>
        <v>72273151.097534135</v>
      </c>
      <c r="L294" s="30">
        <f t="shared" si="24"/>
        <v>722.73151097534139</v>
      </c>
      <c r="Y294">
        <v>825</v>
      </c>
      <c r="Z294" s="30">
        <f t="shared" si="25"/>
        <v>779.53780284640061</v>
      </c>
      <c r="AA294">
        <v>292</v>
      </c>
    </row>
    <row r="295" spans="10:27">
      <c r="J295">
        <v>713</v>
      </c>
      <c r="K295">
        <f t="shared" si="23"/>
        <v>72171928.196837321</v>
      </c>
      <c r="L295" s="30">
        <f t="shared" si="24"/>
        <v>721.71928196837325</v>
      </c>
      <c r="Y295">
        <v>824</v>
      </c>
      <c r="Z295" s="30">
        <f t="shared" si="25"/>
        <v>778.52557383943213</v>
      </c>
      <c r="AA295">
        <v>293</v>
      </c>
    </row>
    <row r="296" spans="10:27">
      <c r="J296">
        <v>712</v>
      </c>
      <c r="K296">
        <f t="shared" si="23"/>
        <v>72070705.296140492</v>
      </c>
      <c r="L296" s="30">
        <f t="shared" si="24"/>
        <v>720.70705296140488</v>
      </c>
      <c r="Y296">
        <v>823</v>
      </c>
      <c r="Z296" s="30">
        <f t="shared" si="25"/>
        <v>777.51334483246387</v>
      </c>
      <c r="AA296">
        <v>294</v>
      </c>
    </row>
    <row r="297" spans="10:27">
      <c r="J297">
        <v>711</v>
      </c>
      <c r="K297">
        <f t="shared" si="23"/>
        <v>71969482.395443663</v>
      </c>
      <c r="L297" s="30">
        <f t="shared" si="24"/>
        <v>719.69482395443663</v>
      </c>
      <c r="Y297">
        <v>822</v>
      </c>
      <c r="Z297" s="30">
        <f t="shared" si="25"/>
        <v>776.50111582549573</v>
      </c>
      <c r="AA297">
        <v>295</v>
      </c>
    </row>
    <row r="298" spans="10:27">
      <c r="J298">
        <v>710</v>
      </c>
      <c r="K298">
        <f t="shared" si="23"/>
        <v>71868259.494746834</v>
      </c>
      <c r="L298" s="30">
        <f t="shared" si="24"/>
        <v>718.68259494746837</v>
      </c>
      <c r="Y298">
        <v>821</v>
      </c>
      <c r="Z298" s="30">
        <f t="shared" si="25"/>
        <v>775.48888681852748</v>
      </c>
      <c r="AA298">
        <v>296</v>
      </c>
    </row>
    <row r="299" spans="10:27">
      <c r="J299">
        <v>709</v>
      </c>
      <c r="K299">
        <f t="shared" si="23"/>
        <v>71767036.59405002</v>
      </c>
      <c r="L299" s="30">
        <f t="shared" si="24"/>
        <v>717.67036594050023</v>
      </c>
      <c r="Y299">
        <v>820</v>
      </c>
      <c r="Z299" s="30">
        <f t="shared" si="25"/>
        <v>774.47665781155911</v>
      </c>
      <c r="AA299">
        <v>297</v>
      </c>
    </row>
    <row r="300" spans="10:27">
      <c r="J300">
        <v>708</v>
      </c>
      <c r="K300">
        <f t="shared" si="23"/>
        <v>71665813.693353191</v>
      </c>
      <c r="L300" s="30">
        <f t="shared" si="24"/>
        <v>716.65813693353186</v>
      </c>
      <c r="Y300">
        <v>819</v>
      </c>
      <c r="Z300" s="30">
        <f t="shared" si="25"/>
        <v>773.46442880459085</v>
      </c>
      <c r="AA300">
        <v>298</v>
      </c>
    </row>
    <row r="301" spans="10:27">
      <c r="J301">
        <v>707</v>
      </c>
      <c r="K301">
        <f t="shared" si="23"/>
        <v>71564590.792656347</v>
      </c>
      <c r="L301" s="30">
        <f t="shared" si="24"/>
        <v>715.6459079265635</v>
      </c>
      <c r="Y301">
        <v>818</v>
      </c>
      <c r="Z301" s="30">
        <f t="shared" si="25"/>
        <v>772.45219979762271</v>
      </c>
      <c r="AA301">
        <v>299</v>
      </c>
    </row>
    <row r="302" spans="10:27">
      <c r="J302">
        <v>706</v>
      </c>
      <c r="K302">
        <f t="shared" si="23"/>
        <v>71463367.891959533</v>
      </c>
      <c r="L302" s="30">
        <f t="shared" si="24"/>
        <v>714.63367891959535</v>
      </c>
      <c r="Y302">
        <v>817</v>
      </c>
      <c r="Z302" s="30">
        <f t="shared" si="25"/>
        <v>771.43997079065423</v>
      </c>
      <c r="AA302">
        <v>300</v>
      </c>
    </row>
    <row r="303" spans="10:27">
      <c r="J303">
        <v>705</v>
      </c>
      <c r="K303">
        <f t="shared" si="23"/>
        <v>71362144.991262704</v>
      </c>
      <c r="L303" s="30">
        <f t="shared" si="24"/>
        <v>713.62144991262699</v>
      </c>
      <c r="Y303">
        <v>816</v>
      </c>
      <c r="Z303" s="30">
        <f t="shared" si="25"/>
        <v>770.42774178368597</v>
      </c>
      <c r="AA303">
        <v>301</v>
      </c>
    </row>
    <row r="304" spans="10:27">
      <c r="J304">
        <v>704</v>
      </c>
      <c r="K304">
        <f t="shared" si="23"/>
        <v>71260922.090565875</v>
      </c>
      <c r="L304" s="30">
        <f t="shared" si="24"/>
        <v>712.60922090565873</v>
      </c>
      <c r="Y304">
        <v>815</v>
      </c>
      <c r="Z304" s="30">
        <f t="shared" si="25"/>
        <v>769.41551277671783</v>
      </c>
      <c r="AA304">
        <v>302</v>
      </c>
    </row>
    <row r="305" spans="10:27">
      <c r="J305">
        <v>703</v>
      </c>
      <c r="K305">
        <f t="shared" si="23"/>
        <v>71159699.189869046</v>
      </c>
      <c r="L305" s="30">
        <f t="shared" si="24"/>
        <v>711.59699189869048</v>
      </c>
      <c r="Y305">
        <v>814</v>
      </c>
      <c r="Z305" s="30">
        <f t="shared" si="25"/>
        <v>768.40328376974958</v>
      </c>
      <c r="AA305">
        <v>303</v>
      </c>
    </row>
    <row r="306" spans="10:27">
      <c r="J306">
        <v>702</v>
      </c>
      <c r="K306">
        <f t="shared" si="23"/>
        <v>71058476.289172232</v>
      </c>
      <c r="L306" s="30">
        <f t="shared" si="24"/>
        <v>710.58476289172233</v>
      </c>
      <c r="Y306">
        <v>813</v>
      </c>
      <c r="Z306" s="30">
        <f t="shared" si="25"/>
        <v>767.39105476278132</v>
      </c>
      <c r="AA306">
        <v>304</v>
      </c>
    </row>
    <row r="307" spans="10:27">
      <c r="J307">
        <v>701</v>
      </c>
      <c r="K307">
        <f t="shared" si="23"/>
        <v>70957253.388475403</v>
      </c>
      <c r="L307" s="30">
        <f t="shared" si="24"/>
        <v>709.57253388475408</v>
      </c>
      <c r="Y307">
        <v>812</v>
      </c>
      <c r="Z307" s="30">
        <f t="shared" si="25"/>
        <v>766.37882575581295</v>
      </c>
      <c r="AA307">
        <v>305</v>
      </c>
    </row>
    <row r="308" spans="10:27">
      <c r="J308">
        <v>700</v>
      </c>
      <c r="K308">
        <f t="shared" si="23"/>
        <v>70856030.487778559</v>
      </c>
      <c r="L308" s="30">
        <f t="shared" si="24"/>
        <v>708.5603048777856</v>
      </c>
      <c r="Y308">
        <v>811</v>
      </c>
      <c r="Z308" s="30">
        <f t="shared" si="25"/>
        <v>765.36659674884481</v>
      </c>
      <c r="AA308">
        <v>306</v>
      </c>
    </row>
    <row r="309" spans="10:27">
      <c r="J309">
        <v>699</v>
      </c>
      <c r="K309">
        <f t="shared" si="23"/>
        <v>70754807.587081745</v>
      </c>
      <c r="L309" s="30">
        <f t="shared" si="24"/>
        <v>707.54807587081746</v>
      </c>
      <c r="Y309">
        <v>810</v>
      </c>
      <c r="Z309" s="30">
        <f t="shared" si="25"/>
        <v>764.35436774187656</v>
      </c>
      <c r="AA309">
        <v>307</v>
      </c>
    </row>
    <row r="310" spans="10:27">
      <c r="J310">
        <v>698</v>
      </c>
      <c r="K310">
        <f t="shared" si="23"/>
        <v>70653584.686384916</v>
      </c>
      <c r="L310" s="30">
        <f t="shared" si="24"/>
        <v>706.5358468638492</v>
      </c>
      <c r="Y310">
        <v>809</v>
      </c>
      <c r="Z310" s="30">
        <f t="shared" si="25"/>
        <v>763.3421387349083</v>
      </c>
      <c r="AA310">
        <v>308</v>
      </c>
    </row>
    <row r="311" spans="10:27">
      <c r="J311">
        <v>697</v>
      </c>
      <c r="K311">
        <f t="shared" si="23"/>
        <v>70552361.785688102</v>
      </c>
      <c r="L311" s="30">
        <f t="shared" si="24"/>
        <v>705.52361785688106</v>
      </c>
      <c r="Y311">
        <v>808</v>
      </c>
      <c r="Z311" s="30">
        <f t="shared" si="25"/>
        <v>762.32990972793993</v>
      </c>
      <c r="AA311">
        <v>309</v>
      </c>
    </row>
    <row r="312" spans="10:27">
      <c r="J312">
        <v>696</v>
      </c>
      <c r="K312">
        <f t="shared" si="23"/>
        <v>70451138.884991258</v>
      </c>
      <c r="L312" s="30">
        <f t="shared" si="24"/>
        <v>704.51138884991258</v>
      </c>
      <c r="Y312">
        <v>807</v>
      </c>
      <c r="Z312" s="30">
        <f t="shared" si="25"/>
        <v>761.31768072097168</v>
      </c>
      <c r="AA312">
        <v>310</v>
      </c>
    </row>
    <row r="313" spans="10:27">
      <c r="J313">
        <v>695</v>
      </c>
      <c r="K313">
        <f t="shared" si="23"/>
        <v>70349915.984294444</v>
      </c>
      <c r="L313" s="30">
        <f t="shared" si="24"/>
        <v>703.49915984294444</v>
      </c>
      <c r="Y313">
        <v>806</v>
      </c>
      <c r="Z313" s="30">
        <f t="shared" si="25"/>
        <v>760.30545171400342</v>
      </c>
      <c r="AA313">
        <v>311</v>
      </c>
    </row>
    <row r="314" spans="10:27">
      <c r="J314">
        <v>694</v>
      </c>
      <c r="K314">
        <f t="shared" ref="K314:K377" si="26">$A$1*J314*$B$52^2</f>
        <v>70248693.083597615</v>
      </c>
      <c r="L314" s="30">
        <f t="shared" si="24"/>
        <v>702.48693083597618</v>
      </c>
      <c r="Y314">
        <v>805</v>
      </c>
      <c r="Z314" s="30">
        <f t="shared" si="25"/>
        <v>759.29322270703506</v>
      </c>
      <c r="AA314">
        <v>312</v>
      </c>
    </row>
    <row r="315" spans="10:27">
      <c r="J315">
        <v>693</v>
      </c>
      <c r="K315">
        <f t="shared" si="26"/>
        <v>70147470.182900786</v>
      </c>
      <c r="L315" s="30">
        <f t="shared" ref="L315:L378" si="27">K315/100000</f>
        <v>701.47470182900781</v>
      </c>
      <c r="Y315">
        <v>804</v>
      </c>
      <c r="Z315" s="30">
        <f t="shared" si="25"/>
        <v>758.28099370006692</v>
      </c>
      <c r="AA315">
        <v>313</v>
      </c>
    </row>
    <row r="316" spans="10:27">
      <c r="J316">
        <v>692</v>
      </c>
      <c r="K316">
        <f t="shared" si="26"/>
        <v>70046247.282203957</v>
      </c>
      <c r="L316" s="30">
        <f t="shared" si="27"/>
        <v>700.46247282203956</v>
      </c>
      <c r="Y316">
        <v>803</v>
      </c>
      <c r="Z316" s="30">
        <f t="shared" si="25"/>
        <v>757.26876469309866</v>
      </c>
      <c r="AA316">
        <v>314</v>
      </c>
    </row>
    <row r="317" spans="10:27">
      <c r="J317">
        <v>691</v>
      </c>
      <c r="K317">
        <f t="shared" si="26"/>
        <v>69945024.381507128</v>
      </c>
      <c r="L317" s="30">
        <f t="shared" si="27"/>
        <v>699.4502438150713</v>
      </c>
      <c r="Y317">
        <v>802</v>
      </c>
      <c r="Z317" s="30">
        <f t="shared" si="25"/>
        <v>756.25653568613041</v>
      </c>
      <c r="AA317">
        <v>315</v>
      </c>
    </row>
    <row r="318" spans="10:27">
      <c r="J318">
        <v>690</v>
      </c>
      <c r="K318">
        <f t="shared" si="26"/>
        <v>69843801.480810314</v>
      </c>
      <c r="L318" s="30">
        <f t="shared" si="27"/>
        <v>698.43801480810316</v>
      </c>
      <c r="Y318">
        <v>801</v>
      </c>
      <c r="Z318" s="30">
        <f t="shared" si="25"/>
        <v>755.24430667916215</v>
      </c>
      <c r="AA318">
        <v>316</v>
      </c>
    </row>
    <row r="319" spans="10:27">
      <c r="J319">
        <v>689</v>
      </c>
      <c r="K319">
        <f t="shared" si="26"/>
        <v>69742578.580113471</v>
      </c>
      <c r="L319" s="30">
        <f t="shared" si="27"/>
        <v>697.42578580113468</v>
      </c>
      <c r="Y319">
        <v>800</v>
      </c>
      <c r="Z319" s="30">
        <f t="shared" si="25"/>
        <v>754.23207767219378</v>
      </c>
      <c r="AA319">
        <v>317</v>
      </c>
    </row>
    <row r="320" spans="10:27">
      <c r="J320">
        <v>688</v>
      </c>
      <c r="K320">
        <f t="shared" si="26"/>
        <v>69641355.679416656</v>
      </c>
      <c r="L320" s="30">
        <f t="shared" si="27"/>
        <v>696.41355679416654</v>
      </c>
      <c r="Y320">
        <v>799</v>
      </c>
      <c r="Z320" s="30">
        <f t="shared" si="25"/>
        <v>753.21984866522564</v>
      </c>
      <c r="AA320">
        <v>318</v>
      </c>
    </row>
    <row r="321" spans="10:27">
      <c r="J321">
        <v>687</v>
      </c>
      <c r="K321">
        <f t="shared" si="26"/>
        <v>69540132.778719828</v>
      </c>
      <c r="L321" s="30">
        <f t="shared" si="27"/>
        <v>695.40132778719828</v>
      </c>
      <c r="Y321">
        <v>798</v>
      </c>
      <c r="Z321" s="30">
        <f t="shared" si="25"/>
        <v>752.20761965825727</v>
      </c>
      <c r="AA321">
        <v>319</v>
      </c>
    </row>
    <row r="322" spans="10:27">
      <c r="J322">
        <v>686</v>
      </c>
      <c r="K322">
        <f t="shared" si="26"/>
        <v>69438909.878023013</v>
      </c>
      <c r="L322" s="30">
        <f t="shared" si="27"/>
        <v>694.38909878023014</v>
      </c>
      <c r="Y322">
        <v>797</v>
      </c>
      <c r="Z322" s="30">
        <f t="shared" si="25"/>
        <v>751.19539065128913</v>
      </c>
      <c r="AA322">
        <v>320</v>
      </c>
    </row>
    <row r="323" spans="10:27">
      <c r="J323">
        <v>685</v>
      </c>
      <c r="K323">
        <f t="shared" si="26"/>
        <v>69337686.97732617</v>
      </c>
      <c r="L323" s="30">
        <f t="shared" si="27"/>
        <v>693.37686977326166</v>
      </c>
      <c r="Y323">
        <v>796</v>
      </c>
      <c r="Z323" s="30">
        <f t="shared" si="25"/>
        <v>750.18316164432076</v>
      </c>
      <c r="AA323">
        <v>321</v>
      </c>
    </row>
    <row r="324" spans="10:27">
      <c r="J324">
        <v>684</v>
      </c>
      <c r="K324">
        <f t="shared" si="26"/>
        <v>69236464.076629341</v>
      </c>
      <c r="L324" s="30">
        <f t="shared" si="27"/>
        <v>692.36464076629341</v>
      </c>
      <c r="Y324">
        <v>795</v>
      </c>
      <c r="Z324" s="30">
        <f t="shared" si="25"/>
        <v>749.17093263735251</v>
      </c>
      <c r="AA324">
        <v>322</v>
      </c>
    </row>
    <row r="325" spans="10:27">
      <c r="J325">
        <v>683</v>
      </c>
      <c r="K325">
        <f t="shared" si="26"/>
        <v>69135241.175932527</v>
      </c>
      <c r="L325" s="30">
        <f t="shared" si="27"/>
        <v>691.35241175932526</v>
      </c>
      <c r="Y325">
        <v>794</v>
      </c>
      <c r="Z325" s="30">
        <f t="shared" si="25"/>
        <v>748.15870363038425</v>
      </c>
      <c r="AA325">
        <v>323</v>
      </c>
    </row>
    <row r="326" spans="10:27">
      <c r="J326">
        <v>682</v>
      </c>
      <c r="K326">
        <f t="shared" si="26"/>
        <v>69034018.275235683</v>
      </c>
      <c r="L326" s="30">
        <f t="shared" si="27"/>
        <v>690.34018275235678</v>
      </c>
      <c r="Y326">
        <v>793</v>
      </c>
      <c r="Z326" s="30">
        <f t="shared" si="25"/>
        <v>747.14647462341611</v>
      </c>
      <c r="AA326">
        <v>324</v>
      </c>
    </row>
    <row r="327" spans="10:27">
      <c r="J327">
        <v>681</v>
      </c>
      <c r="K327">
        <f t="shared" si="26"/>
        <v>68932795.374538869</v>
      </c>
      <c r="L327" s="30">
        <f t="shared" si="27"/>
        <v>689.32795374538864</v>
      </c>
      <c r="Y327">
        <v>792</v>
      </c>
      <c r="Z327" s="30">
        <f t="shared" si="25"/>
        <v>746.13424561644774</v>
      </c>
      <c r="AA327">
        <v>325</v>
      </c>
    </row>
    <row r="328" spans="10:27">
      <c r="J328">
        <v>680</v>
      </c>
      <c r="K328">
        <f t="shared" si="26"/>
        <v>68831572.47384204</v>
      </c>
      <c r="L328" s="30">
        <f t="shared" si="27"/>
        <v>688.31572473842039</v>
      </c>
      <c r="Y328">
        <v>791</v>
      </c>
      <c r="Z328" s="30">
        <f t="shared" si="25"/>
        <v>745.12201660947937</v>
      </c>
      <c r="AA328">
        <v>326</v>
      </c>
    </row>
    <row r="329" spans="10:27">
      <c r="J329">
        <v>679</v>
      </c>
      <c r="K329">
        <f t="shared" si="26"/>
        <v>68730349.573145226</v>
      </c>
      <c r="L329" s="30">
        <f t="shared" si="27"/>
        <v>687.30349573145224</v>
      </c>
      <c r="Y329">
        <v>790</v>
      </c>
      <c r="Z329" s="30">
        <f t="shared" si="25"/>
        <v>744.10978760251123</v>
      </c>
      <c r="AA329">
        <v>327</v>
      </c>
    </row>
    <row r="330" spans="10:27">
      <c r="J330">
        <v>678</v>
      </c>
      <c r="K330">
        <f t="shared" si="26"/>
        <v>68629126.672448382</v>
      </c>
      <c r="L330" s="30">
        <f t="shared" si="27"/>
        <v>686.29126672448376</v>
      </c>
      <c r="Y330">
        <v>789</v>
      </c>
      <c r="Z330" s="30">
        <f t="shared" si="25"/>
        <v>743.09755859554286</v>
      </c>
      <c r="AA330">
        <v>328</v>
      </c>
    </row>
    <row r="331" spans="10:27">
      <c r="J331">
        <v>677</v>
      </c>
      <c r="K331">
        <f t="shared" si="26"/>
        <v>68527903.771751553</v>
      </c>
      <c r="L331" s="30">
        <f t="shared" si="27"/>
        <v>685.27903771751551</v>
      </c>
      <c r="Y331">
        <v>788</v>
      </c>
      <c r="Z331" s="30">
        <f t="shared" si="25"/>
        <v>742.08532958857461</v>
      </c>
      <c r="AA331">
        <v>329</v>
      </c>
    </row>
    <row r="332" spans="10:27">
      <c r="J332">
        <v>676</v>
      </c>
      <c r="K332">
        <f t="shared" si="26"/>
        <v>68426680.871054739</v>
      </c>
      <c r="L332" s="30">
        <f t="shared" si="27"/>
        <v>684.26680871054737</v>
      </c>
      <c r="Y332">
        <v>787</v>
      </c>
      <c r="Z332" s="30">
        <f t="shared" si="25"/>
        <v>741.07310058160635</v>
      </c>
      <c r="AA332">
        <v>330</v>
      </c>
    </row>
    <row r="333" spans="10:27">
      <c r="J333">
        <v>675</v>
      </c>
      <c r="K333">
        <f t="shared" si="26"/>
        <v>68325457.97035791</v>
      </c>
      <c r="L333" s="30">
        <f t="shared" si="27"/>
        <v>683.25457970357911</v>
      </c>
      <c r="Y333">
        <v>786</v>
      </c>
      <c r="Z333" s="30">
        <f t="shared" si="25"/>
        <v>740.06087157463821</v>
      </c>
      <c r="AA333">
        <v>331</v>
      </c>
    </row>
    <row r="334" spans="10:27">
      <c r="J334">
        <v>674</v>
      </c>
      <c r="K334">
        <f t="shared" si="26"/>
        <v>68224235.069661081</v>
      </c>
      <c r="L334" s="30">
        <f t="shared" si="27"/>
        <v>682.24235069661086</v>
      </c>
      <c r="Y334">
        <v>785</v>
      </c>
      <c r="Z334" s="30">
        <f t="shared" si="25"/>
        <v>739.04864256766996</v>
      </c>
      <c r="AA334">
        <v>332</v>
      </c>
    </row>
    <row r="335" spans="10:27">
      <c r="J335">
        <v>673</v>
      </c>
      <c r="K335">
        <f t="shared" si="26"/>
        <v>68123012.168964252</v>
      </c>
      <c r="L335" s="30">
        <f t="shared" si="27"/>
        <v>681.23012168964249</v>
      </c>
      <c r="Y335">
        <v>784</v>
      </c>
      <c r="Z335" s="30">
        <f t="shared" si="25"/>
        <v>738.03641356070148</v>
      </c>
      <c r="AA335">
        <v>333</v>
      </c>
    </row>
    <row r="336" spans="10:27">
      <c r="J336">
        <v>672</v>
      </c>
      <c r="K336">
        <f t="shared" si="26"/>
        <v>68021789.268267438</v>
      </c>
      <c r="L336" s="30">
        <f t="shared" si="27"/>
        <v>680.21789268267435</v>
      </c>
      <c r="Y336">
        <v>783</v>
      </c>
      <c r="Z336" s="30">
        <f t="shared" si="25"/>
        <v>737.02418455373333</v>
      </c>
      <c r="AA336">
        <v>334</v>
      </c>
    </row>
    <row r="337" spans="10:27">
      <c r="J337">
        <v>671</v>
      </c>
      <c r="K337">
        <f t="shared" si="26"/>
        <v>67920566.367570594</v>
      </c>
      <c r="L337" s="30">
        <f t="shared" si="27"/>
        <v>679.20566367570598</v>
      </c>
      <c r="Y337">
        <v>782</v>
      </c>
      <c r="Z337" s="30">
        <f t="shared" si="25"/>
        <v>736.01195554676508</v>
      </c>
      <c r="AA337">
        <v>335</v>
      </c>
    </row>
    <row r="338" spans="10:27">
      <c r="J338">
        <v>670</v>
      </c>
      <c r="K338">
        <f t="shared" si="26"/>
        <v>67819343.46687378</v>
      </c>
      <c r="L338" s="30">
        <f t="shared" si="27"/>
        <v>678.19343466873784</v>
      </c>
      <c r="Y338">
        <v>781</v>
      </c>
      <c r="Z338" s="30">
        <f t="shared" si="25"/>
        <v>734.99972653979694</v>
      </c>
      <c r="AA338">
        <v>336</v>
      </c>
    </row>
    <row r="339" spans="10:27">
      <c r="J339">
        <v>669</v>
      </c>
      <c r="K339">
        <f t="shared" si="26"/>
        <v>67718120.566176951</v>
      </c>
      <c r="L339" s="30">
        <f t="shared" si="27"/>
        <v>677.18120566176947</v>
      </c>
      <c r="Y339">
        <v>780</v>
      </c>
      <c r="Z339" s="30">
        <f t="shared" si="25"/>
        <v>733.98749753282846</v>
      </c>
      <c r="AA339">
        <v>337</v>
      </c>
    </row>
    <row r="340" spans="10:27">
      <c r="J340">
        <v>668</v>
      </c>
      <c r="K340">
        <f t="shared" si="26"/>
        <v>67616897.665480122</v>
      </c>
      <c r="L340" s="30">
        <f t="shared" si="27"/>
        <v>676.16897665480121</v>
      </c>
      <c r="Y340">
        <v>779</v>
      </c>
      <c r="Z340" s="30">
        <f t="shared" si="25"/>
        <v>732.97526852586032</v>
      </c>
      <c r="AA340">
        <v>338</v>
      </c>
    </row>
    <row r="341" spans="10:27">
      <c r="J341">
        <v>667</v>
      </c>
      <c r="K341">
        <f t="shared" si="26"/>
        <v>67515674.764783293</v>
      </c>
      <c r="L341" s="30">
        <f t="shared" si="27"/>
        <v>675.15674764783296</v>
      </c>
      <c r="Y341">
        <v>778</v>
      </c>
      <c r="Z341" s="30">
        <f t="shared" si="25"/>
        <v>731.96303951889206</v>
      </c>
      <c r="AA341">
        <v>339</v>
      </c>
    </row>
    <row r="342" spans="10:27">
      <c r="J342">
        <v>666</v>
      </c>
      <c r="K342">
        <f t="shared" si="26"/>
        <v>67414451.864086464</v>
      </c>
      <c r="L342" s="30">
        <f t="shared" si="27"/>
        <v>674.14451864086459</v>
      </c>
      <c r="Y342">
        <v>777</v>
      </c>
      <c r="Z342" s="30">
        <f t="shared" ref="Z342:Z405" si="28">L315+$H$68</f>
        <v>730.95081051192369</v>
      </c>
      <c r="AA342">
        <v>340</v>
      </c>
    </row>
    <row r="343" spans="10:27">
      <c r="J343">
        <v>665</v>
      </c>
      <c r="K343">
        <f t="shared" si="26"/>
        <v>67313228.96338965</v>
      </c>
      <c r="L343" s="30">
        <f t="shared" si="27"/>
        <v>673.13228963389645</v>
      </c>
      <c r="Y343">
        <v>776</v>
      </c>
      <c r="Z343" s="30">
        <f t="shared" si="28"/>
        <v>729.93858150495544</v>
      </c>
      <c r="AA343">
        <v>341</v>
      </c>
    </row>
    <row r="344" spans="10:27">
      <c r="J344">
        <v>664</v>
      </c>
      <c r="K344">
        <f t="shared" si="26"/>
        <v>67212006.062692821</v>
      </c>
      <c r="L344" s="30">
        <f t="shared" si="27"/>
        <v>672.12006062692819</v>
      </c>
      <c r="Y344">
        <v>775</v>
      </c>
      <c r="Z344" s="30">
        <f t="shared" si="28"/>
        <v>728.92635249798718</v>
      </c>
      <c r="AA344">
        <v>342</v>
      </c>
    </row>
    <row r="345" spans="10:27">
      <c r="J345">
        <v>663</v>
      </c>
      <c r="K345">
        <f t="shared" si="26"/>
        <v>67110783.161995992</v>
      </c>
      <c r="L345" s="30">
        <f t="shared" si="27"/>
        <v>671.10783161995994</v>
      </c>
      <c r="Y345">
        <v>774</v>
      </c>
      <c r="Z345" s="30">
        <f t="shared" si="28"/>
        <v>727.91412349101904</v>
      </c>
      <c r="AA345">
        <v>343</v>
      </c>
    </row>
    <row r="346" spans="10:27">
      <c r="J346">
        <v>662</v>
      </c>
      <c r="K346">
        <f t="shared" si="26"/>
        <v>67009560.261299163</v>
      </c>
      <c r="L346" s="30">
        <f t="shared" si="27"/>
        <v>670.09560261299168</v>
      </c>
      <c r="Y346">
        <v>773</v>
      </c>
      <c r="Z346" s="30">
        <f t="shared" si="28"/>
        <v>726.90189448405056</v>
      </c>
      <c r="AA346">
        <v>344</v>
      </c>
    </row>
    <row r="347" spans="10:27">
      <c r="J347">
        <v>661</v>
      </c>
      <c r="K347">
        <f t="shared" si="26"/>
        <v>66908337.360602342</v>
      </c>
      <c r="L347" s="30">
        <f t="shared" si="27"/>
        <v>669.08337360602343</v>
      </c>
      <c r="Y347">
        <v>772</v>
      </c>
      <c r="Z347" s="30">
        <f t="shared" si="28"/>
        <v>725.88966547708242</v>
      </c>
      <c r="AA347">
        <v>345</v>
      </c>
    </row>
    <row r="348" spans="10:27">
      <c r="J348">
        <v>660</v>
      </c>
      <c r="K348">
        <f t="shared" si="26"/>
        <v>66807114.459905505</v>
      </c>
      <c r="L348" s="30">
        <f t="shared" si="27"/>
        <v>668.07114459905506</v>
      </c>
      <c r="Y348">
        <v>771</v>
      </c>
      <c r="Z348" s="30">
        <f t="shared" si="28"/>
        <v>724.87743647011416</v>
      </c>
      <c r="AA348">
        <v>346</v>
      </c>
    </row>
    <row r="349" spans="10:27">
      <c r="J349">
        <v>659</v>
      </c>
      <c r="K349">
        <f t="shared" si="26"/>
        <v>66705891.559208684</v>
      </c>
      <c r="L349" s="30">
        <f t="shared" si="27"/>
        <v>667.05891559208681</v>
      </c>
      <c r="Y349">
        <v>770</v>
      </c>
      <c r="Z349" s="30">
        <f t="shared" si="28"/>
        <v>723.86520746314602</v>
      </c>
      <c r="AA349">
        <v>347</v>
      </c>
    </row>
    <row r="350" spans="10:27">
      <c r="J350">
        <v>658</v>
      </c>
      <c r="K350">
        <f t="shared" si="26"/>
        <v>66604668.658511862</v>
      </c>
      <c r="L350" s="30">
        <f t="shared" si="27"/>
        <v>666.04668658511866</v>
      </c>
      <c r="Y350">
        <v>769</v>
      </c>
      <c r="Z350" s="30">
        <f t="shared" si="28"/>
        <v>722.85297845617754</v>
      </c>
      <c r="AA350">
        <v>348</v>
      </c>
    </row>
    <row r="351" spans="10:27">
      <c r="J351">
        <v>657</v>
      </c>
      <c r="K351">
        <f t="shared" si="26"/>
        <v>66503445.757815033</v>
      </c>
      <c r="L351" s="30">
        <f t="shared" si="27"/>
        <v>665.0344575781503</v>
      </c>
      <c r="Y351">
        <v>768</v>
      </c>
      <c r="Z351" s="30">
        <f t="shared" si="28"/>
        <v>721.84074944920928</v>
      </c>
      <c r="AA351">
        <v>349</v>
      </c>
    </row>
    <row r="352" spans="10:27">
      <c r="J352">
        <v>656</v>
      </c>
      <c r="K352">
        <f t="shared" si="26"/>
        <v>66402222.857118197</v>
      </c>
      <c r="L352" s="30">
        <f t="shared" si="27"/>
        <v>664.02222857118193</v>
      </c>
      <c r="Y352">
        <v>767</v>
      </c>
      <c r="Z352" s="30">
        <f t="shared" si="28"/>
        <v>720.82852044224114</v>
      </c>
      <c r="AA352">
        <v>350</v>
      </c>
    </row>
    <row r="353" spans="10:27">
      <c r="J353">
        <v>655</v>
      </c>
      <c r="K353">
        <f t="shared" si="26"/>
        <v>66300999.956421375</v>
      </c>
      <c r="L353" s="30">
        <f t="shared" si="27"/>
        <v>663.00999956421379</v>
      </c>
      <c r="Y353">
        <v>766</v>
      </c>
      <c r="Z353" s="30">
        <f t="shared" si="28"/>
        <v>719.81629143527266</v>
      </c>
      <c r="AA353">
        <v>351</v>
      </c>
    </row>
    <row r="354" spans="10:27">
      <c r="J354">
        <v>654</v>
      </c>
      <c r="K354">
        <f t="shared" si="26"/>
        <v>66199777.055724554</v>
      </c>
      <c r="L354" s="30">
        <f t="shared" si="27"/>
        <v>661.99777055724553</v>
      </c>
      <c r="Y354">
        <v>765</v>
      </c>
      <c r="Z354" s="30">
        <f t="shared" si="28"/>
        <v>718.80406242830452</v>
      </c>
      <c r="AA354">
        <v>352</v>
      </c>
    </row>
    <row r="355" spans="10:27">
      <c r="J355">
        <v>653</v>
      </c>
      <c r="K355">
        <f t="shared" si="26"/>
        <v>66098554.155027732</v>
      </c>
      <c r="L355" s="30">
        <f t="shared" si="27"/>
        <v>660.98554155027728</v>
      </c>
      <c r="Y355">
        <v>764</v>
      </c>
      <c r="Z355" s="30">
        <f t="shared" si="28"/>
        <v>717.79183342133626</v>
      </c>
      <c r="AA355">
        <v>353</v>
      </c>
    </row>
    <row r="356" spans="10:27">
      <c r="J356">
        <v>652</v>
      </c>
      <c r="K356">
        <f t="shared" si="26"/>
        <v>65997331.254330896</v>
      </c>
      <c r="L356" s="30">
        <f t="shared" si="27"/>
        <v>659.97331254330891</v>
      </c>
      <c r="Y356">
        <v>763</v>
      </c>
      <c r="Z356" s="30">
        <f t="shared" si="28"/>
        <v>716.77960441436812</v>
      </c>
      <c r="AA356">
        <v>354</v>
      </c>
    </row>
    <row r="357" spans="10:27">
      <c r="J357">
        <v>651</v>
      </c>
      <c r="K357">
        <f t="shared" si="26"/>
        <v>65896108.353634074</v>
      </c>
      <c r="L357" s="30">
        <f t="shared" si="27"/>
        <v>658.96108353634077</v>
      </c>
      <c r="Y357">
        <v>762</v>
      </c>
      <c r="Z357" s="30">
        <f t="shared" si="28"/>
        <v>715.76737540739964</v>
      </c>
      <c r="AA357">
        <v>355</v>
      </c>
    </row>
    <row r="358" spans="10:27">
      <c r="J358">
        <v>650</v>
      </c>
      <c r="K358">
        <f t="shared" si="26"/>
        <v>65794885.452937245</v>
      </c>
      <c r="L358" s="30">
        <f t="shared" si="27"/>
        <v>657.9488545293724</v>
      </c>
      <c r="Y358">
        <v>761</v>
      </c>
      <c r="Z358" s="30">
        <f t="shared" si="28"/>
        <v>714.75514640043139</v>
      </c>
      <c r="AA358">
        <v>356</v>
      </c>
    </row>
    <row r="359" spans="10:27">
      <c r="J359">
        <v>649</v>
      </c>
      <c r="K359">
        <f t="shared" si="26"/>
        <v>65693662.552240416</v>
      </c>
      <c r="L359" s="30">
        <f t="shared" si="27"/>
        <v>656.93662552240414</v>
      </c>
      <c r="Y359">
        <v>760</v>
      </c>
      <c r="Z359" s="30">
        <f t="shared" si="28"/>
        <v>713.74291739346324</v>
      </c>
      <c r="AA359">
        <v>357</v>
      </c>
    </row>
    <row r="360" spans="10:27">
      <c r="J360">
        <v>648</v>
      </c>
      <c r="K360">
        <f t="shared" si="26"/>
        <v>65592439.651543587</v>
      </c>
      <c r="L360" s="30">
        <f t="shared" si="27"/>
        <v>655.92439651543589</v>
      </c>
      <c r="Y360">
        <v>759</v>
      </c>
      <c r="Z360" s="30">
        <f t="shared" si="28"/>
        <v>712.73068838649499</v>
      </c>
      <c r="AA360">
        <v>358</v>
      </c>
    </row>
    <row r="361" spans="10:27">
      <c r="J361">
        <v>647</v>
      </c>
      <c r="K361">
        <f t="shared" si="26"/>
        <v>65491216.750846766</v>
      </c>
      <c r="L361" s="30">
        <f t="shared" si="27"/>
        <v>654.91216750846763</v>
      </c>
      <c r="Y361">
        <v>758</v>
      </c>
      <c r="Z361" s="30">
        <f t="shared" si="28"/>
        <v>711.71845937952673</v>
      </c>
      <c r="AA361">
        <v>359</v>
      </c>
    </row>
    <row r="362" spans="10:27">
      <c r="J362">
        <v>646</v>
      </c>
      <c r="K362">
        <f t="shared" si="26"/>
        <v>65389993.850149937</v>
      </c>
      <c r="L362" s="30">
        <f t="shared" si="27"/>
        <v>653.89993850149938</v>
      </c>
      <c r="Y362">
        <v>757</v>
      </c>
      <c r="Z362" s="30">
        <f t="shared" si="28"/>
        <v>710.70623037255837</v>
      </c>
      <c r="AA362">
        <v>360</v>
      </c>
    </row>
    <row r="363" spans="10:27">
      <c r="J363">
        <v>645</v>
      </c>
      <c r="K363">
        <f t="shared" si="26"/>
        <v>65288770.949453115</v>
      </c>
      <c r="L363" s="30">
        <f t="shared" si="27"/>
        <v>652.88770949453112</v>
      </c>
      <c r="Y363">
        <v>756</v>
      </c>
      <c r="Z363" s="30">
        <f t="shared" si="28"/>
        <v>709.69400136559022</v>
      </c>
      <c r="AA363">
        <v>361</v>
      </c>
    </row>
    <row r="364" spans="10:27">
      <c r="J364">
        <v>644</v>
      </c>
      <c r="K364">
        <f t="shared" si="26"/>
        <v>65187548.048756287</v>
      </c>
      <c r="L364" s="30">
        <f t="shared" si="27"/>
        <v>651.87548048756287</v>
      </c>
      <c r="Y364">
        <v>755</v>
      </c>
      <c r="Z364" s="30">
        <f t="shared" si="28"/>
        <v>708.68177235862186</v>
      </c>
      <c r="AA364">
        <v>362</v>
      </c>
    </row>
    <row r="365" spans="10:27">
      <c r="J365">
        <v>643</v>
      </c>
      <c r="K365">
        <f t="shared" si="26"/>
        <v>65086325.148059465</v>
      </c>
      <c r="L365" s="30">
        <f t="shared" si="27"/>
        <v>650.86325148059461</v>
      </c>
      <c r="Y365">
        <v>754</v>
      </c>
      <c r="Z365" s="30">
        <f t="shared" si="28"/>
        <v>707.66954335165372</v>
      </c>
      <c r="AA365">
        <v>363</v>
      </c>
    </row>
    <row r="366" spans="10:27">
      <c r="J366">
        <v>642</v>
      </c>
      <c r="K366">
        <f t="shared" si="26"/>
        <v>64985102.247362636</v>
      </c>
      <c r="L366" s="30">
        <f t="shared" si="27"/>
        <v>649.85102247362636</v>
      </c>
      <c r="Y366">
        <v>753</v>
      </c>
      <c r="Z366" s="30">
        <f t="shared" si="28"/>
        <v>706.65731434468535</v>
      </c>
      <c r="AA366">
        <v>364</v>
      </c>
    </row>
    <row r="367" spans="10:27">
      <c r="J367">
        <v>641</v>
      </c>
      <c r="K367">
        <f t="shared" si="26"/>
        <v>64883879.346665807</v>
      </c>
      <c r="L367" s="30">
        <f t="shared" si="27"/>
        <v>648.8387934666581</v>
      </c>
      <c r="Y367">
        <v>752</v>
      </c>
      <c r="Z367" s="30">
        <f t="shared" si="28"/>
        <v>705.64508533771709</v>
      </c>
      <c r="AA367">
        <v>365</v>
      </c>
    </row>
    <row r="368" spans="10:27">
      <c r="J368">
        <v>640</v>
      </c>
      <c r="K368">
        <f t="shared" si="26"/>
        <v>64782656.445968978</v>
      </c>
      <c r="L368" s="30">
        <f t="shared" si="27"/>
        <v>647.82656445968973</v>
      </c>
      <c r="Y368">
        <v>751</v>
      </c>
      <c r="Z368" s="30">
        <f t="shared" si="28"/>
        <v>704.63285633074884</v>
      </c>
      <c r="AA368">
        <v>366</v>
      </c>
    </row>
    <row r="369" spans="10:27">
      <c r="J369">
        <v>639</v>
      </c>
      <c r="K369">
        <f t="shared" si="26"/>
        <v>64681433.545272149</v>
      </c>
      <c r="L369" s="30">
        <f t="shared" si="27"/>
        <v>646.81433545272148</v>
      </c>
      <c r="Y369">
        <v>750</v>
      </c>
      <c r="Z369" s="30">
        <f t="shared" si="28"/>
        <v>703.62062732378047</v>
      </c>
      <c r="AA369">
        <v>367</v>
      </c>
    </row>
    <row r="370" spans="10:27">
      <c r="J370">
        <v>638</v>
      </c>
      <c r="K370">
        <f t="shared" si="26"/>
        <v>64580210.644575328</v>
      </c>
      <c r="L370" s="30">
        <f t="shared" si="27"/>
        <v>645.80210644575322</v>
      </c>
      <c r="Y370">
        <v>749</v>
      </c>
      <c r="Z370" s="30">
        <f t="shared" si="28"/>
        <v>702.60839831681233</v>
      </c>
      <c r="AA370">
        <v>368</v>
      </c>
    </row>
    <row r="371" spans="10:27">
      <c r="J371">
        <v>637</v>
      </c>
      <c r="K371">
        <f t="shared" si="26"/>
        <v>64478987.743878499</v>
      </c>
      <c r="L371" s="30">
        <f t="shared" si="27"/>
        <v>644.78987743878497</v>
      </c>
      <c r="Y371">
        <v>748</v>
      </c>
      <c r="Z371" s="30">
        <f t="shared" si="28"/>
        <v>701.59616930984407</v>
      </c>
      <c r="AA371">
        <v>369</v>
      </c>
    </row>
    <row r="372" spans="10:27">
      <c r="J372">
        <v>636</v>
      </c>
      <c r="K372">
        <f t="shared" si="26"/>
        <v>64377764.843181677</v>
      </c>
      <c r="L372" s="30">
        <f t="shared" si="27"/>
        <v>643.77764843181671</v>
      </c>
      <c r="Y372">
        <v>747</v>
      </c>
      <c r="Z372" s="30">
        <f t="shared" si="28"/>
        <v>700.58394030287582</v>
      </c>
      <c r="AA372">
        <v>370</v>
      </c>
    </row>
    <row r="373" spans="10:27">
      <c r="J373">
        <v>635</v>
      </c>
      <c r="K373">
        <f t="shared" si="26"/>
        <v>64276541.942484848</v>
      </c>
      <c r="L373" s="30">
        <f t="shared" si="27"/>
        <v>642.76541942484846</v>
      </c>
      <c r="Y373">
        <v>746</v>
      </c>
      <c r="Z373" s="30">
        <f t="shared" si="28"/>
        <v>699.57171129590756</v>
      </c>
      <c r="AA373">
        <v>371</v>
      </c>
    </row>
    <row r="374" spans="10:27">
      <c r="J374">
        <v>634</v>
      </c>
      <c r="K374">
        <f t="shared" si="26"/>
        <v>64175319.041788027</v>
      </c>
      <c r="L374" s="30">
        <f t="shared" si="27"/>
        <v>641.75319041788032</v>
      </c>
      <c r="Y374">
        <v>745</v>
      </c>
      <c r="Z374" s="30">
        <f t="shared" si="28"/>
        <v>698.55948228893931</v>
      </c>
      <c r="AA374">
        <v>372</v>
      </c>
    </row>
    <row r="375" spans="10:27">
      <c r="J375">
        <v>633</v>
      </c>
      <c r="K375">
        <f t="shared" si="26"/>
        <v>64074096.14109119</v>
      </c>
      <c r="L375" s="30">
        <f t="shared" si="27"/>
        <v>640.74096141091195</v>
      </c>
      <c r="Y375">
        <v>744</v>
      </c>
      <c r="Z375" s="30">
        <f t="shared" si="28"/>
        <v>697.54725328197094</v>
      </c>
      <c r="AA375">
        <v>373</v>
      </c>
    </row>
    <row r="376" spans="10:27">
      <c r="J376">
        <v>632</v>
      </c>
      <c r="K376">
        <f t="shared" si="26"/>
        <v>63972873.240394369</v>
      </c>
      <c r="L376" s="30">
        <f t="shared" si="27"/>
        <v>639.7287324039437</v>
      </c>
      <c r="Y376">
        <v>743</v>
      </c>
      <c r="Z376" s="30">
        <f t="shared" si="28"/>
        <v>696.53502427500268</v>
      </c>
      <c r="AA376">
        <v>374</v>
      </c>
    </row>
    <row r="377" spans="10:27">
      <c r="J377">
        <v>631</v>
      </c>
      <c r="K377">
        <f t="shared" si="26"/>
        <v>63871650.33969754</v>
      </c>
      <c r="L377" s="30">
        <f t="shared" si="27"/>
        <v>638.71650339697544</v>
      </c>
      <c r="Y377">
        <v>742</v>
      </c>
      <c r="Z377" s="30">
        <f t="shared" si="28"/>
        <v>695.52279526803454</v>
      </c>
      <c r="AA377">
        <v>375</v>
      </c>
    </row>
    <row r="378" spans="10:27">
      <c r="J378">
        <v>630</v>
      </c>
      <c r="K378">
        <f t="shared" ref="K378:K441" si="29">$A$1*J378*$B$52^2</f>
        <v>63770427.439000718</v>
      </c>
      <c r="L378" s="30">
        <f t="shared" si="27"/>
        <v>637.70427439000719</v>
      </c>
      <c r="Y378">
        <v>741</v>
      </c>
      <c r="Z378" s="30">
        <f t="shared" si="28"/>
        <v>694.51056626106617</v>
      </c>
      <c r="AA378">
        <v>376</v>
      </c>
    </row>
    <row r="379" spans="10:27">
      <c r="J379">
        <v>629</v>
      </c>
      <c r="K379">
        <f t="shared" si="29"/>
        <v>63669204.538303889</v>
      </c>
      <c r="L379" s="30">
        <f t="shared" ref="L379:L442" si="30">K379/100000</f>
        <v>636.69204538303893</v>
      </c>
      <c r="Y379">
        <v>740</v>
      </c>
      <c r="Z379" s="30">
        <f t="shared" si="28"/>
        <v>693.49833725409781</v>
      </c>
      <c r="AA379">
        <v>377</v>
      </c>
    </row>
    <row r="380" spans="10:27">
      <c r="J380">
        <v>628</v>
      </c>
      <c r="K380">
        <f t="shared" si="29"/>
        <v>63567981.63760706</v>
      </c>
      <c r="L380" s="30">
        <f t="shared" si="30"/>
        <v>635.67981637607056</v>
      </c>
      <c r="Y380">
        <v>739</v>
      </c>
      <c r="Z380" s="30">
        <f t="shared" si="28"/>
        <v>692.48610824712966</v>
      </c>
      <c r="AA380">
        <v>378</v>
      </c>
    </row>
    <row r="381" spans="10:27">
      <c r="J381">
        <v>627</v>
      </c>
      <c r="K381">
        <f t="shared" si="29"/>
        <v>63466758.736910239</v>
      </c>
      <c r="L381" s="30">
        <f t="shared" si="30"/>
        <v>634.66758736910242</v>
      </c>
      <c r="Y381">
        <v>738</v>
      </c>
      <c r="Z381" s="30">
        <f t="shared" si="28"/>
        <v>691.47387924016141</v>
      </c>
      <c r="AA381">
        <v>379</v>
      </c>
    </row>
    <row r="382" spans="10:27">
      <c r="J382">
        <v>626</v>
      </c>
      <c r="K382">
        <f t="shared" si="29"/>
        <v>63365535.83621341</v>
      </c>
      <c r="L382" s="30">
        <f t="shared" si="30"/>
        <v>633.65535836213405</v>
      </c>
      <c r="Y382">
        <v>737</v>
      </c>
      <c r="Z382" s="30">
        <f t="shared" si="28"/>
        <v>690.46165023319315</v>
      </c>
      <c r="AA382">
        <v>380</v>
      </c>
    </row>
    <row r="383" spans="10:27">
      <c r="J383">
        <v>625</v>
      </c>
      <c r="K383">
        <f t="shared" si="29"/>
        <v>63264312.935516581</v>
      </c>
      <c r="L383" s="30">
        <f t="shared" si="30"/>
        <v>632.6431293551658</v>
      </c>
      <c r="Y383">
        <v>736</v>
      </c>
      <c r="Z383" s="30">
        <f t="shared" si="28"/>
        <v>689.44942122622479</v>
      </c>
      <c r="AA383">
        <v>381</v>
      </c>
    </row>
    <row r="384" spans="10:27">
      <c r="J384">
        <v>624</v>
      </c>
      <c r="K384">
        <f t="shared" si="29"/>
        <v>63163090.034819752</v>
      </c>
      <c r="L384" s="30">
        <f t="shared" si="30"/>
        <v>631.63090034819754</v>
      </c>
      <c r="Y384">
        <v>735</v>
      </c>
      <c r="Z384" s="30">
        <f t="shared" si="28"/>
        <v>688.43719221925664</v>
      </c>
      <c r="AA384">
        <v>382</v>
      </c>
    </row>
    <row r="385" spans="10:27">
      <c r="J385">
        <v>623</v>
      </c>
      <c r="K385">
        <f t="shared" si="29"/>
        <v>63061867.13412293</v>
      </c>
      <c r="L385" s="30">
        <f t="shared" si="30"/>
        <v>630.61867134122929</v>
      </c>
      <c r="Y385">
        <v>734</v>
      </c>
      <c r="Z385" s="30">
        <f t="shared" si="28"/>
        <v>687.42496321228828</v>
      </c>
      <c r="AA385">
        <v>383</v>
      </c>
    </row>
    <row r="386" spans="10:27">
      <c r="J386">
        <v>622</v>
      </c>
      <c r="K386">
        <f t="shared" si="29"/>
        <v>62960644.233426102</v>
      </c>
      <c r="L386" s="30">
        <f t="shared" si="30"/>
        <v>629.60644233426103</v>
      </c>
      <c r="Y386">
        <v>733</v>
      </c>
      <c r="Z386" s="30">
        <f t="shared" si="28"/>
        <v>686.41273420532002</v>
      </c>
      <c r="AA386">
        <v>384</v>
      </c>
    </row>
    <row r="387" spans="10:27">
      <c r="J387">
        <v>621</v>
      </c>
      <c r="K387">
        <f t="shared" si="29"/>
        <v>62859421.33272928</v>
      </c>
      <c r="L387" s="30">
        <f t="shared" si="30"/>
        <v>628.59421332729278</v>
      </c>
      <c r="Y387">
        <v>732</v>
      </c>
      <c r="Z387" s="30">
        <f t="shared" si="28"/>
        <v>685.40050519835177</v>
      </c>
      <c r="AA387">
        <v>385</v>
      </c>
    </row>
    <row r="388" spans="10:27">
      <c r="J388">
        <v>620</v>
      </c>
      <c r="K388">
        <f t="shared" si="29"/>
        <v>62758198.432032451</v>
      </c>
      <c r="L388" s="30">
        <f t="shared" si="30"/>
        <v>627.58198432032452</v>
      </c>
      <c r="Y388">
        <v>731</v>
      </c>
      <c r="Z388" s="30">
        <f t="shared" si="28"/>
        <v>684.38827619138351</v>
      </c>
      <c r="AA388">
        <v>386</v>
      </c>
    </row>
    <row r="389" spans="10:27">
      <c r="J389">
        <v>619</v>
      </c>
      <c r="K389">
        <f t="shared" si="29"/>
        <v>62656975.53133563</v>
      </c>
      <c r="L389" s="30">
        <f t="shared" si="30"/>
        <v>626.56975531335627</v>
      </c>
      <c r="Y389">
        <v>730</v>
      </c>
      <c r="Z389" s="30">
        <f t="shared" si="28"/>
        <v>683.37604718441526</v>
      </c>
      <c r="AA389">
        <v>387</v>
      </c>
    </row>
    <row r="390" spans="10:27">
      <c r="J390">
        <v>618</v>
      </c>
      <c r="K390">
        <f t="shared" si="29"/>
        <v>62555752.630638793</v>
      </c>
      <c r="L390" s="30">
        <f t="shared" si="30"/>
        <v>625.5575263063879</v>
      </c>
      <c r="Y390">
        <v>729</v>
      </c>
      <c r="Z390" s="30">
        <f t="shared" si="28"/>
        <v>682.363818177447</v>
      </c>
      <c r="AA390">
        <v>388</v>
      </c>
    </row>
    <row r="391" spans="10:27">
      <c r="J391">
        <v>617</v>
      </c>
      <c r="K391">
        <f t="shared" si="29"/>
        <v>62454529.729941964</v>
      </c>
      <c r="L391" s="30">
        <f t="shared" si="30"/>
        <v>624.54529729941964</v>
      </c>
      <c r="Y391">
        <v>728</v>
      </c>
      <c r="Z391" s="30">
        <f t="shared" si="28"/>
        <v>681.35158917047875</v>
      </c>
      <c r="AA391">
        <v>389</v>
      </c>
    </row>
    <row r="392" spans="10:27">
      <c r="J392">
        <v>616</v>
      </c>
      <c r="K392">
        <f t="shared" si="29"/>
        <v>62353306.829245143</v>
      </c>
      <c r="L392" s="30">
        <f t="shared" si="30"/>
        <v>623.53306829245139</v>
      </c>
      <c r="Y392">
        <v>727</v>
      </c>
      <c r="Z392" s="30">
        <f t="shared" si="28"/>
        <v>680.33936016351049</v>
      </c>
      <c r="AA392">
        <v>390</v>
      </c>
    </row>
    <row r="393" spans="10:27">
      <c r="J393">
        <v>615</v>
      </c>
      <c r="K393">
        <f t="shared" si="29"/>
        <v>62252083.928548314</v>
      </c>
      <c r="L393" s="30">
        <f t="shared" si="30"/>
        <v>622.52083928548313</v>
      </c>
      <c r="Y393">
        <v>726</v>
      </c>
      <c r="Z393" s="30">
        <f t="shared" si="28"/>
        <v>679.32713115654224</v>
      </c>
      <c r="AA393">
        <v>391</v>
      </c>
    </row>
    <row r="394" spans="10:27">
      <c r="J394">
        <v>614</v>
      </c>
      <c r="K394">
        <f t="shared" si="29"/>
        <v>62150861.027851492</v>
      </c>
      <c r="L394" s="30">
        <f t="shared" si="30"/>
        <v>621.50861027851488</v>
      </c>
      <c r="Y394">
        <v>725</v>
      </c>
      <c r="Z394" s="30">
        <f t="shared" si="28"/>
        <v>678.31490214957398</v>
      </c>
      <c r="AA394">
        <v>392</v>
      </c>
    </row>
    <row r="395" spans="10:27">
      <c r="J395">
        <v>613</v>
      </c>
      <c r="K395">
        <f t="shared" si="29"/>
        <v>62049638.127154663</v>
      </c>
      <c r="L395" s="30">
        <f t="shared" si="30"/>
        <v>620.49638127154662</v>
      </c>
      <c r="Y395">
        <v>724</v>
      </c>
      <c r="Z395" s="30">
        <f t="shared" si="28"/>
        <v>677.30267314260561</v>
      </c>
      <c r="AA395">
        <v>393</v>
      </c>
    </row>
    <row r="396" spans="10:27">
      <c r="J396">
        <v>612</v>
      </c>
      <c r="K396">
        <f t="shared" si="29"/>
        <v>61948415.226457842</v>
      </c>
      <c r="L396" s="30">
        <f t="shared" si="30"/>
        <v>619.48415226457837</v>
      </c>
      <c r="Y396">
        <v>723</v>
      </c>
      <c r="Z396" s="30">
        <f t="shared" si="28"/>
        <v>676.29044413563736</v>
      </c>
      <c r="AA396">
        <v>394</v>
      </c>
    </row>
    <row r="397" spans="10:27">
      <c r="J397">
        <v>611</v>
      </c>
      <c r="K397">
        <f t="shared" si="29"/>
        <v>61847192.325761013</v>
      </c>
      <c r="L397" s="30">
        <f t="shared" si="30"/>
        <v>618.47192325761011</v>
      </c>
      <c r="Y397">
        <v>722</v>
      </c>
      <c r="Z397" s="30">
        <f t="shared" si="28"/>
        <v>675.2782151286691</v>
      </c>
      <c r="AA397">
        <v>395</v>
      </c>
    </row>
    <row r="398" spans="10:27">
      <c r="J398">
        <v>610</v>
      </c>
      <c r="K398">
        <f t="shared" si="29"/>
        <v>61745969.425064184</v>
      </c>
      <c r="L398" s="30">
        <f t="shared" si="30"/>
        <v>617.45969425064186</v>
      </c>
      <c r="Y398">
        <v>721</v>
      </c>
      <c r="Z398" s="30">
        <f t="shared" si="28"/>
        <v>674.26598612170085</v>
      </c>
      <c r="AA398">
        <v>396</v>
      </c>
    </row>
    <row r="399" spans="10:27">
      <c r="J399">
        <v>609</v>
      </c>
      <c r="K399">
        <f t="shared" si="29"/>
        <v>61644746.524367355</v>
      </c>
      <c r="L399" s="30">
        <f t="shared" si="30"/>
        <v>616.44746524367349</v>
      </c>
      <c r="Y399">
        <v>720</v>
      </c>
      <c r="Z399" s="30">
        <f t="shared" si="28"/>
        <v>673.25375711473259</v>
      </c>
      <c r="AA399">
        <v>397</v>
      </c>
    </row>
    <row r="400" spans="10:27">
      <c r="J400">
        <v>608</v>
      </c>
      <c r="K400">
        <f t="shared" si="29"/>
        <v>61543523.623670526</v>
      </c>
      <c r="L400" s="30">
        <f t="shared" si="30"/>
        <v>615.43523623670524</v>
      </c>
      <c r="Y400">
        <v>719</v>
      </c>
      <c r="Z400" s="30">
        <f t="shared" si="28"/>
        <v>672.24152810776434</v>
      </c>
      <c r="AA400">
        <v>398</v>
      </c>
    </row>
    <row r="401" spans="10:27">
      <c r="J401">
        <v>607</v>
      </c>
      <c r="K401">
        <f t="shared" si="29"/>
        <v>61442300.722973704</v>
      </c>
      <c r="L401" s="30">
        <f t="shared" si="30"/>
        <v>614.4230072297371</v>
      </c>
      <c r="Y401">
        <v>718</v>
      </c>
      <c r="Z401" s="30">
        <f t="shared" si="28"/>
        <v>671.2292991007962</v>
      </c>
      <c r="AA401">
        <v>399</v>
      </c>
    </row>
    <row r="402" spans="10:27">
      <c r="J402">
        <v>606</v>
      </c>
      <c r="K402">
        <f t="shared" si="29"/>
        <v>61341077.822276875</v>
      </c>
      <c r="L402" s="30">
        <f t="shared" si="30"/>
        <v>613.41077822276873</v>
      </c>
      <c r="Y402">
        <v>717</v>
      </c>
      <c r="Z402" s="30">
        <f t="shared" si="28"/>
        <v>670.21707009382783</v>
      </c>
      <c r="AA402">
        <v>400</v>
      </c>
    </row>
    <row r="403" spans="10:27">
      <c r="J403">
        <v>605</v>
      </c>
      <c r="K403">
        <f t="shared" si="29"/>
        <v>61239854.921580054</v>
      </c>
      <c r="L403" s="30">
        <f t="shared" si="30"/>
        <v>612.39854921580059</v>
      </c>
      <c r="Y403">
        <v>716</v>
      </c>
      <c r="Z403" s="30">
        <f t="shared" si="28"/>
        <v>669.20484108685957</v>
      </c>
      <c r="AA403">
        <v>401</v>
      </c>
    </row>
    <row r="404" spans="10:27">
      <c r="J404">
        <v>604</v>
      </c>
      <c r="K404">
        <f t="shared" si="29"/>
        <v>61138632.020883225</v>
      </c>
      <c r="L404" s="30">
        <f t="shared" si="30"/>
        <v>611.38632020883222</v>
      </c>
      <c r="Y404">
        <v>715</v>
      </c>
      <c r="Z404" s="30">
        <f t="shared" si="28"/>
        <v>668.19261207989132</v>
      </c>
      <c r="AA404">
        <v>402</v>
      </c>
    </row>
    <row r="405" spans="10:27">
      <c r="J405">
        <v>603</v>
      </c>
      <c r="K405">
        <f t="shared" si="29"/>
        <v>61037409.120186403</v>
      </c>
      <c r="L405" s="30">
        <f t="shared" si="30"/>
        <v>610.37409120186408</v>
      </c>
      <c r="Y405">
        <v>714</v>
      </c>
      <c r="Z405" s="30">
        <f t="shared" si="28"/>
        <v>667.18038307292306</v>
      </c>
      <c r="AA405">
        <v>403</v>
      </c>
    </row>
    <row r="406" spans="10:27">
      <c r="J406">
        <v>602</v>
      </c>
      <c r="K406">
        <f t="shared" si="29"/>
        <v>60936186.219489567</v>
      </c>
      <c r="L406" s="30">
        <f t="shared" si="30"/>
        <v>609.36186219489571</v>
      </c>
      <c r="Y406">
        <v>713</v>
      </c>
      <c r="Z406" s="30">
        <f t="shared" ref="Z406:Z469" si="31">L379+$H$68</f>
        <v>666.16815406595481</v>
      </c>
      <c r="AA406">
        <v>404</v>
      </c>
    </row>
    <row r="407" spans="10:27">
      <c r="J407">
        <v>601</v>
      </c>
      <c r="K407">
        <f t="shared" si="29"/>
        <v>60834963.318792745</v>
      </c>
      <c r="L407" s="30">
        <f t="shared" si="30"/>
        <v>608.34963318792745</v>
      </c>
      <c r="Y407">
        <v>712</v>
      </c>
      <c r="Z407" s="30">
        <f t="shared" si="31"/>
        <v>665.15592505898644</v>
      </c>
      <c r="AA407">
        <v>405</v>
      </c>
    </row>
    <row r="408" spans="10:27">
      <c r="J408">
        <v>600</v>
      </c>
      <c r="K408">
        <f t="shared" si="29"/>
        <v>60733740.418095917</v>
      </c>
      <c r="L408" s="30">
        <f t="shared" si="30"/>
        <v>607.3374041809592</v>
      </c>
      <c r="Y408">
        <v>711</v>
      </c>
      <c r="Z408" s="30">
        <f t="shared" si="31"/>
        <v>664.1436960520183</v>
      </c>
      <c r="AA408">
        <v>406</v>
      </c>
    </row>
    <row r="409" spans="10:27">
      <c r="J409">
        <v>599</v>
      </c>
      <c r="K409">
        <f t="shared" si="29"/>
        <v>60632517.517399095</v>
      </c>
      <c r="L409" s="30">
        <f t="shared" si="30"/>
        <v>606.32517517399094</v>
      </c>
      <c r="Y409">
        <v>710</v>
      </c>
      <c r="Z409" s="30">
        <f t="shared" si="31"/>
        <v>663.13146704504993</v>
      </c>
      <c r="AA409">
        <v>407</v>
      </c>
    </row>
    <row r="410" spans="10:27">
      <c r="J410">
        <v>598</v>
      </c>
      <c r="K410">
        <f t="shared" si="29"/>
        <v>60531294.616702266</v>
      </c>
      <c r="L410" s="30">
        <f t="shared" si="30"/>
        <v>605.31294616702269</v>
      </c>
      <c r="Y410">
        <v>709</v>
      </c>
      <c r="Z410" s="30">
        <f t="shared" si="31"/>
        <v>662.11923803808168</v>
      </c>
      <c r="AA410">
        <v>408</v>
      </c>
    </row>
    <row r="411" spans="10:27">
      <c r="J411">
        <v>597</v>
      </c>
      <c r="K411">
        <f t="shared" si="29"/>
        <v>60430071.716005437</v>
      </c>
      <c r="L411" s="30">
        <f t="shared" si="30"/>
        <v>604.30071716005432</v>
      </c>
      <c r="Y411">
        <v>708</v>
      </c>
      <c r="Z411" s="30">
        <f t="shared" si="31"/>
        <v>661.10700903111342</v>
      </c>
      <c r="AA411">
        <v>409</v>
      </c>
    </row>
    <row r="412" spans="10:27">
      <c r="J412">
        <v>596</v>
      </c>
      <c r="K412">
        <f t="shared" si="29"/>
        <v>60328848.815308616</v>
      </c>
      <c r="L412" s="30">
        <f t="shared" si="30"/>
        <v>603.28848815308618</v>
      </c>
      <c r="Y412">
        <v>707</v>
      </c>
      <c r="Z412" s="30">
        <f t="shared" si="31"/>
        <v>660.09478002414517</v>
      </c>
      <c r="AA412">
        <v>410</v>
      </c>
    </row>
    <row r="413" spans="10:27">
      <c r="J413">
        <v>595</v>
      </c>
      <c r="K413">
        <f t="shared" si="29"/>
        <v>60227625.914611787</v>
      </c>
      <c r="L413" s="30">
        <f t="shared" si="30"/>
        <v>602.27625914611792</v>
      </c>
      <c r="Y413">
        <v>706</v>
      </c>
      <c r="Z413" s="30">
        <f t="shared" si="31"/>
        <v>659.08255101717691</v>
      </c>
      <c r="AA413">
        <v>411</v>
      </c>
    </row>
    <row r="414" spans="10:27">
      <c r="J414">
        <v>594</v>
      </c>
      <c r="K414">
        <f t="shared" si="29"/>
        <v>60126403.013914958</v>
      </c>
      <c r="L414" s="30">
        <f t="shared" si="30"/>
        <v>601.26403013914955</v>
      </c>
      <c r="Y414">
        <v>705</v>
      </c>
      <c r="Z414" s="30">
        <f t="shared" si="31"/>
        <v>658.07032201020866</v>
      </c>
      <c r="AA414">
        <v>412</v>
      </c>
    </row>
    <row r="415" spans="10:27">
      <c r="J415">
        <v>593</v>
      </c>
      <c r="K415">
        <f t="shared" si="29"/>
        <v>60025180.113218129</v>
      </c>
      <c r="L415" s="30">
        <f t="shared" si="30"/>
        <v>600.2518011321813</v>
      </c>
      <c r="Y415">
        <v>704</v>
      </c>
      <c r="Z415" s="30">
        <f t="shared" si="31"/>
        <v>657.0580930032404</v>
      </c>
      <c r="AA415">
        <v>413</v>
      </c>
    </row>
    <row r="416" spans="10:27">
      <c r="J416">
        <v>592</v>
      </c>
      <c r="K416">
        <f t="shared" si="29"/>
        <v>59923957.212521307</v>
      </c>
      <c r="L416" s="30">
        <f t="shared" si="30"/>
        <v>599.23957212521304</v>
      </c>
      <c r="Y416">
        <v>703</v>
      </c>
      <c r="Z416" s="30">
        <f t="shared" si="31"/>
        <v>656.04586399627215</v>
      </c>
      <c r="AA416">
        <v>414</v>
      </c>
    </row>
    <row r="417" spans="10:27">
      <c r="J417">
        <v>591</v>
      </c>
      <c r="K417">
        <f t="shared" si="29"/>
        <v>59822734.311824478</v>
      </c>
      <c r="L417" s="30">
        <f t="shared" si="30"/>
        <v>598.22734311824479</v>
      </c>
      <c r="Y417">
        <v>702</v>
      </c>
      <c r="Z417" s="30">
        <f t="shared" si="31"/>
        <v>655.03363498930378</v>
      </c>
      <c r="AA417">
        <v>415</v>
      </c>
    </row>
    <row r="418" spans="10:27">
      <c r="J418">
        <v>590</v>
      </c>
      <c r="K418">
        <f t="shared" si="29"/>
        <v>59721511.411127657</v>
      </c>
      <c r="L418" s="30">
        <f t="shared" si="30"/>
        <v>597.21511411127653</v>
      </c>
      <c r="Y418">
        <v>701</v>
      </c>
      <c r="Z418" s="30">
        <f t="shared" si="31"/>
        <v>654.02140598233552</v>
      </c>
      <c r="AA418">
        <v>416</v>
      </c>
    </row>
    <row r="419" spans="10:27">
      <c r="J419">
        <v>589</v>
      </c>
      <c r="K419">
        <f t="shared" si="29"/>
        <v>59620288.510430828</v>
      </c>
      <c r="L419" s="30">
        <f t="shared" si="30"/>
        <v>596.20288510430828</v>
      </c>
      <c r="Y419">
        <v>700</v>
      </c>
      <c r="Z419" s="30">
        <f t="shared" si="31"/>
        <v>653.00917697536727</v>
      </c>
      <c r="AA419">
        <v>417</v>
      </c>
    </row>
    <row r="420" spans="10:27">
      <c r="J420">
        <v>588</v>
      </c>
      <c r="K420">
        <f t="shared" si="29"/>
        <v>59519065.609734006</v>
      </c>
      <c r="L420" s="30">
        <f t="shared" si="30"/>
        <v>595.19065609734002</v>
      </c>
      <c r="Y420">
        <v>699</v>
      </c>
      <c r="Z420" s="30">
        <f t="shared" si="31"/>
        <v>651.99694796839901</v>
      </c>
      <c r="AA420">
        <v>418</v>
      </c>
    </row>
    <row r="421" spans="10:27">
      <c r="J421">
        <v>587</v>
      </c>
      <c r="K421">
        <f t="shared" si="29"/>
        <v>59417842.709037177</v>
      </c>
      <c r="L421" s="30">
        <f t="shared" si="30"/>
        <v>594.17842709037177</v>
      </c>
      <c r="Y421">
        <v>698</v>
      </c>
      <c r="Z421" s="30">
        <f t="shared" si="31"/>
        <v>650.98471896143076</v>
      </c>
      <c r="AA421">
        <v>419</v>
      </c>
    </row>
    <row r="422" spans="10:27">
      <c r="J422">
        <v>586</v>
      </c>
      <c r="K422">
        <f t="shared" si="29"/>
        <v>59316619.808340341</v>
      </c>
      <c r="L422" s="30">
        <f t="shared" si="30"/>
        <v>593.1661980834034</v>
      </c>
      <c r="Y422">
        <v>697</v>
      </c>
      <c r="Z422" s="30">
        <f t="shared" si="31"/>
        <v>649.9724899544625</v>
      </c>
      <c r="AA422">
        <v>420</v>
      </c>
    </row>
    <row r="423" spans="10:27">
      <c r="J423">
        <v>585</v>
      </c>
      <c r="K423">
        <f t="shared" si="29"/>
        <v>59215396.907643519</v>
      </c>
      <c r="L423" s="30">
        <f t="shared" si="30"/>
        <v>592.15396907643515</v>
      </c>
      <c r="Y423">
        <v>696</v>
      </c>
      <c r="Z423" s="30">
        <f t="shared" si="31"/>
        <v>648.96026094749425</v>
      </c>
      <c r="AA423">
        <v>421</v>
      </c>
    </row>
    <row r="424" spans="10:27">
      <c r="J424">
        <v>584</v>
      </c>
      <c r="K424">
        <f t="shared" si="29"/>
        <v>59114174.00694669</v>
      </c>
      <c r="L424" s="30">
        <f t="shared" si="30"/>
        <v>591.14174006946689</v>
      </c>
      <c r="Y424">
        <v>695</v>
      </c>
      <c r="Z424" s="30">
        <f t="shared" si="31"/>
        <v>647.94803194052599</v>
      </c>
      <c r="AA424">
        <v>422</v>
      </c>
    </row>
    <row r="425" spans="10:27">
      <c r="J425">
        <v>583</v>
      </c>
      <c r="K425">
        <f t="shared" si="29"/>
        <v>59012951.106249869</v>
      </c>
      <c r="L425" s="30">
        <f t="shared" si="30"/>
        <v>590.12951106249864</v>
      </c>
      <c r="Y425">
        <v>694</v>
      </c>
      <c r="Z425" s="30">
        <f t="shared" si="31"/>
        <v>646.93580293355774</v>
      </c>
      <c r="AA425">
        <v>423</v>
      </c>
    </row>
    <row r="426" spans="10:27">
      <c r="J426">
        <v>582</v>
      </c>
      <c r="K426">
        <f t="shared" si="29"/>
        <v>58911728.20555304</v>
      </c>
      <c r="L426" s="30">
        <f t="shared" si="30"/>
        <v>589.11728205553038</v>
      </c>
      <c r="Y426">
        <v>693</v>
      </c>
      <c r="Z426" s="30">
        <f t="shared" si="31"/>
        <v>645.92357392658937</v>
      </c>
      <c r="AA426">
        <v>424</v>
      </c>
    </row>
    <row r="427" spans="10:27">
      <c r="J427">
        <v>581</v>
      </c>
      <c r="K427">
        <f t="shared" si="29"/>
        <v>58810505.304856218</v>
      </c>
      <c r="L427" s="30">
        <f t="shared" si="30"/>
        <v>588.10505304856224</v>
      </c>
      <c r="Y427">
        <v>692</v>
      </c>
      <c r="Z427" s="30">
        <f t="shared" si="31"/>
        <v>644.91134491962111</v>
      </c>
      <c r="AA427">
        <v>425</v>
      </c>
    </row>
    <row r="428" spans="10:27">
      <c r="J428">
        <v>580</v>
      </c>
      <c r="K428">
        <f t="shared" si="29"/>
        <v>58709282.404159389</v>
      </c>
      <c r="L428" s="30">
        <f t="shared" si="30"/>
        <v>587.09282404159387</v>
      </c>
      <c r="Y428">
        <v>691</v>
      </c>
      <c r="Z428" s="30">
        <f t="shared" si="31"/>
        <v>643.89911591265297</v>
      </c>
      <c r="AA428">
        <v>426</v>
      </c>
    </row>
    <row r="429" spans="10:27">
      <c r="J429">
        <v>579</v>
      </c>
      <c r="K429">
        <f t="shared" si="29"/>
        <v>58608059.503462568</v>
      </c>
      <c r="L429" s="30">
        <f t="shared" si="30"/>
        <v>586.08059503462573</v>
      </c>
      <c r="Y429">
        <v>690</v>
      </c>
      <c r="Z429" s="30">
        <f t="shared" si="31"/>
        <v>642.88688690568461</v>
      </c>
      <c r="AA429">
        <v>427</v>
      </c>
    </row>
    <row r="430" spans="10:27">
      <c r="J430">
        <v>578</v>
      </c>
      <c r="K430">
        <f t="shared" si="29"/>
        <v>58506836.602765732</v>
      </c>
      <c r="L430" s="30">
        <f t="shared" si="30"/>
        <v>585.06836602765736</v>
      </c>
      <c r="Y430">
        <v>689</v>
      </c>
      <c r="Z430" s="30">
        <f t="shared" si="31"/>
        <v>641.87465789871646</v>
      </c>
      <c r="AA430">
        <v>428</v>
      </c>
    </row>
    <row r="431" spans="10:27">
      <c r="J431">
        <v>577</v>
      </c>
      <c r="K431">
        <f t="shared" si="29"/>
        <v>58405613.70206891</v>
      </c>
      <c r="L431" s="30">
        <f t="shared" si="30"/>
        <v>584.05613702068911</v>
      </c>
      <c r="Y431">
        <v>688</v>
      </c>
      <c r="Z431" s="30">
        <f t="shared" si="31"/>
        <v>640.8624288917481</v>
      </c>
      <c r="AA431">
        <v>429</v>
      </c>
    </row>
    <row r="432" spans="10:27">
      <c r="J432">
        <v>576</v>
      </c>
      <c r="K432">
        <f t="shared" si="29"/>
        <v>58304390.801372081</v>
      </c>
      <c r="L432" s="30">
        <f t="shared" si="30"/>
        <v>583.04390801372085</v>
      </c>
      <c r="Y432">
        <v>687</v>
      </c>
      <c r="Z432" s="30">
        <f t="shared" si="31"/>
        <v>639.85019988477995</v>
      </c>
      <c r="AA432">
        <v>430</v>
      </c>
    </row>
    <row r="433" spans="10:27">
      <c r="J433">
        <v>575</v>
      </c>
      <c r="K433">
        <f t="shared" si="29"/>
        <v>58203167.900675252</v>
      </c>
      <c r="L433" s="30">
        <f t="shared" si="30"/>
        <v>582.03167900675248</v>
      </c>
      <c r="Y433">
        <v>686</v>
      </c>
      <c r="Z433" s="30">
        <f t="shared" si="31"/>
        <v>638.83797087781159</v>
      </c>
      <c r="AA433">
        <v>431</v>
      </c>
    </row>
    <row r="434" spans="10:27">
      <c r="J434">
        <v>574</v>
      </c>
      <c r="K434">
        <f t="shared" si="29"/>
        <v>58101944.999978431</v>
      </c>
      <c r="L434" s="30">
        <f t="shared" si="30"/>
        <v>581.01944999978434</v>
      </c>
      <c r="Y434">
        <v>685</v>
      </c>
      <c r="Z434" s="30">
        <f t="shared" si="31"/>
        <v>637.82574187084333</v>
      </c>
      <c r="AA434">
        <v>432</v>
      </c>
    </row>
    <row r="435" spans="10:27">
      <c r="J435">
        <v>573</v>
      </c>
      <c r="K435">
        <f t="shared" si="29"/>
        <v>58000722.099281602</v>
      </c>
      <c r="L435" s="30">
        <f t="shared" si="30"/>
        <v>580.00722099281597</v>
      </c>
      <c r="Y435">
        <v>684</v>
      </c>
      <c r="Z435" s="30">
        <f t="shared" si="31"/>
        <v>636.81351286387508</v>
      </c>
      <c r="AA435">
        <v>433</v>
      </c>
    </row>
    <row r="436" spans="10:27">
      <c r="J436">
        <v>572</v>
      </c>
      <c r="K436">
        <f t="shared" si="29"/>
        <v>57899499.19858478</v>
      </c>
      <c r="L436" s="30">
        <f t="shared" si="30"/>
        <v>578.99499198584783</v>
      </c>
      <c r="Y436">
        <v>683</v>
      </c>
      <c r="Z436" s="30">
        <f t="shared" si="31"/>
        <v>635.80128385690682</v>
      </c>
      <c r="AA436">
        <v>434</v>
      </c>
    </row>
    <row r="437" spans="10:27">
      <c r="J437">
        <v>571</v>
      </c>
      <c r="K437">
        <f t="shared" si="29"/>
        <v>57798276.297887951</v>
      </c>
      <c r="L437" s="30">
        <f t="shared" si="30"/>
        <v>577.98276297887946</v>
      </c>
      <c r="Y437">
        <v>682</v>
      </c>
      <c r="Z437" s="30">
        <f t="shared" si="31"/>
        <v>634.78905484993857</v>
      </c>
      <c r="AA437">
        <v>435</v>
      </c>
    </row>
    <row r="438" spans="10:27">
      <c r="J438">
        <v>570</v>
      </c>
      <c r="K438">
        <f t="shared" si="29"/>
        <v>57697053.397191122</v>
      </c>
      <c r="L438" s="30">
        <f t="shared" si="30"/>
        <v>576.97053397191121</v>
      </c>
      <c r="Y438">
        <v>681</v>
      </c>
      <c r="Z438" s="30">
        <f t="shared" si="31"/>
        <v>633.7768258429702</v>
      </c>
      <c r="AA438">
        <v>436</v>
      </c>
    </row>
    <row r="439" spans="10:27">
      <c r="J439">
        <v>569</v>
      </c>
      <c r="K439">
        <f t="shared" si="29"/>
        <v>57595830.496494293</v>
      </c>
      <c r="L439" s="30">
        <f t="shared" si="30"/>
        <v>575.95830496494295</v>
      </c>
      <c r="Y439">
        <v>680</v>
      </c>
      <c r="Z439" s="30">
        <f t="shared" si="31"/>
        <v>632.76459683600206</v>
      </c>
      <c r="AA439">
        <v>437</v>
      </c>
    </row>
    <row r="440" spans="10:27">
      <c r="J440">
        <v>568</v>
      </c>
      <c r="K440">
        <f t="shared" si="29"/>
        <v>57494607.595797472</v>
      </c>
      <c r="L440" s="30">
        <f t="shared" si="30"/>
        <v>574.9460759579747</v>
      </c>
      <c r="Y440">
        <v>679</v>
      </c>
      <c r="Z440" s="30">
        <f t="shared" si="31"/>
        <v>631.7523678290338</v>
      </c>
      <c r="AA440">
        <v>438</v>
      </c>
    </row>
    <row r="441" spans="10:27">
      <c r="J441">
        <v>567</v>
      </c>
      <c r="K441">
        <f t="shared" si="29"/>
        <v>57393384.695100643</v>
      </c>
      <c r="L441" s="30">
        <f t="shared" si="30"/>
        <v>573.93384695100644</v>
      </c>
      <c r="Y441">
        <v>678</v>
      </c>
      <c r="Z441" s="30">
        <f t="shared" si="31"/>
        <v>630.74013882206543</v>
      </c>
      <c r="AA441">
        <v>439</v>
      </c>
    </row>
    <row r="442" spans="10:27">
      <c r="J442">
        <v>566</v>
      </c>
      <c r="K442">
        <f t="shared" ref="K442:K505" si="32">$A$1*J442*$B$52^2</f>
        <v>57292161.794403821</v>
      </c>
      <c r="L442" s="30">
        <f t="shared" si="30"/>
        <v>572.92161794403819</v>
      </c>
      <c r="Y442">
        <v>677</v>
      </c>
      <c r="Z442" s="30">
        <f t="shared" si="31"/>
        <v>629.72790981509718</v>
      </c>
      <c r="AA442">
        <v>440</v>
      </c>
    </row>
    <row r="443" spans="10:27">
      <c r="J443">
        <v>565</v>
      </c>
      <c r="K443">
        <f t="shared" si="32"/>
        <v>57190938.893706992</v>
      </c>
      <c r="L443" s="30">
        <f t="shared" ref="L443:L506" si="33">K443/100000</f>
        <v>571.90938893706993</v>
      </c>
      <c r="Y443">
        <v>676</v>
      </c>
      <c r="Z443" s="30">
        <f t="shared" si="31"/>
        <v>628.71568080812892</v>
      </c>
      <c r="AA443">
        <v>441</v>
      </c>
    </row>
    <row r="444" spans="10:27">
      <c r="J444">
        <v>564</v>
      </c>
      <c r="K444">
        <f t="shared" si="32"/>
        <v>57089715.993010163</v>
      </c>
      <c r="L444" s="30">
        <f t="shared" si="33"/>
        <v>570.89715993010168</v>
      </c>
      <c r="Y444">
        <v>675</v>
      </c>
      <c r="Z444" s="30">
        <f t="shared" si="31"/>
        <v>627.70345180116067</v>
      </c>
      <c r="AA444">
        <v>442</v>
      </c>
    </row>
    <row r="445" spans="10:27">
      <c r="J445">
        <v>563</v>
      </c>
      <c r="K445">
        <f t="shared" si="32"/>
        <v>56988493.092313342</v>
      </c>
      <c r="L445" s="30">
        <f t="shared" si="33"/>
        <v>569.88493092313342</v>
      </c>
      <c r="Y445">
        <v>674</v>
      </c>
      <c r="Z445" s="30">
        <f t="shared" si="31"/>
        <v>626.69122279419241</v>
      </c>
      <c r="AA445">
        <v>443</v>
      </c>
    </row>
    <row r="446" spans="10:27">
      <c r="J446">
        <v>562</v>
      </c>
      <c r="K446">
        <f t="shared" si="32"/>
        <v>56887270.191616505</v>
      </c>
      <c r="L446" s="30">
        <f t="shared" si="33"/>
        <v>568.87270191616506</v>
      </c>
      <c r="Y446">
        <v>673</v>
      </c>
      <c r="Z446" s="30">
        <f t="shared" si="31"/>
        <v>625.67899378722416</v>
      </c>
      <c r="AA446">
        <v>444</v>
      </c>
    </row>
    <row r="447" spans="10:27">
      <c r="J447">
        <v>561</v>
      </c>
      <c r="K447">
        <f t="shared" si="32"/>
        <v>56786047.290919684</v>
      </c>
      <c r="L447" s="30">
        <f t="shared" si="33"/>
        <v>567.8604729091968</v>
      </c>
      <c r="Y447">
        <v>672</v>
      </c>
      <c r="Z447" s="30">
        <f t="shared" si="31"/>
        <v>624.6667647802559</v>
      </c>
      <c r="AA447">
        <v>445</v>
      </c>
    </row>
    <row r="448" spans="10:27">
      <c r="J448">
        <v>560</v>
      </c>
      <c r="K448">
        <f t="shared" si="32"/>
        <v>56684824.390222855</v>
      </c>
      <c r="L448" s="30">
        <f t="shared" si="33"/>
        <v>566.84824390222855</v>
      </c>
      <c r="Y448">
        <v>671</v>
      </c>
      <c r="Z448" s="30">
        <f t="shared" si="31"/>
        <v>623.65453577328765</v>
      </c>
      <c r="AA448">
        <v>446</v>
      </c>
    </row>
    <row r="449" spans="10:27">
      <c r="J449">
        <v>559</v>
      </c>
      <c r="K449">
        <f t="shared" si="32"/>
        <v>56583601.489526033</v>
      </c>
      <c r="L449" s="30">
        <f t="shared" si="33"/>
        <v>565.83601489526029</v>
      </c>
      <c r="Y449">
        <v>670</v>
      </c>
      <c r="Z449" s="30">
        <f t="shared" si="31"/>
        <v>622.64230676631928</v>
      </c>
      <c r="AA449">
        <v>447</v>
      </c>
    </row>
    <row r="450" spans="10:27">
      <c r="J450">
        <v>558</v>
      </c>
      <c r="K450">
        <f t="shared" si="32"/>
        <v>56482378.588829204</v>
      </c>
      <c r="L450" s="30">
        <f t="shared" si="33"/>
        <v>564.82378588829204</v>
      </c>
      <c r="Y450">
        <v>669</v>
      </c>
      <c r="Z450" s="30">
        <f t="shared" si="31"/>
        <v>621.63007775935102</v>
      </c>
      <c r="AA450">
        <v>448</v>
      </c>
    </row>
    <row r="451" spans="10:27">
      <c r="J451">
        <v>557</v>
      </c>
      <c r="K451">
        <f t="shared" si="32"/>
        <v>56381155.688132383</v>
      </c>
      <c r="L451" s="30">
        <f t="shared" si="33"/>
        <v>563.81155688132378</v>
      </c>
      <c r="Y451">
        <v>668</v>
      </c>
      <c r="Z451" s="30">
        <f t="shared" si="31"/>
        <v>620.61784875238277</v>
      </c>
      <c r="AA451">
        <v>449</v>
      </c>
    </row>
    <row r="452" spans="10:27">
      <c r="J452">
        <v>556</v>
      </c>
      <c r="K452">
        <f t="shared" si="32"/>
        <v>56279932.787435554</v>
      </c>
      <c r="L452" s="30">
        <f t="shared" si="33"/>
        <v>562.79932787435553</v>
      </c>
      <c r="Y452">
        <v>667</v>
      </c>
      <c r="Z452" s="30">
        <f t="shared" si="31"/>
        <v>619.60561974541451</v>
      </c>
      <c r="AA452">
        <v>450</v>
      </c>
    </row>
    <row r="453" spans="10:27">
      <c r="J453">
        <v>555</v>
      </c>
      <c r="K453">
        <f t="shared" si="32"/>
        <v>56178709.886738725</v>
      </c>
      <c r="L453" s="30">
        <f t="shared" si="33"/>
        <v>561.78709886738727</v>
      </c>
      <c r="Y453">
        <v>666</v>
      </c>
      <c r="Z453" s="30">
        <f t="shared" si="31"/>
        <v>618.59339073844626</v>
      </c>
      <c r="AA453">
        <v>451</v>
      </c>
    </row>
    <row r="454" spans="10:27">
      <c r="J454">
        <v>554</v>
      </c>
      <c r="K454">
        <f t="shared" si="32"/>
        <v>56077486.986041896</v>
      </c>
      <c r="L454" s="30">
        <f t="shared" si="33"/>
        <v>560.77486986041902</v>
      </c>
      <c r="Y454">
        <v>665</v>
      </c>
      <c r="Z454" s="30">
        <f t="shared" si="31"/>
        <v>617.58116173147812</v>
      </c>
      <c r="AA454">
        <v>452</v>
      </c>
    </row>
    <row r="455" spans="10:27">
      <c r="J455">
        <v>553</v>
      </c>
      <c r="K455">
        <f t="shared" si="32"/>
        <v>55976264.085345067</v>
      </c>
      <c r="L455" s="30">
        <f t="shared" si="33"/>
        <v>559.76264085345065</v>
      </c>
      <c r="Y455">
        <v>664</v>
      </c>
      <c r="Z455" s="30">
        <f t="shared" si="31"/>
        <v>616.56893272450975</v>
      </c>
      <c r="AA455">
        <v>453</v>
      </c>
    </row>
    <row r="456" spans="10:27">
      <c r="J456">
        <v>552</v>
      </c>
      <c r="K456">
        <f t="shared" si="32"/>
        <v>55875041.184648246</v>
      </c>
      <c r="L456" s="30">
        <f t="shared" si="33"/>
        <v>558.75041184648251</v>
      </c>
      <c r="Y456">
        <v>663</v>
      </c>
      <c r="Z456" s="30">
        <f t="shared" si="31"/>
        <v>615.55670371754161</v>
      </c>
      <c r="AA456">
        <v>454</v>
      </c>
    </row>
    <row r="457" spans="10:27">
      <c r="J457">
        <v>551</v>
      </c>
      <c r="K457">
        <f t="shared" si="32"/>
        <v>55773818.283951417</v>
      </c>
      <c r="L457" s="30">
        <f t="shared" si="33"/>
        <v>557.73818283951414</v>
      </c>
      <c r="Y457">
        <v>662</v>
      </c>
      <c r="Z457" s="30">
        <f t="shared" si="31"/>
        <v>614.54447471057324</v>
      </c>
      <c r="AA457">
        <v>455</v>
      </c>
    </row>
    <row r="458" spans="10:27">
      <c r="J458">
        <v>550</v>
      </c>
      <c r="K458">
        <f t="shared" si="32"/>
        <v>55672595.383254595</v>
      </c>
      <c r="L458" s="30">
        <f t="shared" si="33"/>
        <v>556.725953832546</v>
      </c>
      <c r="Y458">
        <v>661</v>
      </c>
      <c r="Z458" s="30">
        <f t="shared" si="31"/>
        <v>613.53224570360499</v>
      </c>
      <c r="AA458">
        <v>456</v>
      </c>
    </row>
    <row r="459" spans="10:27">
      <c r="J459">
        <v>549</v>
      </c>
      <c r="K459">
        <f t="shared" si="32"/>
        <v>55571372.482557766</v>
      </c>
      <c r="L459" s="30">
        <f t="shared" si="33"/>
        <v>555.71372482557763</v>
      </c>
      <c r="Y459">
        <v>660</v>
      </c>
      <c r="Z459" s="30">
        <f t="shared" si="31"/>
        <v>612.52001669663673</v>
      </c>
      <c r="AA459">
        <v>457</v>
      </c>
    </row>
    <row r="460" spans="10:27">
      <c r="J460">
        <v>548</v>
      </c>
      <c r="K460">
        <f t="shared" si="32"/>
        <v>55470149.581860945</v>
      </c>
      <c r="L460" s="30">
        <f t="shared" si="33"/>
        <v>554.70149581860949</v>
      </c>
      <c r="Y460">
        <v>659</v>
      </c>
      <c r="Z460" s="30">
        <f t="shared" si="31"/>
        <v>611.50778768966836</v>
      </c>
      <c r="AA460">
        <v>458</v>
      </c>
    </row>
    <row r="461" spans="10:27">
      <c r="J461">
        <v>547</v>
      </c>
      <c r="K461">
        <f t="shared" si="32"/>
        <v>55368926.681164108</v>
      </c>
      <c r="L461" s="30">
        <f t="shared" si="33"/>
        <v>553.68926681164112</v>
      </c>
      <c r="Y461">
        <v>658</v>
      </c>
      <c r="Z461" s="30">
        <f t="shared" si="31"/>
        <v>610.49555868270022</v>
      </c>
      <c r="AA461">
        <v>459</v>
      </c>
    </row>
    <row r="462" spans="10:27">
      <c r="J462">
        <v>546</v>
      </c>
      <c r="K462">
        <f t="shared" si="32"/>
        <v>55267703.780467287</v>
      </c>
      <c r="L462" s="30">
        <f t="shared" si="33"/>
        <v>552.67703780467286</v>
      </c>
      <c r="Y462">
        <v>657</v>
      </c>
      <c r="Z462" s="30">
        <f t="shared" si="31"/>
        <v>609.48332967573185</v>
      </c>
      <c r="AA462">
        <v>460</v>
      </c>
    </row>
    <row r="463" spans="10:27">
      <c r="J463">
        <v>545</v>
      </c>
      <c r="K463">
        <f t="shared" si="32"/>
        <v>55166480.879770458</v>
      </c>
      <c r="L463" s="30">
        <f t="shared" si="33"/>
        <v>551.66480879770461</v>
      </c>
      <c r="Y463">
        <v>656</v>
      </c>
      <c r="Z463" s="30">
        <f t="shared" si="31"/>
        <v>608.47110066876371</v>
      </c>
      <c r="AA463">
        <v>461</v>
      </c>
    </row>
    <row r="464" spans="10:27">
      <c r="J464">
        <v>544</v>
      </c>
      <c r="K464">
        <f t="shared" si="32"/>
        <v>55065257.979073636</v>
      </c>
      <c r="L464" s="30">
        <f t="shared" si="33"/>
        <v>550.65257979073635</v>
      </c>
      <c r="Y464">
        <v>655</v>
      </c>
      <c r="Z464" s="30">
        <f t="shared" si="31"/>
        <v>607.45887166179534</v>
      </c>
      <c r="AA464">
        <v>462</v>
      </c>
    </row>
    <row r="465" spans="10:27">
      <c r="J465">
        <v>543</v>
      </c>
      <c r="K465">
        <f t="shared" si="32"/>
        <v>54964035.078376807</v>
      </c>
      <c r="L465" s="30">
        <f t="shared" si="33"/>
        <v>549.6403507837681</v>
      </c>
      <c r="Y465">
        <v>654</v>
      </c>
      <c r="Z465" s="30">
        <f t="shared" si="31"/>
        <v>606.44664265482709</v>
      </c>
      <c r="AA465">
        <v>463</v>
      </c>
    </row>
    <row r="466" spans="10:27">
      <c r="J466">
        <v>542</v>
      </c>
      <c r="K466">
        <f t="shared" si="32"/>
        <v>54862812.177679978</v>
      </c>
      <c r="L466" s="30">
        <f t="shared" si="33"/>
        <v>548.62812177679973</v>
      </c>
      <c r="Y466">
        <v>653</v>
      </c>
      <c r="Z466" s="30">
        <f t="shared" si="31"/>
        <v>605.43441364785883</v>
      </c>
      <c r="AA466">
        <v>464</v>
      </c>
    </row>
    <row r="467" spans="10:27">
      <c r="J467">
        <v>541</v>
      </c>
      <c r="K467">
        <f t="shared" si="32"/>
        <v>54761589.276983157</v>
      </c>
      <c r="L467" s="30">
        <f t="shared" si="33"/>
        <v>547.61589276983159</v>
      </c>
      <c r="Y467">
        <v>652</v>
      </c>
      <c r="Z467" s="30">
        <f t="shared" si="31"/>
        <v>604.42218464089058</v>
      </c>
      <c r="AA467">
        <v>465</v>
      </c>
    </row>
    <row r="468" spans="10:27">
      <c r="J468">
        <v>540</v>
      </c>
      <c r="K468">
        <f t="shared" si="32"/>
        <v>54660366.376286328</v>
      </c>
      <c r="L468" s="30">
        <f t="shared" si="33"/>
        <v>546.60366376286333</v>
      </c>
      <c r="Y468">
        <v>651</v>
      </c>
      <c r="Z468" s="30">
        <f t="shared" si="31"/>
        <v>603.40995563392232</v>
      </c>
      <c r="AA468">
        <v>466</v>
      </c>
    </row>
    <row r="469" spans="10:27">
      <c r="J469">
        <v>539</v>
      </c>
      <c r="K469">
        <f t="shared" si="32"/>
        <v>54559143.475589499</v>
      </c>
      <c r="L469" s="30">
        <f t="shared" si="33"/>
        <v>545.59143475589497</v>
      </c>
      <c r="Y469">
        <v>650</v>
      </c>
      <c r="Z469" s="30">
        <f t="shared" si="31"/>
        <v>602.39772662695407</v>
      </c>
      <c r="AA469">
        <v>467</v>
      </c>
    </row>
    <row r="470" spans="10:27">
      <c r="J470">
        <v>538</v>
      </c>
      <c r="K470">
        <f t="shared" si="32"/>
        <v>54457920.57489267</v>
      </c>
      <c r="L470" s="30">
        <f t="shared" si="33"/>
        <v>544.57920574892671</v>
      </c>
      <c r="Y470">
        <v>649</v>
      </c>
      <c r="Z470" s="30">
        <f t="shared" ref="Z470:Z533" si="34">L443+$H$68</f>
        <v>601.38549761998581</v>
      </c>
      <c r="AA470">
        <v>468</v>
      </c>
    </row>
    <row r="471" spans="10:27">
      <c r="J471">
        <v>537</v>
      </c>
      <c r="K471">
        <f t="shared" si="32"/>
        <v>54356697.674195848</v>
      </c>
      <c r="L471" s="30">
        <f t="shared" si="33"/>
        <v>543.56697674195846</v>
      </c>
      <c r="Y471">
        <v>648</v>
      </c>
      <c r="Z471" s="30">
        <f t="shared" si="34"/>
        <v>600.37326861301756</v>
      </c>
      <c r="AA471">
        <v>469</v>
      </c>
    </row>
    <row r="472" spans="10:27">
      <c r="J472">
        <v>536</v>
      </c>
      <c r="K472">
        <f t="shared" si="32"/>
        <v>54255474.773499019</v>
      </c>
      <c r="L472" s="30">
        <f t="shared" si="33"/>
        <v>542.5547477349902</v>
      </c>
      <c r="Y472">
        <v>647</v>
      </c>
      <c r="Z472" s="30">
        <f t="shared" si="34"/>
        <v>599.3610396060493</v>
      </c>
      <c r="AA472">
        <v>470</v>
      </c>
    </row>
    <row r="473" spans="10:27">
      <c r="J473">
        <v>535</v>
      </c>
      <c r="K473">
        <f t="shared" si="32"/>
        <v>54154251.872802198</v>
      </c>
      <c r="L473" s="30">
        <f t="shared" si="33"/>
        <v>541.54251872802195</v>
      </c>
      <c r="Y473">
        <v>646</v>
      </c>
      <c r="Z473" s="30">
        <f t="shared" si="34"/>
        <v>598.34881059908093</v>
      </c>
      <c r="AA473">
        <v>471</v>
      </c>
    </row>
    <row r="474" spans="10:27">
      <c r="J474">
        <v>534</v>
      </c>
      <c r="K474">
        <f t="shared" si="32"/>
        <v>54053028.972105369</v>
      </c>
      <c r="L474" s="30">
        <f t="shared" si="33"/>
        <v>540.53028972105369</v>
      </c>
      <c r="Y474">
        <v>645</v>
      </c>
      <c r="Z474" s="30">
        <f t="shared" si="34"/>
        <v>597.33658159211268</v>
      </c>
      <c r="AA474">
        <v>472</v>
      </c>
    </row>
    <row r="475" spans="10:27">
      <c r="J475">
        <v>533</v>
      </c>
      <c r="K475">
        <f t="shared" si="32"/>
        <v>53951806.07140854</v>
      </c>
      <c r="L475" s="30">
        <f t="shared" si="33"/>
        <v>539.51806071408544</v>
      </c>
      <c r="Y475">
        <v>644</v>
      </c>
      <c r="Z475" s="30">
        <f t="shared" si="34"/>
        <v>596.32435258514442</v>
      </c>
      <c r="AA475">
        <v>473</v>
      </c>
    </row>
    <row r="476" spans="10:27">
      <c r="J476">
        <v>532</v>
      </c>
      <c r="K476">
        <f t="shared" si="32"/>
        <v>53850583.170711718</v>
      </c>
      <c r="L476" s="30">
        <f t="shared" si="33"/>
        <v>538.50583170711718</v>
      </c>
      <c r="Y476">
        <v>643</v>
      </c>
      <c r="Z476" s="30">
        <f t="shared" si="34"/>
        <v>595.31212357817617</v>
      </c>
      <c r="AA476">
        <v>474</v>
      </c>
    </row>
    <row r="477" spans="10:27">
      <c r="J477">
        <v>531</v>
      </c>
      <c r="K477">
        <f t="shared" si="32"/>
        <v>53749360.270014882</v>
      </c>
      <c r="L477" s="30">
        <f t="shared" si="33"/>
        <v>537.49360270014881</v>
      </c>
      <c r="Y477">
        <v>642</v>
      </c>
      <c r="Z477" s="30">
        <f t="shared" si="34"/>
        <v>594.29989457120791</v>
      </c>
      <c r="AA477">
        <v>475</v>
      </c>
    </row>
    <row r="478" spans="10:27">
      <c r="J478">
        <v>530</v>
      </c>
      <c r="K478">
        <f t="shared" si="32"/>
        <v>53648137.369318061</v>
      </c>
      <c r="L478" s="30">
        <f t="shared" si="33"/>
        <v>536.48137369318056</v>
      </c>
      <c r="Y478">
        <v>641</v>
      </c>
      <c r="Z478" s="30">
        <f t="shared" si="34"/>
        <v>593.28766556423966</v>
      </c>
      <c r="AA478">
        <v>476</v>
      </c>
    </row>
    <row r="479" spans="10:27">
      <c r="J479">
        <v>529</v>
      </c>
      <c r="K479">
        <f t="shared" si="32"/>
        <v>53546914.468621232</v>
      </c>
      <c r="L479" s="30">
        <f t="shared" si="33"/>
        <v>535.4691446862123</v>
      </c>
      <c r="Y479">
        <v>640</v>
      </c>
      <c r="Z479" s="30">
        <f t="shared" si="34"/>
        <v>592.27543655727141</v>
      </c>
      <c r="AA479">
        <v>477</v>
      </c>
    </row>
    <row r="480" spans="10:27">
      <c r="J480">
        <v>528</v>
      </c>
      <c r="K480">
        <f t="shared" si="32"/>
        <v>53445691.56792441</v>
      </c>
      <c r="L480" s="30">
        <f t="shared" si="33"/>
        <v>534.45691567924405</v>
      </c>
      <c r="Y480">
        <v>639</v>
      </c>
      <c r="Z480" s="30">
        <f t="shared" si="34"/>
        <v>591.26320755030315</v>
      </c>
      <c r="AA480">
        <v>478</v>
      </c>
    </row>
    <row r="481" spans="10:27">
      <c r="J481">
        <v>527</v>
      </c>
      <c r="K481">
        <f t="shared" si="32"/>
        <v>53344468.667227581</v>
      </c>
      <c r="L481" s="30">
        <f t="shared" si="33"/>
        <v>533.44468667227579</v>
      </c>
      <c r="Y481">
        <v>638</v>
      </c>
      <c r="Z481" s="30">
        <f t="shared" si="34"/>
        <v>590.2509785433349</v>
      </c>
      <c r="AA481">
        <v>479</v>
      </c>
    </row>
    <row r="482" spans="10:27">
      <c r="J482">
        <v>526</v>
      </c>
      <c r="K482">
        <f t="shared" si="32"/>
        <v>53243245.76653076</v>
      </c>
      <c r="L482" s="30">
        <f t="shared" si="33"/>
        <v>532.43245766530765</v>
      </c>
      <c r="Y482">
        <v>637</v>
      </c>
      <c r="Z482" s="30">
        <f t="shared" si="34"/>
        <v>589.23874953636653</v>
      </c>
      <c r="AA482">
        <v>480</v>
      </c>
    </row>
    <row r="483" spans="10:27">
      <c r="J483">
        <v>525</v>
      </c>
      <c r="K483">
        <f t="shared" si="32"/>
        <v>53142022.865833931</v>
      </c>
      <c r="L483" s="30">
        <f t="shared" si="33"/>
        <v>531.42022865833928</v>
      </c>
      <c r="Y483">
        <v>636</v>
      </c>
      <c r="Z483" s="30">
        <f t="shared" si="34"/>
        <v>588.22652052939839</v>
      </c>
      <c r="AA483">
        <v>481</v>
      </c>
    </row>
    <row r="484" spans="10:27">
      <c r="J484">
        <v>524</v>
      </c>
      <c r="K484">
        <f t="shared" si="32"/>
        <v>53040799.965137109</v>
      </c>
      <c r="L484" s="30">
        <f t="shared" si="33"/>
        <v>530.40799965137114</v>
      </c>
      <c r="Y484">
        <v>635</v>
      </c>
      <c r="Z484" s="30">
        <f t="shared" si="34"/>
        <v>587.21429152243002</v>
      </c>
      <c r="AA484">
        <v>482</v>
      </c>
    </row>
    <row r="485" spans="10:27">
      <c r="J485">
        <v>523</v>
      </c>
      <c r="K485">
        <f t="shared" si="32"/>
        <v>52939577.064440273</v>
      </c>
      <c r="L485" s="30">
        <f t="shared" si="33"/>
        <v>529.39577064440277</v>
      </c>
      <c r="Y485">
        <v>634</v>
      </c>
      <c r="Z485" s="30">
        <f t="shared" si="34"/>
        <v>586.20206251546188</v>
      </c>
      <c r="AA485">
        <v>483</v>
      </c>
    </row>
    <row r="486" spans="10:27">
      <c r="J486">
        <v>522</v>
      </c>
      <c r="K486">
        <f t="shared" si="32"/>
        <v>52838354.163743444</v>
      </c>
      <c r="L486" s="30">
        <f t="shared" si="33"/>
        <v>528.3835416374344</v>
      </c>
      <c r="Y486">
        <v>633</v>
      </c>
      <c r="Z486" s="30">
        <f t="shared" si="34"/>
        <v>585.18983350849351</v>
      </c>
      <c r="AA486">
        <v>484</v>
      </c>
    </row>
    <row r="487" spans="10:27">
      <c r="J487">
        <v>521</v>
      </c>
      <c r="K487">
        <f t="shared" si="32"/>
        <v>52737131.263046622</v>
      </c>
      <c r="L487" s="30">
        <f t="shared" si="33"/>
        <v>527.37131263046626</v>
      </c>
      <c r="Y487">
        <v>632</v>
      </c>
      <c r="Z487" s="30">
        <f t="shared" si="34"/>
        <v>584.17760450152537</v>
      </c>
      <c r="AA487">
        <v>485</v>
      </c>
    </row>
    <row r="488" spans="10:27">
      <c r="J488">
        <v>520</v>
      </c>
      <c r="K488">
        <f t="shared" si="32"/>
        <v>52635908.362349793</v>
      </c>
      <c r="L488" s="30">
        <f t="shared" si="33"/>
        <v>526.3590836234979</v>
      </c>
      <c r="Y488">
        <v>631</v>
      </c>
      <c r="Z488" s="30">
        <f t="shared" si="34"/>
        <v>583.165375494557</v>
      </c>
      <c r="AA488">
        <v>486</v>
      </c>
    </row>
    <row r="489" spans="10:27">
      <c r="J489">
        <v>519</v>
      </c>
      <c r="K489">
        <f t="shared" si="32"/>
        <v>52534685.461652972</v>
      </c>
      <c r="L489" s="30">
        <f t="shared" si="33"/>
        <v>525.34685461652975</v>
      </c>
      <c r="Y489">
        <v>630</v>
      </c>
      <c r="Z489" s="30">
        <f t="shared" si="34"/>
        <v>582.15314648758874</v>
      </c>
      <c r="AA489">
        <v>487</v>
      </c>
    </row>
    <row r="490" spans="10:27">
      <c r="J490">
        <v>518</v>
      </c>
      <c r="K490">
        <f t="shared" si="32"/>
        <v>52433462.560956143</v>
      </c>
      <c r="L490" s="30">
        <f t="shared" si="33"/>
        <v>524.33462560956139</v>
      </c>
      <c r="Y490">
        <v>629</v>
      </c>
      <c r="Z490" s="30">
        <f t="shared" si="34"/>
        <v>581.14091748062049</v>
      </c>
      <c r="AA490">
        <v>488</v>
      </c>
    </row>
    <row r="491" spans="10:27">
      <c r="J491">
        <v>517</v>
      </c>
      <c r="K491">
        <f t="shared" si="32"/>
        <v>52332239.660259321</v>
      </c>
      <c r="L491" s="30">
        <f t="shared" si="33"/>
        <v>523.32239660259324</v>
      </c>
      <c r="Y491">
        <v>628</v>
      </c>
      <c r="Z491" s="30">
        <f t="shared" si="34"/>
        <v>580.12868847365223</v>
      </c>
      <c r="AA491">
        <v>489</v>
      </c>
    </row>
    <row r="492" spans="10:27">
      <c r="J492">
        <v>516</v>
      </c>
      <c r="K492">
        <f t="shared" si="32"/>
        <v>52231016.759562492</v>
      </c>
      <c r="L492" s="30">
        <f t="shared" si="33"/>
        <v>522.31016759562488</v>
      </c>
      <c r="Y492">
        <v>627</v>
      </c>
      <c r="Z492" s="30">
        <f t="shared" si="34"/>
        <v>579.11645946668398</v>
      </c>
      <c r="AA492">
        <v>490</v>
      </c>
    </row>
    <row r="493" spans="10:27">
      <c r="J493">
        <v>515</v>
      </c>
      <c r="K493">
        <f t="shared" si="32"/>
        <v>52129793.858865663</v>
      </c>
      <c r="L493" s="30">
        <f t="shared" si="33"/>
        <v>521.29793858865662</v>
      </c>
      <c r="Y493">
        <v>626</v>
      </c>
      <c r="Z493" s="30">
        <f t="shared" si="34"/>
        <v>578.10423045971561</v>
      </c>
      <c r="AA493">
        <v>491</v>
      </c>
    </row>
    <row r="494" spans="10:27">
      <c r="J494">
        <v>514</v>
      </c>
      <c r="K494">
        <f t="shared" si="32"/>
        <v>52028570.958168834</v>
      </c>
      <c r="L494" s="30">
        <f t="shared" si="33"/>
        <v>520.28570958168837</v>
      </c>
      <c r="Y494">
        <v>625</v>
      </c>
      <c r="Z494" s="30">
        <f t="shared" si="34"/>
        <v>577.09200145274747</v>
      </c>
      <c r="AA494">
        <v>492</v>
      </c>
    </row>
    <row r="495" spans="10:27">
      <c r="J495">
        <v>513</v>
      </c>
      <c r="K495">
        <f t="shared" si="32"/>
        <v>51927348.057472013</v>
      </c>
      <c r="L495" s="30">
        <f t="shared" si="33"/>
        <v>519.27348057472011</v>
      </c>
      <c r="Y495">
        <v>624</v>
      </c>
      <c r="Z495" s="30">
        <f t="shared" si="34"/>
        <v>576.07977244577921</v>
      </c>
      <c r="AA495">
        <v>493</v>
      </c>
    </row>
    <row r="496" spans="10:27">
      <c r="J496">
        <v>512</v>
      </c>
      <c r="K496">
        <f t="shared" si="32"/>
        <v>51826125.156775184</v>
      </c>
      <c r="L496" s="30">
        <f t="shared" si="33"/>
        <v>518.26125156775186</v>
      </c>
      <c r="Y496">
        <v>623</v>
      </c>
      <c r="Z496" s="30">
        <f t="shared" si="34"/>
        <v>575.06754343881084</v>
      </c>
      <c r="AA496">
        <v>494</v>
      </c>
    </row>
    <row r="497" spans="10:27">
      <c r="J497">
        <v>511</v>
      </c>
      <c r="K497">
        <f t="shared" si="32"/>
        <v>51724902.256078355</v>
      </c>
      <c r="L497" s="30">
        <f t="shared" si="33"/>
        <v>517.2490225607836</v>
      </c>
      <c r="Y497">
        <v>622</v>
      </c>
      <c r="Z497" s="30">
        <f t="shared" si="34"/>
        <v>574.05531443184259</v>
      </c>
      <c r="AA497">
        <v>495</v>
      </c>
    </row>
    <row r="498" spans="10:27">
      <c r="J498">
        <v>510</v>
      </c>
      <c r="K498">
        <f t="shared" si="32"/>
        <v>51623679.355381534</v>
      </c>
      <c r="L498" s="30">
        <f t="shared" si="33"/>
        <v>516.23679355381535</v>
      </c>
      <c r="Y498">
        <v>621</v>
      </c>
      <c r="Z498" s="30">
        <f t="shared" si="34"/>
        <v>573.04308542487433</v>
      </c>
      <c r="AA498">
        <v>496</v>
      </c>
    </row>
    <row r="499" spans="10:27">
      <c r="J499">
        <v>509</v>
      </c>
      <c r="K499">
        <f t="shared" si="32"/>
        <v>51522456.454684705</v>
      </c>
      <c r="L499" s="30">
        <f t="shared" si="33"/>
        <v>515.22456454684709</v>
      </c>
      <c r="Y499">
        <v>620</v>
      </c>
      <c r="Z499" s="30">
        <f t="shared" si="34"/>
        <v>572.03085641790608</v>
      </c>
      <c r="AA499">
        <v>497</v>
      </c>
    </row>
    <row r="500" spans="10:27">
      <c r="J500">
        <v>508</v>
      </c>
      <c r="K500">
        <f t="shared" si="32"/>
        <v>51421233.553987883</v>
      </c>
      <c r="L500" s="30">
        <f t="shared" si="33"/>
        <v>514.21233553987884</v>
      </c>
      <c r="Y500">
        <v>619</v>
      </c>
      <c r="Z500" s="30">
        <f t="shared" si="34"/>
        <v>571.01862741093782</v>
      </c>
      <c r="AA500">
        <v>498</v>
      </c>
    </row>
    <row r="501" spans="10:27">
      <c r="J501">
        <v>507</v>
      </c>
      <c r="K501">
        <f t="shared" si="32"/>
        <v>51320010.653291047</v>
      </c>
      <c r="L501" s="30">
        <f t="shared" si="33"/>
        <v>513.20010653291047</v>
      </c>
      <c r="Y501">
        <v>618</v>
      </c>
      <c r="Z501" s="30">
        <f t="shared" si="34"/>
        <v>570.00639840396957</v>
      </c>
      <c r="AA501">
        <v>499</v>
      </c>
    </row>
    <row r="502" spans="10:27">
      <c r="J502">
        <v>506</v>
      </c>
      <c r="K502">
        <f t="shared" si="32"/>
        <v>51218787.752594225</v>
      </c>
      <c r="L502" s="30">
        <f t="shared" si="33"/>
        <v>512.18787752594221</v>
      </c>
      <c r="Y502">
        <v>617</v>
      </c>
      <c r="Z502" s="30">
        <f t="shared" si="34"/>
        <v>568.99416939700131</v>
      </c>
      <c r="AA502">
        <v>500</v>
      </c>
    </row>
    <row r="503" spans="10:27">
      <c r="J503">
        <v>505</v>
      </c>
      <c r="K503">
        <f t="shared" si="32"/>
        <v>51117564.851897396</v>
      </c>
      <c r="L503" s="30">
        <f t="shared" si="33"/>
        <v>511.17564851897396</v>
      </c>
      <c r="Y503">
        <v>616</v>
      </c>
      <c r="Z503" s="30">
        <f t="shared" si="34"/>
        <v>567.98194039003306</v>
      </c>
      <c r="AA503">
        <v>501</v>
      </c>
    </row>
    <row r="504" spans="10:27">
      <c r="J504">
        <v>504</v>
      </c>
      <c r="K504">
        <f t="shared" si="32"/>
        <v>51016341.951200575</v>
      </c>
      <c r="L504" s="30">
        <f t="shared" si="33"/>
        <v>510.16341951200576</v>
      </c>
      <c r="Y504">
        <v>615</v>
      </c>
      <c r="Z504" s="30">
        <f t="shared" si="34"/>
        <v>566.96971138306469</v>
      </c>
      <c r="AA504">
        <v>502</v>
      </c>
    </row>
    <row r="505" spans="10:27">
      <c r="J505">
        <v>503</v>
      </c>
      <c r="K505">
        <f t="shared" si="32"/>
        <v>50915119.050503746</v>
      </c>
      <c r="L505" s="30">
        <f t="shared" si="33"/>
        <v>509.15119050503745</v>
      </c>
      <c r="Y505">
        <v>614</v>
      </c>
      <c r="Z505" s="30">
        <f t="shared" si="34"/>
        <v>565.95748237609644</v>
      </c>
      <c r="AA505">
        <v>503</v>
      </c>
    </row>
    <row r="506" spans="10:27">
      <c r="J506">
        <v>502</v>
      </c>
      <c r="K506">
        <f t="shared" ref="K506:K569" si="35">$A$1*J506*$B$52^2</f>
        <v>50813896.149806924</v>
      </c>
      <c r="L506" s="30">
        <f t="shared" si="33"/>
        <v>508.13896149806925</v>
      </c>
      <c r="Y506">
        <v>613</v>
      </c>
      <c r="Z506" s="30">
        <f t="shared" si="34"/>
        <v>564.94525336912818</v>
      </c>
      <c r="AA506">
        <v>504</v>
      </c>
    </row>
    <row r="507" spans="10:27">
      <c r="J507">
        <v>501</v>
      </c>
      <c r="K507">
        <f t="shared" si="35"/>
        <v>50712673.249110095</v>
      </c>
      <c r="L507" s="30">
        <f t="shared" ref="L507:L570" si="36">K507/100000</f>
        <v>507.12673249110094</v>
      </c>
      <c r="Y507">
        <v>612</v>
      </c>
      <c r="Z507" s="30">
        <f t="shared" si="34"/>
        <v>563.93302436215993</v>
      </c>
      <c r="AA507">
        <v>505</v>
      </c>
    </row>
    <row r="508" spans="10:27">
      <c r="J508">
        <v>500</v>
      </c>
      <c r="K508">
        <f t="shared" si="35"/>
        <v>50611450.348413266</v>
      </c>
      <c r="L508" s="30">
        <f t="shared" si="36"/>
        <v>506.11450348413268</v>
      </c>
      <c r="Y508">
        <v>611</v>
      </c>
      <c r="Z508" s="30">
        <f t="shared" si="34"/>
        <v>562.92079535519167</v>
      </c>
      <c r="AA508">
        <v>506</v>
      </c>
    </row>
    <row r="509" spans="10:27">
      <c r="J509">
        <v>499</v>
      </c>
      <c r="K509">
        <f t="shared" si="35"/>
        <v>50510227.447716437</v>
      </c>
      <c r="L509" s="30">
        <f t="shared" si="36"/>
        <v>505.10227447716437</v>
      </c>
      <c r="Y509">
        <v>610</v>
      </c>
      <c r="Z509" s="30">
        <f t="shared" si="34"/>
        <v>561.90856634822353</v>
      </c>
      <c r="AA509">
        <v>507</v>
      </c>
    </row>
    <row r="510" spans="10:27">
      <c r="J510">
        <v>498</v>
      </c>
      <c r="K510">
        <f t="shared" si="35"/>
        <v>50409004.547019608</v>
      </c>
      <c r="L510" s="30">
        <f t="shared" si="36"/>
        <v>504.09004547019606</v>
      </c>
      <c r="Y510">
        <v>609</v>
      </c>
      <c r="Z510" s="30">
        <f t="shared" si="34"/>
        <v>560.89633734125516</v>
      </c>
      <c r="AA510">
        <v>508</v>
      </c>
    </row>
    <row r="511" spans="10:27">
      <c r="J511">
        <v>497</v>
      </c>
      <c r="K511">
        <f t="shared" si="35"/>
        <v>50307781.646322787</v>
      </c>
      <c r="L511" s="30">
        <f t="shared" si="36"/>
        <v>503.07781646322786</v>
      </c>
      <c r="Y511">
        <v>608</v>
      </c>
      <c r="Z511" s="30">
        <f t="shared" si="34"/>
        <v>559.88410833428702</v>
      </c>
      <c r="AA511">
        <v>509</v>
      </c>
    </row>
    <row r="512" spans="10:27">
      <c r="J512">
        <v>496</v>
      </c>
      <c r="K512">
        <f t="shared" si="35"/>
        <v>50206558.745625958</v>
      </c>
      <c r="L512" s="30">
        <f t="shared" si="36"/>
        <v>502.06558745625961</v>
      </c>
      <c r="Y512">
        <v>607</v>
      </c>
      <c r="Z512" s="30">
        <f t="shared" si="34"/>
        <v>558.87187932731865</v>
      </c>
      <c r="AA512">
        <v>510</v>
      </c>
    </row>
    <row r="513" spans="10:27">
      <c r="J513">
        <v>495</v>
      </c>
      <c r="K513">
        <f t="shared" si="35"/>
        <v>50105335.844929136</v>
      </c>
      <c r="L513" s="30">
        <f t="shared" si="36"/>
        <v>501.05335844929135</v>
      </c>
      <c r="Y513">
        <v>606</v>
      </c>
      <c r="Z513" s="30">
        <f t="shared" si="34"/>
        <v>557.85965032035028</v>
      </c>
      <c r="AA513">
        <v>511</v>
      </c>
    </row>
    <row r="514" spans="10:27">
      <c r="J514">
        <v>494</v>
      </c>
      <c r="K514">
        <f t="shared" si="35"/>
        <v>50004112.944232307</v>
      </c>
      <c r="L514" s="30">
        <f t="shared" si="36"/>
        <v>500.0411294423231</v>
      </c>
      <c r="Y514">
        <v>605</v>
      </c>
      <c r="Z514" s="30">
        <f t="shared" si="34"/>
        <v>556.84742131338214</v>
      </c>
      <c r="AA514">
        <v>512</v>
      </c>
    </row>
    <row r="515" spans="10:27">
      <c r="J515">
        <v>493</v>
      </c>
      <c r="K515">
        <f t="shared" si="35"/>
        <v>49902890.043535486</v>
      </c>
      <c r="L515" s="30">
        <f t="shared" si="36"/>
        <v>499.02890043535484</v>
      </c>
      <c r="Y515">
        <v>604</v>
      </c>
      <c r="Z515" s="30">
        <f t="shared" si="34"/>
        <v>555.83519230641377</v>
      </c>
      <c r="AA515">
        <v>513</v>
      </c>
    </row>
    <row r="516" spans="10:27">
      <c r="J516">
        <v>492</v>
      </c>
      <c r="K516">
        <f t="shared" si="35"/>
        <v>49801667.142838649</v>
      </c>
      <c r="L516" s="30">
        <f t="shared" si="36"/>
        <v>498.01667142838647</v>
      </c>
      <c r="Y516">
        <v>603</v>
      </c>
      <c r="Z516" s="30">
        <f t="shared" si="34"/>
        <v>554.82296329944563</v>
      </c>
      <c r="AA516">
        <v>514</v>
      </c>
    </row>
    <row r="517" spans="10:27">
      <c r="J517">
        <v>491</v>
      </c>
      <c r="K517">
        <f t="shared" si="35"/>
        <v>49700444.242141828</v>
      </c>
      <c r="L517" s="30">
        <f t="shared" si="36"/>
        <v>497.00444242141828</v>
      </c>
      <c r="Y517">
        <v>602</v>
      </c>
      <c r="Z517" s="30">
        <f t="shared" si="34"/>
        <v>553.81073429247726</v>
      </c>
      <c r="AA517">
        <v>515</v>
      </c>
    </row>
    <row r="518" spans="10:27">
      <c r="J518">
        <v>490</v>
      </c>
      <c r="K518">
        <f t="shared" si="35"/>
        <v>49599221.341444999</v>
      </c>
      <c r="L518" s="30">
        <f t="shared" si="36"/>
        <v>495.99221341444996</v>
      </c>
      <c r="Y518">
        <v>601</v>
      </c>
      <c r="Z518" s="30">
        <f t="shared" si="34"/>
        <v>552.79850528550912</v>
      </c>
      <c r="AA518">
        <v>516</v>
      </c>
    </row>
    <row r="519" spans="10:27">
      <c r="J519">
        <v>489</v>
      </c>
      <c r="K519">
        <f t="shared" si="35"/>
        <v>49497998.44074817</v>
      </c>
      <c r="L519" s="30">
        <f t="shared" si="36"/>
        <v>494.97998440748171</v>
      </c>
      <c r="Y519">
        <v>600</v>
      </c>
      <c r="Z519" s="30">
        <f t="shared" si="34"/>
        <v>551.78627627854075</v>
      </c>
      <c r="AA519">
        <v>517</v>
      </c>
    </row>
    <row r="520" spans="10:27">
      <c r="J520">
        <v>488</v>
      </c>
      <c r="K520">
        <f t="shared" si="35"/>
        <v>49396775.540051349</v>
      </c>
      <c r="L520" s="30">
        <f t="shared" si="36"/>
        <v>493.96775540051351</v>
      </c>
      <c r="Y520">
        <v>599</v>
      </c>
      <c r="Z520" s="30">
        <f t="shared" si="34"/>
        <v>550.7740472715725</v>
      </c>
      <c r="AA520">
        <v>518</v>
      </c>
    </row>
    <row r="521" spans="10:27">
      <c r="J521">
        <v>487</v>
      </c>
      <c r="K521">
        <f t="shared" si="35"/>
        <v>49295552.63935452</v>
      </c>
      <c r="L521" s="30">
        <f t="shared" si="36"/>
        <v>492.9555263935452</v>
      </c>
      <c r="Y521">
        <v>598</v>
      </c>
      <c r="Z521" s="30">
        <f t="shared" si="34"/>
        <v>549.76181826460424</v>
      </c>
      <c r="AA521">
        <v>519</v>
      </c>
    </row>
    <row r="522" spans="10:27">
      <c r="J522">
        <v>486</v>
      </c>
      <c r="K522">
        <f t="shared" si="35"/>
        <v>49194329.738657698</v>
      </c>
      <c r="L522" s="30">
        <f t="shared" si="36"/>
        <v>491.943297386577</v>
      </c>
      <c r="Y522">
        <v>597</v>
      </c>
      <c r="Z522" s="30">
        <f t="shared" si="34"/>
        <v>548.74958925763599</v>
      </c>
      <c r="AA522">
        <v>520</v>
      </c>
    </row>
    <row r="523" spans="10:27">
      <c r="J523">
        <v>485</v>
      </c>
      <c r="K523">
        <f t="shared" si="35"/>
        <v>49093106.837960869</v>
      </c>
      <c r="L523" s="30">
        <f t="shared" si="36"/>
        <v>490.93106837960869</v>
      </c>
      <c r="Y523">
        <v>596</v>
      </c>
      <c r="Z523" s="30">
        <f t="shared" si="34"/>
        <v>547.73736025066773</v>
      </c>
      <c r="AA523">
        <v>521</v>
      </c>
    </row>
    <row r="524" spans="10:27">
      <c r="J524">
        <v>484</v>
      </c>
      <c r="K524">
        <f t="shared" si="35"/>
        <v>48991883.93726404</v>
      </c>
      <c r="L524" s="30">
        <f t="shared" si="36"/>
        <v>489.91883937264038</v>
      </c>
      <c r="Y524">
        <v>595</v>
      </c>
      <c r="Z524" s="30">
        <f t="shared" si="34"/>
        <v>546.72513124369948</v>
      </c>
      <c r="AA524">
        <v>522</v>
      </c>
    </row>
    <row r="525" spans="10:27">
      <c r="J525">
        <v>483</v>
      </c>
      <c r="K525">
        <f t="shared" si="35"/>
        <v>48890661.036567211</v>
      </c>
      <c r="L525" s="30">
        <f t="shared" si="36"/>
        <v>488.90661036567212</v>
      </c>
      <c r="Y525">
        <v>594</v>
      </c>
      <c r="Z525" s="30">
        <f t="shared" si="34"/>
        <v>545.71290223673122</v>
      </c>
      <c r="AA525">
        <v>523</v>
      </c>
    </row>
    <row r="526" spans="10:27">
      <c r="J526">
        <v>482</v>
      </c>
      <c r="K526">
        <f t="shared" si="35"/>
        <v>48789438.13587039</v>
      </c>
      <c r="L526" s="30">
        <f t="shared" si="36"/>
        <v>487.89438135870392</v>
      </c>
      <c r="Y526">
        <v>593</v>
      </c>
      <c r="Z526" s="30">
        <f t="shared" si="34"/>
        <v>544.70067322976297</v>
      </c>
      <c r="AA526">
        <v>524</v>
      </c>
    </row>
    <row r="527" spans="10:27">
      <c r="J527">
        <v>481</v>
      </c>
      <c r="K527">
        <f t="shared" si="35"/>
        <v>48688215.235173561</v>
      </c>
      <c r="L527" s="30">
        <f t="shared" si="36"/>
        <v>486.88215235173561</v>
      </c>
      <c r="Y527">
        <v>592</v>
      </c>
      <c r="Z527" s="30">
        <f t="shared" si="34"/>
        <v>543.68844422279471</v>
      </c>
      <c r="AA527">
        <v>525</v>
      </c>
    </row>
    <row r="528" spans="10:27">
      <c r="J528">
        <v>480</v>
      </c>
      <c r="K528">
        <f t="shared" si="35"/>
        <v>48586992.334476732</v>
      </c>
      <c r="L528" s="30">
        <f t="shared" si="36"/>
        <v>485.8699233447673</v>
      </c>
      <c r="Y528">
        <v>591</v>
      </c>
      <c r="Z528" s="30">
        <f t="shared" si="34"/>
        <v>542.67621521582635</v>
      </c>
      <c r="AA528">
        <v>526</v>
      </c>
    </row>
    <row r="529" spans="10:27">
      <c r="J529">
        <v>479</v>
      </c>
      <c r="K529">
        <f t="shared" si="35"/>
        <v>48485769.43377991</v>
      </c>
      <c r="L529" s="30">
        <f t="shared" si="36"/>
        <v>484.8576943377991</v>
      </c>
      <c r="Y529">
        <v>590</v>
      </c>
      <c r="Z529" s="30">
        <f t="shared" si="34"/>
        <v>541.66398620885809</v>
      </c>
      <c r="AA529">
        <v>527</v>
      </c>
    </row>
    <row r="530" spans="10:27">
      <c r="J530">
        <v>478</v>
      </c>
      <c r="K530">
        <f t="shared" si="35"/>
        <v>48384546.533083081</v>
      </c>
      <c r="L530" s="30">
        <f t="shared" si="36"/>
        <v>483.84546533083079</v>
      </c>
      <c r="Y530">
        <v>589</v>
      </c>
      <c r="Z530" s="30">
        <f t="shared" si="34"/>
        <v>540.65175720188984</v>
      </c>
      <c r="AA530">
        <v>528</v>
      </c>
    </row>
    <row r="531" spans="10:27">
      <c r="J531">
        <v>477</v>
      </c>
      <c r="K531">
        <f t="shared" si="35"/>
        <v>48283323.63238626</v>
      </c>
      <c r="L531" s="30">
        <f t="shared" si="36"/>
        <v>482.83323632386259</v>
      </c>
      <c r="Y531">
        <v>588</v>
      </c>
      <c r="Z531" s="30">
        <f t="shared" si="34"/>
        <v>539.6395281949217</v>
      </c>
      <c r="AA531">
        <v>529</v>
      </c>
    </row>
    <row r="532" spans="10:27">
      <c r="J532">
        <v>476</v>
      </c>
      <c r="K532">
        <f t="shared" si="35"/>
        <v>48182100.731689423</v>
      </c>
      <c r="L532" s="30">
        <f t="shared" si="36"/>
        <v>481.82100731689422</v>
      </c>
      <c r="Y532">
        <v>587</v>
      </c>
      <c r="Z532" s="30">
        <f t="shared" si="34"/>
        <v>538.62729918795333</v>
      </c>
      <c r="AA532">
        <v>530</v>
      </c>
    </row>
    <row r="533" spans="10:27">
      <c r="J533">
        <v>475</v>
      </c>
      <c r="K533">
        <f t="shared" si="35"/>
        <v>48080877.830992602</v>
      </c>
      <c r="L533" s="30">
        <f t="shared" si="36"/>
        <v>480.80877830992603</v>
      </c>
      <c r="Y533">
        <v>586</v>
      </c>
      <c r="Z533" s="30">
        <f t="shared" si="34"/>
        <v>537.61507018098519</v>
      </c>
      <c r="AA533">
        <v>531</v>
      </c>
    </row>
    <row r="534" spans="10:27">
      <c r="J534">
        <v>474</v>
      </c>
      <c r="K534">
        <f t="shared" si="35"/>
        <v>47979654.930295773</v>
      </c>
      <c r="L534" s="30">
        <f t="shared" si="36"/>
        <v>479.79654930295771</v>
      </c>
      <c r="Y534">
        <v>585</v>
      </c>
      <c r="Z534" s="30">
        <f t="shared" ref="Z534:Z597" si="37">L507+$H$68</f>
        <v>536.60284117401682</v>
      </c>
      <c r="AA534">
        <v>532</v>
      </c>
    </row>
    <row r="535" spans="10:27">
      <c r="J535">
        <v>473</v>
      </c>
      <c r="K535">
        <f t="shared" si="35"/>
        <v>47878432.029598951</v>
      </c>
      <c r="L535" s="30">
        <f t="shared" si="36"/>
        <v>478.78432029598952</v>
      </c>
      <c r="Y535">
        <v>584</v>
      </c>
      <c r="Z535" s="30">
        <f t="shared" si="37"/>
        <v>535.59061216704856</v>
      </c>
      <c r="AA535">
        <v>533</v>
      </c>
    </row>
    <row r="536" spans="10:27">
      <c r="J536">
        <v>472</v>
      </c>
      <c r="K536">
        <f t="shared" si="35"/>
        <v>47777209.128902122</v>
      </c>
      <c r="L536" s="30">
        <f t="shared" si="36"/>
        <v>477.7720912890212</v>
      </c>
      <c r="Y536">
        <v>583</v>
      </c>
      <c r="Z536" s="30">
        <f t="shared" si="37"/>
        <v>534.57838316008031</v>
      </c>
      <c r="AA536">
        <v>534</v>
      </c>
    </row>
    <row r="537" spans="10:27">
      <c r="J537">
        <v>471</v>
      </c>
      <c r="K537">
        <f t="shared" si="35"/>
        <v>47675986.228205301</v>
      </c>
      <c r="L537" s="30">
        <f t="shared" si="36"/>
        <v>476.75986228205301</v>
      </c>
      <c r="Y537">
        <v>582</v>
      </c>
      <c r="Z537" s="30">
        <f t="shared" si="37"/>
        <v>533.56615415311194</v>
      </c>
      <c r="AA537">
        <v>535</v>
      </c>
    </row>
    <row r="538" spans="10:27">
      <c r="J538">
        <v>470</v>
      </c>
      <c r="K538">
        <f t="shared" si="35"/>
        <v>47574763.327508472</v>
      </c>
      <c r="L538" s="30">
        <f t="shared" si="36"/>
        <v>475.7476332750847</v>
      </c>
      <c r="Y538">
        <v>581</v>
      </c>
      <c r="Z538" s="30">
        <f t="shared" si="37"/>
        <v>532.5539251461438</v>
      </c>
      <c r="AA538">
        <v>536</v>
      </c>
    </row>
    <row r="539" spans="10:27">
      <c r="J539">
        <v>469</v>
      </c>
      <c r="K539">
        <f t="shared" si="35"/>
        <v>47473540.426811643</v>
      </c>
      <c r="L539" s="30">
        <f t="shared" si="36"/>
        <v>474.73540426811644</v>
      </c>
      <c r="Y539">
        <v>580</v>
      </c>
      <c r="Z539" s="30">
        <f t="shared" si="37"/>
        <v>531.54169613917554</v>
      </c>
      <c r="AA539">
        <v>537</v>
      </c>
    </row>
    <row r="540" spans="10:27">
      <c r="J540">
        <v>468</v>
      </c>
      <c r="K540">
        <f t="shared" si="35"/>
        <v>47372317.526114814</v>
      </c>
      <c r="L540" s="30">
        <f t="shared" si="36"/>
        <v>473.72317526114813</v>
      </c>
      <c r="Y540">
        <v>579</v>
      </c>
      <c r="Z540" s="30">
        <f t="shared" si="37"/>
        <v>530.52946713220729</v>
      </c>
      <c r="AA540">
        <v>538</v>
      </c>
    </row>
    <row r="541" spans="10:27">
      <c r="J541">
        <v>467</v>
      </c>
      <c r="K541">
        <f t="shared" si="35"/>
        <v>47271094.625417985</v>
      </c>
      <c r="L541" s="30">
        <f t="shared" si="36"/>
        <v>472.71094625417987</v>
      </c>
      <c r="Y541">
        <v>578</v>
      </c>
      <c r="Z541" s="30">
        <f t="shared" si="37"/>
        <v>529.51723812523903</v>
      </c>
      <c r="AA541">
        <v>539</v>
      </c>
    </row>
    <row r="542" spans="10:27">
      <c r="J542">
        <v>466</v>
      </c>
      <c r="K542">
        <f t="shared" si="35"/>
        <v>47169871.724721164</v>
      </c>
      <c r="L542" s="30">
        <f t="shared" si="36"/>
        <v>471.69871724721162</v>
      </c>
      <c r="Y542">
        <v>577</v>
      </c>
      <c r="Z542" s="30">
        <f t="shared" si="37"/>
        <v>528.50500911827078</v>
      </c>
      <c r="AA542">
        <v>540</v>
      </c>
    </row>
    <row r="543" spans="10:27">
      <c r="J543">
        <v>465</v>
      </c>
      <c r="K543">
        <f t="shared" si="35"/>
        <v>47068648.824024335</v>
      </c>
      <c r="L543" s="30">
        <f t="shared" si="36"/>
        <v>470.68648824024336</v>
      </c>
      <c r="Y543">
        <v>576</v>
      </c>
      <c r="Z543" s="30">
        <f t="shared" si="37"/>
        <v>527.49278011130241</v>
      </c>
      <c r="AA543">
        <v>541</v>
      </c>
    </row>
    <row r="544" spans="10:27">
      <c r="J544">
        <v>464</v>
      </c>
      <c r="K544">
        <f t="shared" si="35"/>
        <v>46967425.923327513</v>
      </c>
      <c r="L544" s="30">
        <f t="shared" si="36"/>
        <v>469.67425923327511</v>
      </c>
      <c r="Y544">
        <v>575</v>
      </c>
      <c r="Z544" s="30">
        <f t="shared" si="37"/>
        <v>526.48055110433415</v>
      </c>
      <c r="AA544">
        <v>542</v>
      </c>
    </row>
    <row r="545" spans="10:27">
      <c r="J545">
        <v>463</v>
      </c>
      <c r="K545">
        <f t="shared" si="35"/>
        <v>46866203.022630684</v>
      </c>
      <c r="L545" s="30">
        <f t="shared" si="36"/>
        <v>468.66203022630685</v>
      </c>
      <c r="Y545">
        <v>574</v>
      </c>
      <c r="Z545" s="30">
        <f t="shared" si="37"/>
        <v>525.4683220973659</v>
      </c>
      <c r="AA545">
        <v>543</v>
      </c>
    </row>
    <row r="546" spans="10:27">
      <c r="J546">
        <v>462</v>
      </c>
      <c r="K546">
        <f t="shared" si="35"/>
        <v>46764980.121933863</v>
      </c>
      <c r="L546" s="30">
        <f t="shared" si="36"/>
        <v>467.6498012193386</v>
      </c>
      <c r="Y546">
        <v>573</v>
      </c>
      <c r="Z546" s="30">
        <f t="shared" si="37"/>
        <v>524.45609309039764</v>
      </c>
      <c r="AA546">
        <v>544</v>
      </c>
    </row>
    <row r="547" spans="10:27">
      <c r="J547">
        <v>461</v>
      </c>
      <c r="K547">
        <f t="shared" si="35"/>
        <v>46663757.221237034</v>
      </c>
      <c r="L547" s="30">
        <f t="shared" si="36"/>
        <v>466.63757221237034</v>
      </c>
      <c r="Y547">
        <v>572</v>
      </c>
      <c r="Z547" s="30">
        <f t="shared" si="37"/>
        <v>523.44386408342939</v>
      </c>
      <c r="AA547">
        <v>545</v>
      </c>
    </row>
    <row r="548" spans="10:27">
      <c r="J548">
        <v>460</v>
      </c>
      <c r="K548">
        <f t="shared" si="35"/>
        <v>46562534.320540205</v>
      </c>
      <c r="L548" s="30">
        <f t="shared" si="36"/>
        <v>465.62534320540203</v>
      </c>
      <c r="Y548">
        <v>571</v>
      </c>
      <c r="Z548" s="30">
        <f t="shared" si="37"/>
        <v>522.43163507646113</v>
      </c>
      <c r="AA548">
        <v>546</v>
      </c>
    </row>
    <row r="549" spans="10:27">
      <c r="J549">
        <v>459</v>
      </c>
      <c r="K549">
        <f t="shared" si="35"/>
        <v>46461311.419843376</v>
      </c>
      <c r="L549" s="30">
        <f t="shared" si="36"/>
        <v>464.61311419843378</v>
      </c>
      <c r="Y549">
        <v>570</v>
      </c>
      <c r="Z549" s="30">
        <f t="shared" si="37"/>
        <v>521.41940606949288</v>
      </c>
      <c r="AA549">
        <v>547</v>
      </c>
    </row>
    <row r="550" spans="10:27">
      <c r="J550">
        <v>458</v>
      </c>
      <c r="K550">
        <f t="shared" si="35"/>
        <v>46360088.519146547</v>
      </c>
      <c r="L550" s="30">
        <f t="shared" si="36"/>
        <v>463.60088519146547</v>
      </c>
      <c r="Y550">
        <v>569</v>
      </c>
      <c r="Z550" s="30">
        <f t="shared" si="37"/>
        <v>520.40717706252462</v>
      </c>
      <c r="AA550">
        <v>548</v>
      </c>
    </row>
    <row r="551" spans="10:27">
      <c r="J551">
        <v>457</v>
      </c>
      <c r="K551">
        <f t="shared" si="35"/>
        <v>46258865.618449725</v>
      </c>
      <c r="L551" s="30">
        <f t="shared" si="36"/>
        <v>462.58865618449727</v>
      </c>
      <c r="Y551">
        <v>568</v>
      </c>
      <c r="Z551" s="30">
        <f t="shared" si="37"/>
        <v>519.39494805555626</v>
      </c>
      <c r="AA551">
        <v>549</v>
      </c>
    </row>
    <row r="552" spans="10:27">
      <c r="J552">
        <v>456</v>
      </c>
      <c r="K552">
        <f t="shared" si="35"/>
        <v>46157642.717752896</v>
      </c>
      <c r="L552" s="30">
        <f t="shared" si="36"/>
        <v>461.57642717752896</v>
      </c>
      <c r="Y552">
        <v>567</v>
      </c>
      <c r="Z552" s="30">
        <f t="shared" si="37"/>
        <v>518.382719048588</v>
      </c>
      <c r="AA552">
        <v>550</v>
      </c>
    </row>
    <row r="553" spans="10:27">
      <c r="J553">
        <v>455</v>
      </c>
      <c r="K553">
        <f t="shared" si="35"/>
        <v>46056419.817056075</v>
      </c>
      <c r="L553" s="30">
        <f t="shared" si="36"/>
        <v>460.56419817056076</v>
      </c>
      <c r="Y553">
        <v>566</v>
      </c>
      <c r="Z553" s="30">
        <f t="shared" si="37"/>
        <v>517.37049004161986</v>
      </c>
      <c r="AA553">
        <v>551</v>
      </c>
    </row>
    <row r="554" spans="10:27">
      <c r="J554">
        <v>454</v>
      </c>
      <c r="K554">
        <f t="shared" si="35"/>
        <v>45955196.916359246</v>
      </c>
      <c r="L554" s="30">
        <f t="shared" si="36"/>
        <v>459.55196916359245</v>
      </c>
      <c r="Y554">
        <v>565</v>
      </c>
      <c r="Z554" s="30">
        <f t="shared" si="37"/>
        <v>516.35826103465149</v>
      </c>
      <c r="AA554">
        <v>552</v>
      </c>
    </row>
    <row r="555" spans="10:27">
      <c r="J555">
        <v>453</v>
      </c>
      <c r="K555">
        <f t="shared" si="35"/>
        <v>45853974.015662424</v>
      </c>
      <c r="L555" s="30">
        <f t="shared" si="36"/>
        <v>458.53974015662425</v>
      </c>
      <c r="Y555">
        <v>564</v>
      </c>
      <c r="Z555" s="30">
        <f t="shared" si="37"/>
        <v>515.34603202768324</v>
      </c>
      <c r="AA555">
        <v>553</v>
      </c>
    </row>
    <row r="556" spans="10:27">
      <c r="J556">
        <v>452</v>
      </c>
      <c r="K556">
        <f t="shared" si="35"/>
        <v>45752751.114965588</v>
      </c>
      <c r="L556" s="30">
        <f t="shared" si="36"/>
        <v>457.52751114965588</v>
      </c>
      <c r="Y556">
        <v>563</v>
      </c>
      <c r="Z556" s="30">
        <f t="shared" si="37"/>
        <v>514.33380302071498</v>
      </c>
      <c r="AA556">
        <v>554</v>
      </c>
    </row>
    <row r="557" spans="10:27">
      <c r="J557">
        <v>451</v>
      </c>
      <c r="K557">
        <f t="shared" si="35"/>
        <v>45651528.214268766</v>
      </c>
      <c r="L557" s="30">
        <f t="shared" si="36"/>
        <v>456.51528214268768</v>
      </c>
      <c r="Y557">
        <v>562</v>
      </c>
      <c r="Z557" s="30">
        <f t="shared" si="37"/>
        <v>513.32157401374673</v>
      </c>
      <c r="AA557">
        <v>555</v>
      </c>
    </row>
    <row r="558" spans="10:27">
      <c r="J558">
        <v>450</v>
      </c>
      <c r="K558">
        <f t="shared" si="35"/>
        <v>45550305.313571937</v>
      </c>
      <c r="L558" s="30">
        <f t="shared" si="36"/>
        <v>455.50305313571937</v>
      </c>
      <c r="Y558">
        <v>561</v>
      </c>
      <c r="Z558" s="30">
        <f t="shared" si="37"/>
        <v>512.30934500677847</v>
      </c>
      <c r="AA558">
        <v>556</v>
      </c>
    </row>
    <row r="559" spans="10:27">
      <c r="J559">
        <v>449</v>
      </c>
      <c r="K559">
        <f t="shared" si="35"/>
        <v>45449082.412875116</v>
      </c>
      <c r="L559" s="30">
        <f t="shared" si="36"/>
        <v>454.49082412875117</v>
      </c>
      <c r="Y559">
        <v>560</v>
      </c>
      <c r="Z559" s="30">
        <f t="shared" si="37"/>
        <v>511.2971159998101</v>
      </c>
      <c r="AA559">
        <v>557</v>
      </c>
    </row>
    <row r="560" spans="10:27">
      <c r="J560">
        <v>448</v>
      </c>
      <c r="K560">
        <f t="shared" si="35"/>
        <v>45347859.512178287</v>
      </c>
      <c r="L560" s="30">
        <f t="shared" si="36"/>
        <v>453.47859512178286</v>
      </c>
      <c r="Y560">
        <v>559</v>
      </c>
      <c r="Z560" s="30">
        <f t="shared" si="37"/>
        <v>510.2848869928419</v>
      </c>
      <c r="AA560">
        <v>558</v>
      </c>
    </row>
    <row r="561" spans="10:27">
      <c r="J561">
        <v>447</v>
      </c>
      <c r="K561">
        <f t="shared" si="35"/>
        <v>45246636.611481458</v>
      </c>
      <c r="L561" s="30">
        <f t="shared" si="36"/>
        <v>452.4663661148146</v>
      </c>
      <c r="Y561">
        <v>558</v>
      </c>
      <c r="Z561" s="30">
        <f t="shared" si="37"/>
        <v>509.27265798587359</v>
      </c>
      <c r="AA561">
        <v>559</v>
      </c>
    </row>
    <row r="562" spans="10:27">
      <c r="J562">
        <v>446</v>
      </c>
      <c r="K562">
        <f t="shared" si="35"/>
        <v>45145413.710784636</v>
      </c>
      <c r="L562" s="30">
        <f t="shared" si="36"/>
        <v>451.45413710784635</v>
      </c>
      <c r="Y562">
        <v>557</v>
      </c>
      <c r="Z562" s="30">
        <f t="shared" si="37"/>
        <v>508.2604289789054</v>
      </c>
      <c r="AA562">
        <v>560</v>
      </c>
    </row>
    <row r="563" spans="10:27">
      <c r="J563">
        <v>445</v>
      </c>
      <c r="K563">
        <f t="shared" si="35"/>
        <v>45044190.810087807</v>
      </c>
      <c r="L563" s="30">
        <f t="shared" si="36"/>
        <v>450.44190810087809</v>
      </c>
      <c r="Y563">
        <v>556</v>
      </c>
      <c r="Z563" s="30">
        <f t="shared" si="37"/>
        <v>507.24819997193708</v>
      </c>
      <c r="AA563">
        <v>561</v>
      </c>
    </row>
    <row r="564" spans="10:27">
      <c r="J564">
        <v>444</v>
      </c>
      <c r="K564">
        <f t="shared" si="35"/>
        <v>44942967.909390979</v>
      </c>
      <c r="L564" s="30">
        <f t="shared" si="36"/>
        <v>449.42967909390978</v>
      </c>
      <c r="Y564">
        <v>555</v>
      </c>
      <c r="Z564" s="30">
        <f t="shared" si="37"/>
        <v>506.23597096496889</v>
      </c>
      <c r="AA564">
        <v>562</v>
      </c>
    </row>
    <row r="565" spans="10:27">
      <c r="J565">
        <v>443</v>
      </c>
      <c r="K565">
        <f t="shared" si="35"/>
        <v>44841745.00869415</v>
      </c>
      <c r="L565" s="30">
        <f t="shared" si="36"/>
        <v>448.41745008694147</v>
      </c>
      <c r="Y565">
        <v>554</v>
      </c>
      <c r="Z565" s="30">
        <f t="shared" si="37"/>
        <v>505.22374195800057</v>
      </c>
      <c r="AA565">
        <v>563</v>
      </c>
    </row>
    <row r="566" spans="10:27">
      <c r="J566">
        <v>442</v>
      </c>
      <c r="K566">
        <f t="shared" si="35"/>
        <v>44740522.107997328</v>
      </c>
      <c r="L566" s="30">
        <f t="shared" si="36"/>
        <v>447.40522107997327</v>
      </c>
      <c r="Y566">
        <v>553</v>
      </c>
      <c r="Z566" s="30">
        <f t="shared" si="37"/>
        <v>504.21151295103232</v>
      </c>
      <c r="AA566">
        <v>564</v>
      </c>
    </row>
    <row r="567" spans="10:27">
      <c r="J567">
        <v>441</v>
      </c>
      <c r="K567">
        <f t="shared" si="35"/>
        <v>44639299.207300499</v>
      </c>
      <c r="L567" s="30">
        <f t="shared" si="36"/>
        <v>446.39299207300502</v>
      </c>
      <c r="Y567">
        <v>552</v>
      </c>
      <c r="Z567" s="30">
        <f t="shared" si="37"/>
        <v>503.19928394406401</v>
      </c>
      <c r="AA567">
        <v>565</v>
      </c>
    </row>
    <row r="568" spans="10:27">
      <c r="J568">
        <v>440</v>
      </c>
      <c r="K568">
        <f t="shared" si="35"/>
        <v>44538076.306603678</v>
      </c>
      <c r="L568" s="30">
        <f t="shared" si="36"/>
        <v>445.38076306603676</v>
      </c>
      <c r="Y568">
        <v>551</v>
      </c>
      <c r="Z568" s="30">
        <f t="shared" si="37"/>
        <v>502.18705493709575</v>
      </c>
      <c r="AA568">
        <v>566</v>
      </c>
    </row>
    <row r="569" spans="10:27">
      <c r="J569">
        <v>439</v>
      </c>
      <c r="K569">
        <f t="shared" si="35"/>
        <v>44436853.405906849</v>
      </c>
      <c r="L569" s="30">
        <f t="shared" si="36"/>
        <v>444.36853405906851</v>
      </c>
      <c r="Y569">
        <v>550</v>
      </c>
      <c r="Z569" s="30">
        <f t="shared" si="37"/>
        <v>501.1748259301275</v>
      </c>
      <c r="AA569">
        <v>567</v>
      </c>
    </row>
    <row r="570" spans="10:27">
      <c r="J570">
        <v>438</v>
      </c>
      <c r="K570">
        <f t="shared" ref="K570:K633" si="38">$A$1*J570*$B$52^2</f>
        <v>44335630.505210027</v>
      </c>
      <c r="L570" s="30">
        <f t="shared" si="36"/>
        <v>443.35630505210025</v>
      </c>
      <c r="Y570">
        <v>549</v>
      </c>
      <c r="Z570" s="30">
        <f t="shared" si="37"/>
        <v>500.16259692315924</v>
      </c>
      <c r="AA570">
        <v>568</v>
      </c>
    </row>
    <row r="571" spans="10:27">
      <c r="J571">
        <v>437</v>
      </c>
      <c r="K571">
        <f t="shared" si="38"/>
        <v>44234407.604513198</v>
      </c>
      <c r="L571" s="30">
        <f t="shared" ref="L571:L634" si="39">K571/100000</f>
        <v>442.344076045132</v>
      </c>
      <c r="Y571">
        <v>548</v>
      </c>
      <c r="Z571" s="30">
        <f t="shared" si="37"/>
        <v>499.15036791619099</v>
      </c>
      <c r="AA571">
        <v>569</v>
      </c>
    </row>
    <row r="572" spans="10:27">
      <c r="J572">
        <v>436</v>
      </c>
      <c r="K572">
        <f t="shared" si="38"/>
        <v>44133184.703816362</v>
      </c>
      <c r="L572" s="30">
        <f t="shared" si="39"/>
        <v>441.33184703816363</v>
      </c>
      <c r="Y572">
        <v>547</v>
      </c>
      <c r="Z572" s="30">
        <f t="shared" si="37"/>
        <v>498.13813890922273</v>
      </c>
      <c r="AA572">
        <v>570</v>
      </c>
    </row>
    <row r="573" spans="10:27">
      <c r="J573">
        <v>435</v>
      </c>
      <c r="K573">
        <f t="shared" si="38"/>
        <v>44031961.80311954</v>
      </c>
      <c r="L573" s="30">
        <f t="shared" si="39"/>
        <v>440.31961803119538</v>
      </c>
      <c r="Y573">
        <v>546</v>
      </c>
      <c r="Z573" s="30">
        <f t="shared" si="37"/>
        <v>497.12590990225448</v>
      </c>
      <c r="AA573">
        <v>571</v>
      </c>
    </row>
    <row r="574" spans="10:27">
      <c r="J574">
        <v>434</v>
      </c>
      <c r="K574">
        <f t="shared" si="38"/>
        <v>43930738.902422711</v>
      </c>
      <c r="L574" s="30">
        <f t="shared" si="39"/>
        <v>439.30738902422712</v>
      </c>
      <c r="Y574">
        <v>545</v>
      </c>
      <c r="Z574" s="30">
        <f t="shared" si="37"/>
        <v>496.11368089528622</v>
      </c>
      <c r="AA574">
        <v>572</v>
      </c>
    </row>
    <row r="575" spans="10:27">
      <c r="J575">
        <v>433</v>
      </c>
      <c r="K575">
        <f t="shared" si="38"/>
        <v>43829516.00172589</v>
      </c>
      <c r="L575" s="30">
        <f t="shared" si="39"/>
        <v>438.29516001725892</v>
      </c>
      <c r="Y575">
        <v>544</v>
      </c>
      <c r="Z575" s="30">
        <f t="shared" si="37"/>
        <v>495.10145188831791</v>
      </c>
      <c r="AA575">
        <v>573</v>
      </c>
    </row>
    <row r="576" spans="10:27">
      <c r="J576">
        <v>432</v>
      </c>
      <c r="K576">
        <f t="shared" si="38"/>
        <v>43728293.101029061</v>
      </c>
      <c r="L576" s="30">
        <f t="shared" si="39"/>
        <v>437.28293101029061</v>
      </c>
      <c r="Y576">
        <v>543</v>
      </c>
      <c r="Z576" s="30">
        <f t="shared" si="37"/>
        <v>494.08922288134966</v>
      </c>
      <c r="AA576">
        <v>574</v>
      </c>
    </row>
    <row r="577" spans="10:27">
      <c r="J577">
        <v>431</v>
      </c>
      <c r="K577">
        <f t="shared" si="38"/>
        <v>43627070.200332239</v>
      </c>
      <c r="L577" s="30">
        <f t="shared" si="39"/>
        <v>436.27070200332241</v>
      </c>
      <c r="Y577">
        <v>542</v>
      </c>
      <c r="Z577" s="30">
        <f t="shared" si="37"/>
        <v>493.07699387438134</v>
      </c>
      <c r="AA577">
        <v>575</v>
      </c>
    </row>
    <row r="578" spans="10:27">
      <c r="J578">
        <v>430</v>
      </c>
      <c r="K578">
        <f t="shared" si="38"/>
        <v>43525847.29963541</v>
      </c>
      <c r="L578" s="30">
        <f t="shared" si="39"/>
        <v>435.2584729963541</v>
      </c>
      <c r="Y578">
        <v>541</v>
      </c>
      <c r="Z578" s="30">
        <f t="shared" si="37"/>
        <v>492.06476486741315</v>
      </c>
      <c r="AA578">
        <v>576</v>
      </c>
    </row>
    <row r="579" spans="10:27">
      <c r="J579">
        <v>429</v>
      </c>
      <c r="K579">
        <f t="shared" si="38"/>
        <v>43424624.398938581</v>
      </c>
      <c r="L579" s="30">
        <f t="shared" si="39"/>
        <v>434.24624398938579</v>
      </c>
      <c r="Y579">
        <v>540</v>
      </c>
      <c r="Z579" s="30">
        <f t="shared" si="37"/>
        <v>491.05253586044483</v>
      </c>
      <c r="AA579">
        <v>577</v>
      </c>
    </row>
    <row r="580" spans="10:27">
      <c r="J580">
        <v>428</v>
      </c>
      <c r="K580">
        <f t="shared" si="38"/>
        <v>43323401.498241752</v>
      </c>
      <c r="L580" s="30">
        <f t="shared" si="39"/>
        <v>433.23401498241753</v>
      </c>
      <c r="Y580">
        <v>539</v>
      </c>
      <c r="Z580" s="30">
        <f t="shared" si="37"/>
        <v>490.04030685347664</v>
      </c>
      <c r="AA580">
        <v>578</v>
      </c>
    </row>
    <row r="581" spans="10:27">
      <c r="J581">
        <v>427</v>
      </c>
      <c r="K581">
        <f t="shared" si="38"/>
        <v>43222178.597544931</v>
      </c>
      <c r="L581" s="30">
        <f t="shared" si="39"/>
        <v>432.22178597544934</v>
      </c>
      <c r="Y581">
        <v>538</v>
      </c>
      <c r="Z581" s="30">
        <f t="shared" si="37"/>
        <v>489.02807784650832</v>
      </c>
      <c r="AA581">
        <v>579</v>
      </c>
    </row>
    <row r="582" spans="10:27">
      <c r="J582">
        <v>426</v>
      </c>
      <c r="K582">
        <f t="shared" si="38"/>
        <v>43120955.696848102</v>
      </c>
      <c r="L582" s="30">
        <f t="shared" si="39"/>
        <v>431.20955696848102</v>
      </c>
      <c r="Y582">
        <v>537</v>
      </c>
      <c r="Z582" s="30">
        <f t="shared" si="37"/>
        <v>488.01584883954013</v>
      </c>
      <c r="AA582">
        <v>580</v>
      </c>
    </row>
    <row r="583" spans="10:27">
      <c r="J583">
        <v>425</v>
      </c>
      <c r="K583">
        <f t="shared" si="38"/>
        <v>43019732.796151273</v>
      </c>
      <c r="L583" s="30">
        <f t="shared" si="39"/>
        <v>430.19732796151271</v>
      </c>
      <c r="Y583">
        <v>536</v>
      </c>
      <c r="Z583" s="30">
        <f t="shared" si="37"/>
        <v>487.00361983257176</v>
      </c>
      <c r="AA583">
        <v>581</v>
      </c>
    </row>
    <row r="584" spans="10:27">
      <c r="J584">
        <v>424</v>
      </c>
      <c r="K584">
        <f t="shared" si="38"/>
        <v>42918509.895454451</v>
      </c>
      <c r="L584" s="30">
        <f t="shared" si="39"/>
        <v>429.18509895454451</v>
      </c>
      <c r="Y584">
        <v>535</v>
      </c>
      <c r="Z584" s="30">
        <f t="shared" si="37"/>
        <v>485.99139082560356</v>
      </c>
      <c r="AA584">
        <v>582</v>
      </c>
    </row>
    <row r="585" spans="10:27">
      <c r="J585">
        <v>423</v>
      </c>
      <c r="K585">
        <f t="shared" si="38"/>
        <v>42817286.994757622</v>
      </c>
      <c r="L585" s="30">
        <f t="shared" si="39"/>
        <v>428.1728699475762</v>
      </c>
      <c r="Y585">
        <v>534</v>
      </c>
      <c r="Z585" s="30">
        <f t="shared" si="37"/>
        <v>484.97916181863525</v>
      </c>
      <c r="AA585">
        <v>583</v>
      </c>
    </row>
    <row r="586" spans="10:27">
      <c r="J586">
        <v>422</v>
      </c>
      <c r="K586">
        <f t="shared" si="38"/>
        <v>42716064.094060801</v>
      </c>
      <c r="L586" s="30">
        <f t="shared" si="39"/>
        <v>427.160640940608</v>
      </c>
      <c r="Y586">
        <v>533</v>
      </c>
      <c r="Z586" s="30">
        <f t="shared" si="37"/>
        <v>483.96693281166705</v>
      </c>
      <c r="AA586">
        <v>584</v>
      </c>
    </row>
    <row r="587" spans="10:27">
      <c r="J587">
        <v>421</v>
      </c>
      <c r="K587">
        <f t="shared" si="38"/>
        <v>42614841.193363965</v>
      </c>
      <c r="L587" s="30">
        <f t="shared" si="39"/>
        <v>426.14841193363964</v>
      </c>
      <c r="Y587">
        <v>532</v>
      </c>
      <c r="Z587" s="30">
        <f t="shared" si="37"/>
        <v>482.95470380469874</v>
      </c>
      <c r="AA587">
        <v>585</v>
      </c>
    </row>
    <row r="588" spans="10:27">
      <c r="J588">
        <v>420</v>
      </c>
      <c r="K588">
        <f t="shared" si="38"/>
        <v>42513618.292667143</v>
      </c>
      <c r="L588" s="30">
        <f t="shared" si="39"/>
        <v>425.13618292667144</v>
      </c>
      <c r="Y588">
        <v>531</v>
      </c>
      <c r="Z588" s="30">
        <f t="shared" si="37"/>
        <v>481.94247479773048</v>
      </c>
      <c r="AA588">
        <v>586</v>
      </c>
    </row>
    <row r="589" spans="10:27">
      <c r="J589">
        <v>419</v>
      </c>
      <c r="K589">
        <f t="shared" si="38"/>
        <v>42412395.391970314</v>
      </c>
      <c r="L589" s="30">
        <f t="shared" si="39"/>
        <v>424.12395391970313</v>
      </c>
      <c r="Y589">
        <v>530</v>
      </c>
      <c r="Z589" s="30">
        <f t="shared" si="37"/>
        <v>480.93024579076223</v>
      </c>
      <c r="AA589">
        <v>587</v>
      </c>
    </row>
    <row r="590" spans="10:27">
      <c r="J590">
        <v>418</v>
      </c>
      <c r="K590">
        <f t="shared" si="38"/>
        <v>42311172.491273493</v>
      </c>
      <c r="L590" s="30">
        <f t="shared" si="39"/>
        <v>423.11172491273493</v>
      </c>
      <c r="Y590">
        <v>529</v>
      </c>
      <c r="Z590" s="30">
        <f t="shared" si="37"/>
        <v>479.91801678379397</v>
      </c>
      <c r="AA590">
        <v>588</v>
      </c>
    </row>
    <row r="591" spans="10:27">
      <c r="J591">
        <v>417</v>
      </c>
      <c r="K591">
        <f t="shared" si="38"/>
        <v>42209949.590576664</v>
      </c>
      <c r="L591" s="30">
        <f t="shared" si="39"/>
        <v>422.09949590576662</v>
      </c>
      <c r="Y591">
        <v>528</v>
      </c>
      <c r="Z591" s="30">
        <f t="shared" si="37"/>
        <v>478.90578777682566</v>
      </c>
      <c r="AA591">
        <v>589</v>
      </c>
    </row>
    <row r="592" spans="10:27">
      <c r="J592">
        <v>416</v>
      </c>
      <c r="K592">
        <f t="shared" si="38"/>
        <v>42108726.689879842</v>
      </c>
      <c r="L592" s="30">
        <f t="shared" si="39"/>
        <v>421.08726689879842</v>
      </c>
      <c r="Y592">
        <v>527</v>
      </c>
      <c r="Z592" s="30">
        <f t="shared" si="37"/>
        <v>477.89355876985735</v>
      </c>
      <c r="AA592">
        <v>590</v>
      </c>
    </row>
    <row r="593" spans="10:27">
      <c r="J593">
        <v>415</v>
      </c>
      <c r="K593">
        <f t="shared" si="38"/>
        <v>42007503.789183013</v>
      </c>
      <c r="L593" s="30">
        <f t="shared" si="39"/>
        <v>420.07503789183011</v>
      </c>
      <c r="Y593">
        <v>526</v>
      </c>
      <c r="Z593" s="30">
        <f t="shared" si="37"/>
        <v>476.88132976288915</v>
      </c>
      <c r="AA593">
        <v>591</v>
      </c>
    </row>
    <row r="594" spans="10:27">
      <c r="J594">
        <v>414</v>
      </c>
      <c r="K594">
        <f t="shared" si="38"/>
        <v>41906280.888486184</v>
      </c>
      <c r="L594" s="30">
        <f t="shared" si="39"/>
        <v>419.06280888486185</v>
      </c>
      <c r="Y594">
        <v>525</v>
      </c>
      <c r="Z594" s="30">
        <f t="shared" si="37"/>
        <v>475.8691007559209</v>
      </c>
      <c r="AA594">
        <v>592</v>
      </c>
    </row>
    <row r="595" spans="10:27">
      <c r="J595">
        <v>413</v>
      </c>
      <c r="K595">
        <f t="shared" si="38"/>
        <v>41805057.987789355</v>
      </c>
      <c r="L595" s="30">
        <f t="shared" si="39"/>
        <v>418.05057987789354</v>
      </c>
      <c r="Y595">
        <v>524</v>
      </c>
      <c r="Z595" s="30">
        <f t="shared" si="37"/>
        <v>474.85687174895264</v>
      </c>
      <c r="AA595">
        <v>593</v>
      </c>
    </row>
    <row r="596" spans="10:27">
      <c r="J596">
        <v>412</v>
      </c>
      <c r="K596">
        <f t="shared" si="38"/>
        <v>41703835.087092526</v>
      </c>
      <c r="L596" s="30">
        <f t="shared" si="39"/>
        <v>417.03835087092529</v>
      </c>
      <c r="Y596">
        <v>523</v>
      </c>
      <c r="Z596" s="30">
        <f t="shared" si="37"/>
        <v>473.84464274198439</v>
      </c>
      <c r="AA596">
        <v>594</v>
      </c>
    </row>
    <row r="597" spans="10:27">
      <c r="J597">
        <v>411</v>
      </c>
      <c r="K597">
        <f t="shared" si="38"/>
        <v>41602612.186395705</v>
      </c>
      <c r="L597" s="30">
        <f t="shared" si="39"/>
        <v>416.02612186395703</v>
      </c>
      <c r="Y597">
        <v>522</v>
      </c>
      <c r="Z597" s="30">
        <f t="shared" si="37"/>
        <v>472.83241373501613</v>
      </c>
      <c r="AA597">
        <v>595</v>
      </c>
    </row>
    <row r="598" spans="10:27">
      <c r="J598">
        <v>410</v>
      </c>
      <c r="K598">
        <f t="shared" si="38"/>
        <v>41501389.285698876</v>
      </c>
      <c r="L598" s="30">
        <f t="shared" si="39"/>
        <v>415.01389285698878</v>
      </c>
      <c r="Y598">
        <v>521</v>
      </c>
      <c r="Z598" s="30">
        <f t="shared" ref="Z598:Z661" si="40">L571+$H$68</f>
        <v>471.82018472804788</v>
      </c>
      <c r="AA598">
        <v>596</v>
      </c>
    </row>
    <row r="599" spans="10:27">
      <c r="J599">
        <v>409</v>
      </c>
      <c r="K599">
        <f t="shared" si="38"/>
        <v>41400166.385002054</v>
      </c>
      <c r="L599" s="30">
        <f t="shared" si="39"/>
        <v>414.00166385002052</v>
      </c>
      <c r="Y599">
        <v>520</v>
      </c>
      <c r="Z599" s="30">
        <f t="shared" si="40"/>
        <v>470.80795572107951</v>
      </c>
      <c r="AA599">
        <v>597</v>
      </c>
    </row>
    <row r="600" spans="10:27">
      <c r="J600">
        <v>408</v>
      </c>
      <c r="K600">
        <f t="shared" si="38"/>
        <v>41298943.484305225</v>
      </c>
      <c r="L600" s="30">
        <f t="shared" si="39"/>
        <v>412.98943484305227</v>
      </c>
      <c r="Y600">
        <v>519</v>
      </c>
      <c r="Z600" s="30">
        <f t="shared" si="40"/>
        <v>469.79572671411125</v>
      </c>
      <c r="AA600">
        <v>598</v>
      </c>
    </row>
    <row r="601" spans="10:27">
      <c r="J601">
        <v>407</v>
      </c>
      <c r="K601">
        <f t="shared" si="38"/>
        <v>41197720.583608404</v>
      </c>
      <c r="L601" s="30">
        <f t="shared" si="39"/>
        <v>411.97720583608401</v>
      </c>
      <c r="Y601">
        <v>518</v>
      </c>
      <c r="Z601" s="30">
        <f t="shared" si="40"/>
        <v>468.783497707143</v>
      </c>
      <c r="AA601">
        <v>599</v>
      </c>
    </row>
    <row r="602" spans="10:27">
      <c r="J602">
        <v>406</v>
      </c>
      <c r="K602">
        <f t="shared" si="38"/>
        <v>41096497.682911575</v>
      </c>
      <c r="L602" s="30">
        <f t="shared" si="39"/>
        <v>410.96497682911576</v>
      </c>
      <c r="Y602">
        <v>517</v>
      </c>
      <c r="Z602" s="30">
        <f t="shared" si="40"/>
        <v>467.7712687001748</v>
      </c>
      <c r="AA602">
        <v>600</v>
      </c>
    </row>
    <row r="603" spans="10:27">
      <c r="J603">
        <v>405</v>
      </c>
      <c r="K603">
        <f t="shared" si="38"/>
        <v>40995274.782214738</v>
      </c>
      <c r="L603" s="30">
        <f t="shared" si="39"/>
        <v>409.95274782214739</v>
      </c>
      <c r="Y603">
        <v>516</v>
      </c>
      <c r="Z603" s="30">
        <f t="shared" si="40"/>
        <v>466.75903969320649</v>
      </c>
      <c r="AA603">
        <v>601</v>
      </c>
    </row>
    <row r="604" spans="10:27">
      <c r="J604">
        <v>404</v>
      </c>
      <c r="K604">
        <f t="shared" si="38"/>
        <v>40894051.881517917</v>
      </c>
      <c r="L604" s="30">
        <f t="shared" si="39"/>
        <v>408.94051881517919</v>
      </c>
      <c r="Y604">
        <v>515</v>
      </c>
      <c r="Z604" s="30">
        <f t="shared" si="40"/>
        <v>465.74681068623829</v>
      </c>
      <c r="AA604">
        <v>602</v>
      </c>
    </row>
    <row r="605" spans="10:27">
      <c r="J605">
        <v>403</v>
      </c>
      <c r="K605">
        <f t="shared" si="38"/>
        <v>40792828.980821088</v>
      </c>
      <c r="L605" s="30">
        <f t="shared" si="39"/>
        <v>407.92828980821088</v>
      </c>
      <c r="Y605">
        <v>514</v>
      </c>
      <c r="Z605" s="30">
        <f t="shared" si="40"/>
        <v>464.73458167926998</v>
      </c>
      <c r="AA605">
        <v>603</v>
      </c>
    </row>
    <row r="606" spans="10:27">
      <c r="J606">
        <v>402</v>
      </c>
      <c r="K606">
        <f t="shared" si="38"/>
        <v>40691606.080124266</v>
      </c>
      <c r="L606" s="30">
        <f t="shared" si="39"/>
        <v>406.91606080124268</v>
      </c>
      <c r="Y606">
        <v>513</v>
      </c>
      <c r="Z606" s="30">
        <f t="shared" si="40"/>
        <v>463.72235267230167</v>
      </c>
      <c r="AA606">
        <v>604</v>
      </c>
    </row>
    <row r="607" spans="10:27">
      <c r="J607">
        <v>401</v>
      </c>
      <c r="K607">
        <f t="shared" si="38"/>
        <v>40590383.179427437</v>
      </c>
      <c r="L607" s="30">
        <f t="shared" si="39"/>
        <v>405.90383179427437</v>
      </c>
      <c r="Y607">
        <v>512</v>
      </c>
      <c r="Z607" s="30">
        <f t="shared" si="40"/>
        <v>462.71012366533341</v>
      </c>
      <c r="AA607">
        <v>605</v>
      </c>
    </row>
    <row r="608" spans="10:27">
      <c r="J608">
        <v>400</v>
      </c>
      <c r="K608">
        <f t="shared" si="38"/>
        <v>40489160.278730616</v>
      </c>
      <c r="L608" s="30">
        <f t="shared" si="39"/>
        <v>404.89160278730617</v>
      </c>
      <c r="Y608">
        <v>511</v>
      </c>
      <c r="Z608" s="30">
        <f t="shared" si="40"/>
        <v>461.69789465836521</v>
      </c>
      <c r="AA608">
        <v>606</v>
      </c>
    </row>
    <row r="609" spans="10:27">
      <c r="J609">
        <v>399</v>
      </c>
      <c r="K609">
        <f t="shared" si="38"/>
        <v>40387937.378033787</v>
      </c>
      <c r="L609" s="30">
        <f t="shared" si="39"/>
        <v>403.87937378033786</v>
      </c>
      <c r="Y609">
        <v>510</v>
      </c>
      <c r="Z609" s="30">
        <f t="shared" si="40"/>
        <v>460.6856656513969</v>
      </c>
      <c r="AA609">
        <v>607</v>
      </c>
    </row>
    <row r="610" spans="10:27">
      <c r="J610">
        <v>398</v>
      </c>
      <c r="K610">
        <f t="shared" si="38"/>
        <v>40286714.477336966</v>
      </c>
      <c r="L610" s="30">
        <f t="shared" si="39"/>
        <v>402.86714477336966</v>
      </c>
      <c r="Y610">
        <v>509</v>
      </c>
      <c r="Z610" s="30">
        <f t="shared" si="40"/>
        <v>459.67343664442859</v>
      </c>
      <c r="AA610">
        <v>608</v>
      </c>
    </row>
    <row r="611" spans="10:27">
      <c r="J611">
        <v>397</v>
      </c>
      <c r="K611">
        <f t="shared" si="38"/>
        <v>40185491.576640129</v>
      </c>
      <c r="L611" s="30">
        <f t="shared" si="39"/>
        <v>401.85491576640129</v>
      </c>
      <c r="Y611">
        <v>508</v>
      </c>
      <c r="Z611" s="30">
        <f t="shared" si="40"/>
        <v>458.66120763746039</v>
      </c>
      <c r="AA611">
        <v>609</v>
      </c>
    </row>
    <row r="612" spans="10:27">
      <c r="J612">
        <v>396</v>
      </c>
      <c r="K612">
        <f t="shared" si="38"/>
        <v>40084268.675943308</v>
      </c>
      <c r="L612" s="30">
        <f t="shared" si="39"/>
        <v>400.84268675943309</v>
      </c>
      <c r="Y612">
        <v>507</v>
      </c>
      <c r="Z612" s="30">
        <f t="shared" si="40"/>
        <v>457.64897863049208</v>
      </c>
      <c r="AA612">
        <v>610</v>
      </c>
    </row>
    <row r="613" spans="10:27">
      <c r="J613">
        <v>395</v>
      </c>
      <c r="K613">
        <f t="shared" si="38"/>
        <v>39983045.775246479</v>
      </c>
      <c r="L613" s="30">
        <f t="shared" si="39"/>
        <v>399.83045775246478</v>
      </c>
      <c r="Y613">
        <v>506</v>
      </c>
      <c r="Z613" s="30">
        <f t="shared" si="40"/>
        <v>456.63674962352388</v>
      </c>
      <c r="AA613">
        <v>611</v>
      </c>
    </row>
    <row r="614" spans="10:27">
      <c r="J614">
        <v>394</v>
      </c>
      <c r="K614">
        <f t="shared" si="38"/>
        <v>39881822.87454965</v>
      </c>
      <c r="L614" s="30">
        <f t="shared" si="39"/>
        <v>398.81822874549647</v>
      </c>
      <c r="Y614">
        <v>505</v>
      </c>
      <c r="Z614" s="30">
        <f t="shared" si="40"/>
        <v>455.62452061655551</v>
      </c>
      <c r="AA614">
        <v>612</v>
      </c>
    </row>
    <row r="615" spans="10:27">
      <c r="J615">
        <v>393</v>
      </c>
      <c r="K615">
        <f t="shared" si="38"/>
        <v>39780599.973852828</v>
      </c>
      <c r="L615" s="30">
        <f t="shared" si="39"/>
        <v>397.80599973852827</v>
      </c>
      <c r="Y615">
        <v>504</v>
      </c>
      <c r="Z615" s="30">
        <f t="shared" si="40"/>
        <v>454.61229160958732</v>
      </c>
      <c r="AA615">
        <v>613</v>
      </c>
    </row>
    <row r="616" spans="10:27">
      <c r="J616">
        <v>392</v>
      </c>
      <c r="K616">
        <f t="shared" si="38"/>
        <v>39679377.073155999</v>
      </c>
      <c r="L616" s="30">
        <f t="shared" si="39"/>
        <v>396.79377073156002</v>
      </c>
      <c r="Y616">
        <v>503</v>
      </c>
      <c r="Z616" s="30">
        <f t="shared" si="40"/>
        <v>453.600062602619</v>
      </c>
      <c r="AA616">
        <v>614</v>
      </c>
    </row>
    <row r="617" spans="10:27">
      <c r="J617">
        <v>391</v>
      </c>
      <c r="K617">
        <f t="shared" si="38"/>
        <v>39578154.172459178</v>
      </c>
      <c r="L617" s="30">
        <f t="shared" si="39"/>
        <v>395.78154172459176</v>
      </c>
      <c r="Y617">
        <v>502</v>
      </c>
      <c r="Z617" s="30">
        <f t="shared" si="40"/>
        <v>452.58783359565081</v>
      </c>
      <c r="AA617">
        <v>615</v>
      </c>
    </row>
    <row r="618" spans="10:27">
      <c r="J618">
        <v>390</v>
      </c>
      <c r="K618">
        <f t="shared" si="38"/>
        <v>39476931.271762349</v>
      </c>
      <c r="L618" s="30">
        <f t="shared" si="39"/>
        <v>394.76931271762351</v>
      </c>
      <c r="Y618">
        <v>501</v>
      </c>
      <c r="Z618" s="30">
        <f t="shared" si="40"/>
        <v>451.57560458868249</v>
      </c>
      <c r="AA618">
        <v>616</v>
      </c>
    </row>
    <row r="619" spans="10:27">
      <c r="J619">
        <v>389</v>
      </c>
      <c r="K619">
        <f t="shared" si="38"/>
        <v>39375708.37106552</v>
      </c>
      <c r="L619" s="30">
        <f t="shared" si="39"/>
        <v>393.75708371065519</v>
      </c>
      <c r="Y619">
        <v>500</v>
      </c>
      <c r="Z619" s="30">
        <f t="shared" si="40"/>
        <v>450.5633755817143</v>
      </c>
      <c r="AA619">
        <v>617</v>
      </c>
    </row>
    <row r="620" spans="10:27">
      <c r="J620">
        <v>388</v>
      </c>
      <c r="K620">
        <f t="shared" si="38"/>
        <v>39274485.470368691</v>
      </c>
      <c r="L620" s="30">
        <f t="shared" si="39"/>
        <v>392.74485470368688</v>
      </c>
      <c r="Y620">
        <v>499</v>
      </c>
      <c r="Z620" s="30">
        <f t="shared" si="40"/>
        <v>449.55114657474599</v>
      </c>
      <c r="AA620">
        <v>618</v>
      </c>
    </row>
    <row r="621" spans="10:27">
      <c r="J621">
        <v>387</v>
      </c>
      <c r="K621">
        <f t="shared" si="38"/>
        <v>39173262.569671869</v>
      </c>
      <c r="L621" s="30">
        <f t="shared" si="39"/>
        <v>391.73262569671869</v>
      </c>
      <c r="Y621">
        <v>498</v>
      </c>
      <c r="Z621" s="30">
        <f t="shared" si="40"/>
        <v>448.53891756777773</v>
      </c>
      <c r="AA621">
        <v>619</v>
      </c>
    </row>
    <row r="622" spans="10:27">
      <c r="J622">
        <v>386</v>
      </c>
      <c r="K622">
        <f t="shared" si="38"/>
        <v>39072039.66897504</v>
      </c>
      <c r="L622" s="30">
        <f t="shared" si="39"/>
        <v>390.72039668975043</v>
      </c>
      <c r="Y622">
        <v>497</v>
      </c>
      <c r="Z622" s="30">
        <f t="shared" si="40"/>
        <v>447.52668856080942</v>
      </c>
      <c r="AA622">
        <v>620</v>
      </c>
    </row>
    <row r="623" spans="10:27">
      <c r="J623">
        <v>385</v>
      </c>
      <c r="K623">
        <f t="shared" si="38"/>
        <v>38970816.768278219</v>
      </c>
      <c r="L623" s="30">
        <f t="shared" si="39"/>
        <v>389.70816768278218</v>
      </c>
      <c r="Y623">
        <v>496</v>
      </c>
      <c r="Z623" s="30">
        <f t="shared" si="40"/>
        <v>446.51445955384116</v>
      </c>
      <c r="AA623">
        <v>621</v>
      </c>
    </row>
    <row r="624" spans="10:27">
      <c r="J624">
        <v>384</v>
      </c>
      <c r="K624">
        <f t="shared" si="38"/>
        <v>38869593.86758139</v>
      </c>
      <c r="L624" s="30">
        <f t="shared" si="39"/>
        <v>388.69593867581392</v>
      </c>
      <c r="Y624">
        <v>495</v>
      </c>
      <c r="Z624" s="30">
        <f t="shared" si="40"/>
        <v>445.50223054687291</v>
      </c>
      <c r="AA624">
        <v>622</v>
      </c>
    </row>
    <row r="625" spans="10:27">
      <c r="J625">
        <v>383</v>
      </c>
      <c r="K625">
        <f t="shared" si="38"/>
        <v>38768370.966884561</v>
      </c>
      <c r="L625" s="30">
        <f t="shared" si="39"/>
        <v>387.68370966884561</v>
      </c>
      <c r="Y625">
        <v>494</v>
      </c>
      <c r="Z625" s="30">
        <f t="shared" si="40"/>
        <v>444.49000153990465</v>
      </c>
      <c r="AA625">
        <v>623</v>
      </c>
    </row>
    <row r="626" spans="10:27">
      <c r="J626">
        <v>382</v>
      </c>
      <c r="K626">
        <f t="shared" si="38"/>
        <v>38667148.066187739</v>
      </c>
      <c r="L626" s="30">
        <f t="shared" si="39"/>
        <v>386.67148066187741</v>
      </c>
      <c r="Y626">
        <v>493</v>
      </c>
      <c r="Z626" s="30">
        <f t="shared" si="40"/>
        <v>443.4777725329364</v>
      </c>
      <c r="AA626">
        <v>624</v>
      </c>
    </row>
    <row r="627" spans="10:27">
      <c r="J627">
        <v>381</v>
      </c>
      <c r="K627">
        <f t="shared" si="38"/>
        <v>38565925.165490903</v>
      </c>
      <c r="L627" s="30">
        <f t="shared" si="39"/>
        <v>385.65925165490904</v>
      </c>
      <c r="Y627">
        <v>492</v>
      </c>
      <c r="Z627" s="30">
        <f t="shared" si="40"/>
        <v>442.46554352596814</v>
      </c>
      <c r="AA627">
        <v>625</v>
      </c>
    </row>
    <row r="628" spans="10:27">
      <c r="J628">
        <v>380</v>
      </c>
      <c r="K628">
        <f t="shared" si="38"/>
        <v>38464702.264794081</v>
      </c>
      <c r="L628" s="30">
        <f t="shared" si="39"/>
        <v>384.64702264794079</v>
      </c>
      <c r="Y628">
        <v>491</v>
      </c>
      <c r="Z628" s="30">
        <f t="shared" si="40"/>
        <v>441.45331451899989</v>
      </c>
      <c r="AA628">
        <v>626</v>
      </c>
    </row>
    <row r="629" spans="10:27">
      <c r="J629">
        <v>379</v>
      </c>
      <c r="K629">
        <f t="shared" si="38"/>
        <v>38363479.364097252</v>
      </c>
      <c r="L629" s="30">
        <f t="shared" si="39"/>
        <v>383.63479364097253</v>
      </c>
      <c r="Y629">
        <v>490</v>
      </c>
      <c r="Z629" s="30">
        <f t="shared" si="40"/>
        <v>440.44108551203163</v>
      </c>
      <c r="AA629">
        <v>627</v>
      </c>
    </row>
    <row r="630" spans="10:27">
      <c r="J630">
        <v>378</v>
      </c>
      <c r="K630">
        <f t="shared" si="38"/>
        <v>38262256.463400431</v>
      </c>
      <c r="L630" s="30">
        <f t="shared" si="39"/>
        <v>382.62256463400433</v>
      </c>
      <c r="Y630">
        <v>489</v>
      </c>
      <c r="Z630" s="30">
        <f t="shared" si="40"/>
        <v>439.42885650506327</v>
      </c>
      <c r="AA630">
        <v>628</v>
      </c>
    </row>
    <row r="631" spans="10:27">
      <c r="J631">
        <v>377</v>
      </c>
      <c r="K631">
        <f t="shared" si="38"/>
        <v>38161033.562703602</v>
      </c>
      <c r="L631" s="30">
        <f t="shared" si="39"/>
        <v>381.61033562703602</v>
      </c>
      <c r="Y631">
        <v>488</v>
      </c>
      <c r="Z631" s="30">
        <f t="shared" si="40"/>
        <v>438.41662749809507</v>
      </c>
      <c r="AA631">
        <v>629</v>
      </c>
    </row>
    <row r="632" spans="10:27">
      <c r="J632">
        <v>376</v>
      </c>
      <c r="K632">
        <f t="shared" si="38"/>
        <v>38059810.662006781</v>
      </c>
      <c r="L632" s="30">
        <f t="shared" si="39"/>
        <v>380.59810662006782</v>
      </c>
      <c r="Y632">
        <v>487</v>
      </c>
      <c r="Z632" s="30">
        <f t="shared" si="40"/>
        <v>437.40439849112676</v>
      </c>
      <c r="AA632">
        <v>630</v>
      </c>
    </row>
    <row r="633" spans="10:27">
      <c r="J633">
        <v>375</v>
      </c>
      <c r="K633">
        <f t="shared" si="38"/>
        <v>37958587.761309952</v>
      </c>
      <c r="L633" s="30">
        <f t="shared" si="39"/>
        <v>379.58587761309951</v>
      </c>
      <c r="Y633">
        <v>486</v>
      </c>
      <c r="Z633" s="30">
        <f t="shared" si="40"/>
        <v>436.39216948415856</v>
      </c>
      <c r="AA633">
        <v>631</v>
      </c>
    </row>
    <row r="634" spans="10:27">
      <c r="J634">
        <v>374</v>
      </c>
      <c r="K634">
        <f t="shared" ref="K634:K697" si="41">$A$1*J634*$B$52^2</f>
        <v>37857364.860613123</v>
      </c>
      <c r="L634" s="30">
        <f t="shared" si="39"/>
        <v>378.5736486061312</v>
      </c>
      <c r="Y634">
        <v>485</v>
      </c>
      <c r="Z634" s="30">
        <f t="shared" si="40"/>
        <v>435.37994047719025</v>
      </c>
      <c r="AA634">
        <v>632</v>
      </c>
    </row>
    <row r="635" spans="10:27">
      <c r="J635">
        <v>373</v>
      </c>
      <c r="K635">
        <f t="shared" si="41"/>
        <v>37756141.959916294</v>
      </c>
      <c r="L635" s="30">
        <f t="shared" ref="L635:L698" si="42">K635/100000</f>
        <v>377.56141959916295</v>
      </c>
      <c r="Y635">
        <v>484</v>
      </c>
      <c r="Z635" s="30">
        <f t="shared" si="40"/>
        <v>434.36771147022205</v>
      </c>
      <c r="AA635">
        <v>633</v>
      </c>
    </row>
    <row r="636" spans="10:27">
      <c r="J636">
        <v>372</v>
      </c>
      <c r="K636">
        <f t="shared" si="41"/>
        <v>37654919.059219465</v>
      </c>
      <c r="L636" s="30">
        <f t="shared" si="42"/>
        <v>376.54919059219463</v>
      </c>
      <c r="Y636">
        <v>483</v>
      </c>
      <c r="Z636" s="30">
        <f t="shared" si="40"/>
        <v>433.35548246325374</v>
      </c>
      <c r="AA636">
        <v>634</v>
      </c>
    </row>
    <row r="637" spans="10:27">
      <c r="J637">
        <v>371</v>
      </c>
      <c r="K637">
        <f t="shared" si="41"/>
        <v>37553696.158522643</v>
      </c>
      <c r="L637" s="30">
        <f t="shared" si="42"/>
        <v>375.53696158522644</v>
      </c>
      <c r="Y637">
        <v>482</v>
      </c>
      <c r="Z637" s="30">
        <f t="shared" si="40"/>
        <v>432.34325345628554</v>
      </c>
      <c r="AA637">
        <v>635</v>
      </c>
    </row>
    <row r="638" spans="10:27">
      <c r="J638">
        <v>370</v>
      </c>
      <c r="K638">
        <f t="shared" si="41"/>
        <v>37452473.257825814</v>
      </c>
      <c r="L638" s="30">
        <f t="shared" si="42"/>
        <v>374.52473257825812</v>
      </c>
      <c r="Y638">
        <v>481</v>
      </c>
      <c r="Z638" s="30">
        <f t="shared" si="40"/>
        <v>431.33102444931717</v>
      </c>
      <c r="AA638">
        <v>636</v>
      </c>
    </row>
    <row r="639" spans="10:27">
      <c r="J639">
        <v>369</v>
      </c>
      <c r="K639">
        <f t="shared" si="41"/>
        <v>37351250.357128993</v>
      </c>
      <c r="L639" s="30">
        <f t="shared" si="42"/>
        <v>373.51250357128993</v>
      </c>
      <c r="Y639">
        <v>480</v>
      </c>
      <c r="Z639" s="30">
        <f t="shared" si="40"/>
        <v>430.31879544234897</v>
      </c>
      <c r="AA639">
        <v>637</v>
      </c>
    </row>
    <row r="640" spans="10:27">
      <c r="J640">
        <v>368</v>
      </c>
      <c r="K640">
        <f t="shared" si="41"/>
        <v>37250027.456432164</v>
      </c>
      <c r="L640" s="30">
        <f t="shared" si="42"/>
        <v>372.50027456432161</v>
      </c>
      <c r="Y640">
        <v>479</v>
      </c>
      <c r="Z640" s="30">
        <f t="shared" si="40"/>
        <v>429.30656643538066</v>
      </c>
      <c r="AA640">
        <v>638</v>
      </c>
    </row>
    <row r="641" spans="10:27">
      <c r="J641">
        <v>367</v>
      </c>
      <c r="K641">
        <f t="shared" si="41"/>
        <v>37148804.555735342</v>
      </c>
      <c r="L641" s="30">
        <f t="shared" si="42"/>
        <v>371.48804555735342</v>
      </c>
      <c r="Y641">
        <v>478</v>
      </c>
      <c r="Z641" s="30">
        <f t="shared" si="40"/>
        <v>428.29433742841235</v>
      </c>
      <c r="AA641">
        <v>639</v>
      </c>
    </row>
    <row r="642" spans="10:27">
      <c r="J642">
        <v>366</v>
      </c>
      <c r="K642">
        <f t="shared" si="41"/>
        <v>37047581.655038506</v>
      </c>
      <c r="L642" s="30">
        <f t="shared" si="42"/>
        <v>370.47581655038505</v>
      </c>
      <c r="Y642">
        <v>477</v>
      </c>
      <c r="Z642" s="30">
        <f t="shared" si="40"/>
        <v>427.28210842144415</v>
      </c>
      <c r="AA642">
        <v>640</v>
      </c>
    </row>
    <row r="643" spans="10:27">
      <c r="J643">
        <v>365</v>
      </c>
      <c r="K643">
        <f t="shared" si="41"/>
        <v>36946358.754341684</v>
      </c>
      <c r="L643" s="30">
        <f t="shared" si="42"/>
        <v>369.46358754341685</v>
      </c>
      <c r="Y643">
        <v>476</v>
      </c>
      <c r="Z643" s="30">
        <f t="shared" si="40"/>
        <v>426.26987941447589</v>
      </c>
      <c r="AA643">
        <v>641</v>
      </c>
    </row>
    <row r="644" spans="10:27">
      <c r="J644">
        <v>364</v>
      </c>
      <c r="K644">
        <f t="shared" si="41"/>
        <v>36845135.853644855</v>
      </c>
      <c r="L644" s="30">
        <f t="shared" si="42"/>
        <v>368.45135853644854</v>
      </c>
      <c r="Y644">
        <v>475</v>
      </c>
      <c r="Z644" s="30">
        <f t="shared" si="40"/>
        <v>425.25765040750764</v>
      </c>
      <c r="AA644">
        <v>642</v>
      </c>
    </row>
    <row r="645" spans="10:27">
      <c r="J645">
        <v>363</v>
      </c>
      <c r="K645">
        <f t="shared" si="41"/>
        <v>36743912.952948034</v>
      </c>
      <c r="L645" s="30">
        <f t="shared" si="42"/>
        <v>367.43912952948034</v>
      </c>
      <c r="Y645">
        <v>474</v>
      </c>
      <c r="Z645" s="30">
        <f t="shared" si="40"/>
        <v>424.24542140053939</v>
      </c>
      <c r="AA645">
        <v>643</v>
      </c>
    </row>
    <row r="646" spans="10:27">
      <c r="J646">
        <v>362</v>
      </c>
      <c r="K646">
        <f t="shared" si="41"/>
        <v>36642690.052251205</v>
      </c>
      <c r="L646" s="30">
        <f t="shared" si="42"/>
        <v>366.42690052251203</v>
      </c>
      <c r="Y646">
        <v>473</v>
      </c>
      <c r="Z646" s="30">
        <f t="shared" si="40"/>
        <v>423.23319239357107</v>
      </c>
      <c r="AA646">
        <v>644</v>
      </c>
    </row>
    <row r="647" spans="10:27">
      <c r="J647">
        <v>361</v>
      </c>
      <c r="K647">
        <f t="shared" si="41"/>
        <v>36541467.151554376</v>
      </c>
      <c r="L647" s="30">
        <f t="shared" si="42"/>
        <v>365.41467151554377</v>
      </c>
      <c r="Y647">
        <v>472</v>
      </c>
      <c r="Z647" s="30">
        <f t="shared" si="40"/>
        <v>422.22096338660276</v>
      </c>
      <c r="AA647">
        <v>645</v>
      </c>
    </row>
    <row r="648" spans="10:27">
      <c r="J648">
        <v>360</v>
      </c>
      <c r="K648">
        <f t="shared" si="41"/>
        <v>36440244.250857554</v>
      </c>
      <c r="L648" s="30">
        <f t="shared" si="42"/>
        <v>364.40244250857552</v>
      </c>
      <c r="Y648">
        <v>471</v>
      </c>
      <c r="Z648" s="30">
        <f t="shared" si="40"/>
        <v>421.20873437963456</v>
      </c>
      <c r="AA648">
        <v>646</v>
      </c>
    </row>
    <row r="649" spans="10:27">
      <c r="J649">
        <v>359</v>
      </c>
      <c r="K649">
        <f t="shared" si="41"/>
        <v>36339021.350160725</v>
      </c>
      <c r="L649" s="30">
        <f t="shared" si="42"/>
        <v>363.39021350160726</v>
      </c>
      <c r="Y649">
        <v>470</v>
      </c>
      <c r="Z649" s="30">
        <f t="shared" si="40"/>
        <v>420.19650537266631</v>
      </c>
      <c r="AA649">
        <v>647</v>
      </c>
    </row>
    <row r="650" spans="10:27">
      <c r="J650">
        <v>358</v>
      </c>
      <c r="K650">
        <f t="shared" si="41"/>
        <v>36237798.449463896</v>
      </c>
      <c r="L650" s="30">
        <f t="shared" si="42"/>
        <v>362.37798449463895</v>
      </c>
      <c r="Y650">
        <v>469</v>
      </c>
      <c r="Z650" s="30">
        <f t="shared" si="40"/>
        <v>419.18427636569805</v>
      </c>
      <c r="AA650">
        <v>648</v>
      </c>
    </row>
    <row r="651" spans="10:27">
      <c r="J651">
        <v>357</v>
      </c>
      <c r="K651">
        <f t="shared" si="41"/>
        <v>36136575.548767067</v>
      </c>
      <c r="L651" s="30">
        <f t="shared" si="42"/>
        <v>361.3657554876707</v>
      </c>
      <c r="Y651">
        <v>468</v>
      </c>
      <c r="Z651" s="30">
        <f t="shared" si="40"/>
        <v>418.1720473587298</v>
      </c>
      <c r="AA651">
        <v>649</v>
      </c>
    </row>
    <row r="652" spans="10:27">
      <c r="J652">
        <v>356</v>
      </c>
      <c r="K652">
        <f t="shared" si="41"/>
        <v>36035352.648070246</v>
      </c>
      <c r="L652" s="30">
        <f t="shared" si="42"/>
        <v>360.35352648070244</v>
      </c>
      <c r="Y652">
        <v>467</v>
      </c>
      <c r="Z652" s="30">
        <f t="shared" si="40"/>
        <v>417.15981835176149</v>
      </c>
      <c r="AA652">
        <v>650</v>
      </c>
    </row>
    <row r="653" spans="10:27">
      <c r="J653">
        <v>355</v>
      </c>
      <c r="K653">
        <f t="shared" si="41"/>
        <v>35934129.747373417</v>
      </c>
      <c r="L653" s="30">
        <f t="shared" si="42"/>
        <v>359.34129747373419</v>
      </c>
      <c r="Y653">
        <v>466</v>
      </c>
      <c r="Z653" s="30">
        <f t="shared" si="40"/>
        <v>416.14758934479329</v>
      </c>
      <c r="AA653">
        <v>651</v>
      </c>
    </row>
    <row r="654" spans="10:27">
      <c r="J654">
        <v>354</v>
      </c>
      <c r="K654">
        <f t="shared" si="41"/>
        <v>35832906.846676596</v>
      </c>
      <c r="L654" s="30">
        <f t="shared" si="42"/>
        <v>358.32906846676593</v>
      </c>
      <c r="Y654">
        <v>465</v>
      </c>
      <c r="Z654" s="30">
        <f t="shared" si="40"/>
        <v>415.13536033782492</v>
      </c>
      <c r="AA654">
        <v>652</v>
      </c>
    </row>
    <row r="655" spans="10:27">
      <c r="J655">
        <v>353</v>
      </c>
      <c r="K655">
        <f t="shared" si="41"/>
        <v>35731683.945979767</v>
      </c>
      <c r="L655" s="30">
        <f t="shared" si="42"/>
        <v>357.31683945979768</v>
      </c>
      <c r="Y655">
        <v>464</v>
      </c>
      <c r="Z655" s="30">
        <f t="shared" si="40"/>
        <v>414.12313133085667</v>
      </c>
      <c r="AA655">
        <v>653</v>
      </c>
    </row>
    <row r="656" spans="10:27">
      <c r="J656">
        <v>352</v>
      </c>
      <c r="K656">
        <f t="shared" si="41"/>
        <v>35630461.045282938</v>
      </c>
      <c r="L656" s="30">
        <f t="shared" si="42"/>
        <v>356.30461045282937</v>
      </c>
      <c r="Y656">
        <v>463</v>
      </c>
      <c r="Z656" s="30">
        <f t="shared" si="40"/>
        <v>413.11090232388841</v>
      </c>
      <c r="AA656">
        <v>654</v>
      </c>
    </row>
    <row r="657" spans="10:27">
      <c r="J657">
        <v>351</v>
      </c>
      <c r="K657">
        <f t="shared" si="41"/>
        <v>35529238.144586116</v>
      </c>
      <c r="L657" s="30">
        <f t="shared" si="42"/>
        <v>355.29238144586117</v>
      </c>
      <c r="Y657">
        <v>462</v>
      </c>
      <c r="Z657" s="30">
        <f t="shared" si="40"/>
        <v>412.09867331692021</v>
      </c>
      <c r="AA657">
        <v>655</v>
      </c>
    </row>
    <row r="658" spans="10:27">
      <c r="J658">
        <v>350</v>
      </c>
      <c r="K658">
        <f t="shared" si="41"/>
        <v>35428015.24388928</v>
      </c>
      <c r="L658" s="30">
        <f t="shared" si="42"/>
        <v>354.2801524388928</v>
      </c>
      <c r="Y658">
        <v>461</v>
      </c>
      <c r="Z658" s="30">
        <f t="shared" si="40"/>
        <v>411.0864443099519</v>
      </c>
      <c r="AA658">
        <v>656</v>
      </c>
    </row>
    <row r="659" spans="10:27">
      <c r="J659">
        <v>349</v>
      </c>
      <c r="K659">
        <f t="shared" si="41"/>
        <v>35326792.343192458</v>
      </c>
      <c r="L659" s="30">
        <f t="shared" si="42"/>
        <v>353.2679234319246</v>
      </c>
      <c r="Y659">
        <v>460</v>
      </c>
      <c r="Z659" s="30">
        <f t="shared" si="40"/>
        <v>410.0742153029837</v>
      </c>
      <c r="AA659">
        <v>657</v>
      </c>
    </row>
    <row r="660" spans="10:27">
      <c r="J660">
        <v>348</v>
      </c>
      <c r="K660">
        <f t="shared" si="41"/>
        <v>35225569.442495629</v>
      </c>
      <c r="L660" s="30">
        <f t="shared" si="42"/>
        <v>352.25569442495629</v>
      </c>
      <c r="Y660">
        <v>459</v>
      </c>
      <c r="Z660" s="30">
        <f t="shared" si="40"/>
        <v>409.06198629601539</v>
      </c>
      <c r="AA660">
        <v>658</v>
      </c>
    </row>
    <row r="661" spans="10:27">
      <c r="J661">
        <v>347</v>
      </c>
      <c r="K661">
        <f t="shared" si="41"/>
        <v>35124346.541798808</v>
      </c>
      <c r="L661" s="30">
        <f t="shared" si="42"/>
        <v>351.24346541798809</v>
      </c>
      <c r="Y661">
        <v>458</v>
      </c>
      <c r="Z661" s="30">
        <f t="shared" si="40"/>
        <v>408.04975728904708</v>
      </c>
      <c r="AA661">
        <v>659</v>
      </c>
    </row>
    <row r="662" spans="10:27">
      <c r="J662">
        <v>346</v>
      </c>
      <c r="K662">
        <f t="shared" si="41"/>
        <v>35023123.641101979</v>
      </c>
      <c r="L662" s="30">
        <f t="shared" si="42"/>
        <v>350.23123641101978</v>
      </c>
      <c r="Y662">
        <v>457</v>
      </c>
      <c r="Z662" s="30">
        <f t="shared" ref="Z662:Z725" si="43">L635+$H$68</f>
        <v>407.03752828207882</v>
      </c>
      <c r="AA662">
        <v>660</v>
      </c>
    </row>
    <row r="663" spans="10:27">
      <c r="J663">
        <v>345</v>
      </c>
      <c r="K663">
        <f t="shared" si="41"/>
        <v>34921900.740405157</v>
      </c>
      <c r="L663" s="30">
        <f t="shared" si="42"/>
        <v>349.21900740405158</v>
      </c>
      <c r="Y663">
        <v>456</v>
      </c>
      <c r="Z663" s="30">
        <f t="shared" si="43"/>
        <v>406.02529927511051</v>
      </c>
      <c r="AA663">
        <v>661</v>
      </c>
    </row>
    <row r="664" spans="10:27">
      <c r="J664">
        <v>344</v>
      </c>
      <c r="K664">
        <f t="shared" si="41"/>
        <v>34820677.839708328</v>
      </c>
      <c r="L664" s="30">
        <f t="shared" si="42"/>
        <v>348.20677839708327</v>
      </c>
      <c r="Y664">
        <v>455</v>
      </c>
      <c r="Z664" s="30">
        <f t="shared" si="43"/>
        <v>405.01307026814231</v>
      </c>
      <c r="AA664">
        <v>662</v>
      </c>
    </row>
    <row r="665" spans="10:27">
      <c r="J665">
        <v>343</v>
      </c>
      <c r="K665">
        <f t="shared" si="41"/>
        <v>34719454.939011507</v>
      </c>
      <c r="L665" s="30">
        <f t="shared" si="42"/>
        <v>347.19454939011507</v>
      </c>
      <c r="Y665">
        <v>454</v>
      </c>
      <c r="Z665" s="30">
        <f t="shared" si="43"/>
        <v>404.000841261174</v>
      </c>
      <c r="AA665">
        <v>663</v>
      </c>
    </row>
    <row r="666" spans="10:27">
      <c r="J666">
        <v>342</v>
      </c>
      <c r="K666">
        <f t="shared" si="41"/>
        <v>34618232.03831467</v>
      </c>
      <c r="L666" s="30">
        <f t="shared" si="42"/>
        <v>346.1823203831467</v>
      </c>
      <c r="Y666">
        <v>453</v>
      </c>
      <c r="Z666" s="30">
        <f t="shared" si="43"/>
        <v>402.9886122542058</v>
      </c>
      <c r="AA666">
        <v>664</v>
      </c>
    </row>
    <row r="667" spans="10:27">
      <c r="J667">
        <v>341</v>
      </c>
      <c r="K667">
        <f t="shared" si="41"/>
        <v>34517009.137617841</v>
      </c>
      <c r="L667" s="30">
        <f t="shared" si="42"/>
        <v>345.17009137617839</v>
      </c>
      <c r="Y667">
        <v>452</v>
      </c>
      <c r="Z667" s="30">
        <f t="shared" si="43"/>
        <v>401.97638324723749</v>
      </c>
      <c r="AA667">
        <v>665</v>
      </c>
    </row>
    <row r="668" spans="10:27">
      <c r="J668">
        <v>340</v>
      </c>
      <c r="K668">
        <f t="shared" si="41"/>
        <v>34415786.23692102</v>
      </c>
      <c r="L668" s="30">
        <f t="shared" si="42"/>
        <v>344.15786236921019</v>
      </c>
      <c r="Y668">
        <v>451</v>
      </c>
      <c r="Z668" s="30">
        <f t="shared" si="43"/>
        <v>400.96415424026929</v>
      </c>
      <c r="AA668">
        <v>666</v>
      </c>
    </row>
    <row r="669" spans="10:27">
      <c r="J669">
        <v>339</v>
      </c>
      <c r="K669">
        <f t="shared" si="41"/>
        <v>34314563.336224191</v>
      </c>
      <c r="L669" s="30">
        <f t="shared" si="42"/>
        <v>343.14563336224188</v>
      </c>
      <c r="Y669">
        <v>450</v>
      </c>
      <c r="Z669" s="30">
        <f t="shared" si="43"/>
        <v>399.95192523330093</v>
      </c>
      <c r="AA669">
        <v>667</v>
      </c>
    </row>
    <row r="670" spans="10:27">
      <c r="J670">
        <v>338</v>
      </c>
      <c r="K670">
        <f t="shared" si="41"/>
        <v>34213340.435527369</v>
      </c>
      <c r="L670" s="30">
        <f t="shared" si="42"/>
        <v>342.13340435527368</v>
      </c>
      <c r="Y670">
        <v>449</v>
      </c>
      <c r="Z670" s="30">
        <f t="shared" si="43"/>
        <v>398.93969622633273</v>
      </c>
      <c r="AA670">
        <v>668</v>
      </c>
    </row>
    <row r="671" spans="10:27">
      <c r="J671">
        <v>337</v>
      </c>
      <c r="K671">
        <f t="shared" si="41"/>
        <v>34112117.53483054</v>
      </c>
      <c r="L671" s="30">
        <f t="shared" si="42"/>
        <v>341.12117534830543</v>
      </c>
      <c r="Y671">
        <v>448</v>
      </c>
      <c r="Z671" s="30">
        <f t="shared" si="43"/>
        <v>397.92746721936442</v>
      </c>
      <c r="AA671">
        <v>669</v>
      </c>
    </row>
    <row r="672" spans="10:27">
      <c r="J672">
        <v>336</v>
      </c>
      <c r="K672">
        <f t="shared" si="41"/>
        <v>34010894.634133719</v>
      </c>
      <c r="L672" s="30">
        <f t="shared" si="42"/>
        <v>340.10894634133717</v>
      </c>
      <c r="Y672">
        <v>447</v>
      </c>
      <c r="Z672" s="30">
        <f t="shared" si="43"/>
        <v>396.91523821239622</v>
      </c>
      <c r="AA672">
        <v>670</v>
      </c>
    </row>
    <row r="673" spans="10:27">
      <c r="J673">
        <v>335</v>
      </c>
      <c r="K673">
        <f t="shared" si="41"/>
        <v>33909671.73343689</v>
      </c>
      <c r="L673" s="30">
        <f t="shared" si="42"/>
        <v>339.09671733436892</v>
      </c>
      <c r="Y673">
        <v>446</v>
      </c>
      <c r="Z673" s="30">
        <f t="shared" si="43"/>
        <v>395.90300920542791</v>
      </c>
      <c r="AA673">
        <v>671</v>
      </c>
    </row>
    <row r="674" spans="10:27">
      <c r="J674">
        <v>334</v>
      </c>
      <c r="K674">
        <f t="shared" si="41"/>
        <v>33808448.832740061</v>
      </c>
      <c r="L674" s="30">
        <f t="shared" si="42"/>
        <v>338.08448832740061</v>
      </c>
      <c r="Y674">
        <v>445</v>
      </c>
      <c r="Z674" s="30">
        <f t="shared" si="43"/>
        <v>394.89078019845965</v>
      </c>
      <c r="AA674">
        <v>672</v>
      </c>
    </row>
    <row r="675" spans="10:27">
      <c r="J675">
        <v>333</v>
      </c>
      <c r="K675">
        <f t="shared" si="41"/>
        <v>33707225.932043232</v>
      </c>
      <c r="L675" s="30">
        <f t="shared" si="42"/>
        <v>337.07225932043229</v>
      </c>
      <c r="Y675">
        <v>444</v>
      </c>
      <c r="Z675" s="30">
        <f t="shared" si="43"/>
        <v>393.8785511914914</v>
      </c>
      <c r="AA675">
        <v>673</v>
      </c>
    </row>
    <row r="676" spans="10:27">
      <c r="J676">
        <v>332</v>
      </c>
      <c r="K676">
        <f t="shared" si="41"/>
        <v>33606003.031346411</v>
      </c>
      <c r="L676" s="30">
        <f t="shared" si="42"/>
        <v>336.0600303134641</v>
      </c>
      <c r="Y676">
        <v>443</v>
      </c>
      <c r="Z676" s="30">
        <f t="shared" si="43"/>
        <v>392.86632218452314</v>
      </c>
      <c r="AA676">
        <v>674</v>
      </c>
    </row>
    <row r="677" spans="10:27">
      <c r="J677">
        <v>331</v>
      </c>
      <c r="K677">
        <f t="shared" si="41"/>
        <v>33504780.130649582</v>
      </c>
      <c r="L677" s="30">
        <f t="shared" si="42"/>
        <v>335.04780130649584</v>
      </c>
      <c r="Y677">
        <v>442</v>
      </c>
      <c r="Z677" s="30">
        <f t="shared" si="43"/>
        <v>391.85409317755483</v>
      </c>
      <c r="AA677">
        <v>675</v>
      </c>
    </row>
    <row r="678" spans="10:27">
      <c r="J678">
        <v>330</v>
      </c>
      <c r="K678">
        <f t="shared" si="41"/>
        <v>33403557.229952753</v>
      </c>
      <c r="L678" s="30">
        <f t="shared" si="42"/>
        <v>334.03557229952753</v>
      </c>
      <c r="Y678">
        <v>441</v>
      </c>
      <c r="Z678" s="30">
        <f t="shared" si="43"/>
        <v>390.84186417058658</v>
      </c>
      <c r="AA678">
        <v>676</v>
      </c>
    </row>
    <row r="679" spans="10:27">
      <c r="J679">
        <v>329</v>
      </c>
      <c r="K679">
        <f t="shared" si="41"/>
        <v>33302334.329255931</v>
      </c>
      <c r="L679" s="30">
        <f t="shared" si="42"/>
        <v>333.02334329255933</v>
      </c>
      <c r="Y679">
        <v>440</v>
      </c>
      <c r="Z679" s="30">
        <f t="shared" si="43"/>
        <v>389.82963516361832</v>
      </c>
      <c r="AA679">
        <v>677</v>
      </c>
    </row>
    <row r="680" spans="10:27">
      <c r="J680">
        <v>328</v>
      </c>
      <c r="K680">
        <f t="shared" si="41"/>
        <v>33201111.428559098</v>
      </c>
      <c r="L680" s="30">
        <f t="shared" si="42"/>
        <v>332.01111428559096</v>
      </c>
      <c r="Y680">
        <v>439</v>
      </c>
      <c r="Z680" s="30">
        <f t="shared" si="43"/>
        <v>388.81740615665007</v>
      </c>
      <c r="AA680">
        <v>678</v>
      </c>
    </row>
    <row r="681" spans="10:27">
      <c r="J681">
        <v>327</v>
      </c>
      <c r="K681">
        <f t="shared" si="41"/>
        <v>33099888.527862277</v>
      </c>
      <c r="L681" s="30">
        <f t="shared" si="42"/>
        <v>330.99888527862277</v>
      </c>
      <c r="Y681">
        <v>438</v>
      </c>
      <c r="Z681" s="30">
        <f t="shared" si="43"/>
        <v>387.80517714968181</v>
      </c>
      <c r="AA681">
        <v>679</v>
      </c>
    </row>
    <row r="682" spans="10:27">
      <c r="J682">
        <v>326</v>
      </c>
      <c r="K682">
        <f t="shared" si="41"/>
        <v>32998665.627165448</v>
      </c>
      <c r="L682" s="30">
        <f t="shared" si="42"/>
        <v>329.98665627165445</v>
      </c>
      <c r="Y682">
        <v>437</v>
      </c>
      <c r="Z682" s="30">
        <f t="shared" si="43"/>
        <v>386.79294814271356</v>
      </c>
      <c r="AA682">
        <v>680</v>
      </c>
    </row>
    <row r="683" spans="10:27">
      <c r="J683">
        <v>325</v>
      </c>
      <c r="K683">
        <f t="shared" si="41"/>
        <v>32897442.726468623</v>
      </c>
      <c r="L683" s="30">
        <f t="shared" si="42"/>
        <v>328.9744272646862</v>
      </c>
      <c r="Y683">
        <v>436</v>
      </c>
      <c r="Z683" s="30">
        <f t="shared" si="43"/>
        <v>385.78071913574524</v>
      </c>
      <c r="AA683">
        <v>681</v>
      </c>
    </row>
    <row r="684" spans="10:27">
      <c r="J684">
        <v>324</v>
      </c>
      <c r="K684">
        <f t="shared" si="41"/>
        <v>32796219.825771794</v>
      </c>
      <c r="L684" s="30">
        <f t="shared" si="42"/>
        <v>327.96219825771794</v>
      </c>
      <c r="Y684">
        <v>435</v>
      </c>
      <c r="Z684" s="30">
        <f t="shared" si="43"/>
        <v>384.76849012877705</v>
      </c>
      <c r="AA684">
        <v>682</v>
      </c>
    </row>
    <row r="685" spans="10:27">
      <c r="J685">
        <v>323</v>
      </c>
      <c r="K685">
        <f t="shared" si="41"/>
        <v>32694996.925074968</v>
      </c>
      <c r="L685" s="30">
        <f t="shared" si="42"/>
        <v>326.94996925074969</v>
      </c>
      <c r="Y685">
        <v>434</v>
      </c>
      <c r="Z685" s="30">
        <f t="shared" si="43"/>
        <v>383.75626112180868</v>
      </c>
      <c r="AA685">
        <v>683</v>
      </c>
    </row>
    <row r="686" spans="10:27">
      <c r="J686">
        <v>322</v>
      </c>
      <c r="K686">
        <f t="shared" si="41"/>
        <v>32593774.024378143</v>
      </c>
      <c r="L686" s="30">
        <f t="shared" si="42"/>
        <v>325.93774024378143</v>
      </c>
      <c r="Y686">
        <v>433</v>
      </c>
      <c r="Z686" s="30">
        <f t="shared" si="43"/>
        <v>382.74403211484048</v>
      </c>
      <c r="AA686">
        <v>684</v>
      </c>
    </row>
    <row r="687" spans="10:27">
      <c r="J687">
        <v>321</v>
      </c>
      <c r="K687">
        <f t="shared" si="41"/>
        <v>32492551.123681318</v>
      </c>
      <c r="L687" s="30">
        <f t="shared" si="42"/>
        <v>324.92551123681318</v>
      </c>
      <c r="Y687">
        <v>432</v>
      </c>
      <c r="Z687" s="30">
        <f t="shared" si="43"/>
        <v>381.73180310787217</v>
      </c>
      <c r="AA687">
        <v>685</v>
      </c>
    </row>
    <row r="688" spans="10:27">
      <c r="J688">
        <v>320</v>
      </c>
      <c r="K688">
        <f t="shared" si="41"/>
        <v>32391328.222984489</v>
      </c>
      <c r="L688" s="30">
        <f t="shared" si="42"/>
        <v>323.91328222984487</v>
      </c>
      <c r="Y688">
        <v>431</v>
      </c>
      <c r="Z688" s="30">
        <f t="shared" si="43"/>
        <v>380.71957410090397</v>
      </c>
      <c r="AA688">
        <v>686</v>
      </c>
    </row>
    <row r="689" spans="10:27">
      <c r="J689">
        <v>319</v>
      </c>
      <c r="K689">
        <f t="shared" si="41"/>
        <v>32290105.322287664</v>
      </c>
      <c r="L689" s="30">
        <f t="shared" si="42"/>
        <v>322.90105322287661</v>
      </c>
      <c r="Y689">
        <v>430</v>
      </c>
      <c r="Z689" s="30">
        <f t="shared" si="43"/>
        <v>379.70734509393566</v>
      </c>
      <c r="AA689">
        <v>687</v>
      </c>
    </row>
    <row r="690" spans="10:27">
      <c r="J690">
        <v>318</v>
      </c>
      <c r="K690">
        <f t="shared" si="41"/>
        <v>32188882.421590839</v>
      </c>
      <c r="L690" s="30">
        <f t="shared" si="42"/>
        <v>321.88882421590836</v>
      </c>
      <c r="Y690">
        <v>429</v>
      </c>
      <c r="Z690" s="30">
        <f t="shared" si="43"/>
        <v>378.69511608696746</v>
      </c>
      <c r="AA690">
        <v>688</v>
      </c>
    </row>
    <row r="691" spans="10:27">
      <c r="J691">
        <v>317</v>
      </c>
      <c r="K691">
        <f t="shared" si="41"/>
        <v>32087659.520894013</v>
      </c>
      <c r="L691" s="30">
        <f t="shared" si="42"/>
        <v>320.87659520894016</v>
      </c>
      <c r="Y691">
        <v>428</v>
      </c>
      <c r="Z691" s="30">
        <f t="shared" si="43"/>
        <v>377.68288707999915</v>
      </c>
      <c r="AA691">
        <v>689</v>
      </c>
    </row>
    <row r="692" spans="10:27">
      <c r="J692">
        <v>316</v>
      </c>
      <c r="K692">
        <f t="shared" si="41"/>
        <v>31986436.620197184</v>
      </c>
      <c r="L692" s="30">
        <f t="shared" si="42"/>
        <v>319.86436620197185</v>
      </c>
      <c r="Y692">
        <v>427</v>
      </c>
      <c r="Z692" s="30">
        <f t="shared" si="43"/>
        <v>376.67065807303095</v>
      </c>
      <c r="AA692">
        <v>690</v>
      </c>
    </row>
    <row r="693" spans="10:27">
      <c r="J693">
        <v>315</v>
      </c>
      <c r="K693">
        <f t="shared" si="41"/>
        <v>31885213.719500359</v>
      </c>
      <c r="L693" s="30">
        <f t="shared" si="42"/>
        <v>318.85213719500359</v>
      </c>
      <c r="Y693">
        <v>426</v>
      </c>
      <c r="Z693" s="30">
        <f t="shared" si="43"/>
        <v>375.65842906606258</v>
      </c>
      <c r="AA693">
        <v>691</v>
      </c>
    </row>
    <row r="694" spans="10:27">
      <c r="J694">
        <v>314</v>
      </c>
      <c r="K694">
        <f t="shared" si="41"/>
        <v>31783990.81880353</v>
      </c>
      <c r="L694" s="30">
        <f t="shared" si="42"/>
        <v>317.83990818803528</v>
      </c>
      <c r="Y694">
        <v>425</v>
      </c>
      <c r="Z694" s="30">
        <f t="shared" si="43"/>
        <v>374.64620005909427</v>
      </c>
      <c r="AA694">
        <v>692</v>
      </c>
    </row>
    <row r="695" spans="10:27">
      <c r="J695">
        <v>313</v>
      </c>
      <c r="K695">
        <f t="shared" si="41"/>
        <v>31682767.918106705</v>
      </c>
      <c r="L695" s="30">
        <f t="shared" si="42"/>
        <v>316.82767918106703</v>
      </c>
      <c r="Y695">
        <v>424</v>
      </c>
      <c r="Z695" s="30">
        <f t="shared" si="43"/>
        <v>373.63397105212607</v>
      </c>
      <c r="AA695">
        <v>693</v>
      </c>
    </row>
    <row r="696" spans="10:27">
      <c r="J696">
        <v>312</v>
      </c>
      <c r="K696">
        <f t="shared" si="41"/>
        <v>31581545.017409876</v>
      </c>
      <c r="L696" s="30">
        <f t="shared" si="42"/>
        <v>315.81545017409877</v>
      </c>
      <c r="Y696">
        <v>423</v>
      </c>
      <c r="Z696" s="30">
        <f t="shared" si="43"/>
        <v>372.62174204515776</v>
      </c>
      <c r="AA696">
        <v>694</v>
      </c>
    </row>
    <row r="697" spans="10:27">
      <c r="J697">
        <v>311</v>
      </c>
      <c r="K697">
        <f t="shared" si="41"/>
        <v>31480322.116713051</v>
      </c>
      <c r="L697" s="30">
        <f t="shared" si="42"/>
        <v>314.80322116713052</v>
      </c>
      <c r="Y697">
        <v>422</v>
      </c>
      <c r="Z697" s="30">
        <f t="shared" si="43"/>
        <v>371.60951303818956</v>
      </c>
      <c r="AA697">
        <v>695</v>
      </c>
    </row>
    <row r="698" spans="10:27">
      <c r="J698">
        <v>310</v>
      </c>
      <c r="K698">
        <f t="shared" ref="K698:K761" si="44">$A$1*J698*$B$52^2</f>
        <v>31379099.216016226</v>
      </c>
      <c r="L698" s="30">
        <f t="shared" si="42"/>
        <v>313.79099216016226</v>
      </c>
      <c r="Y698">
        <v>421</v>
      </c>
      <c r="Z698" s="30">
        <f t="shared" si="43"/>
        <v>370.59728403122131</v>
      </c>
      <c r="AA698">
        <v>696</v>
      </c>
    </row>
    <row r="699" spans="10:27">
      <c r="J699">
        <v>309</v>
      </c>
      <c r="K699">
        <f t="shared" si="44"/>
        <v>31277876.315319397</v>
      </c>
      <c r="L699" s="30">
        <f t="shared" ref="L699:L762" si="45">K699/100000</f>
        <v>312.77876315319395</v>
      </c>
      <c r="Y699">
        <v>420</v>
      </c>
      <c r="Z699" s="30">
        <f t="shared" si="43"/>
        <v>369.58505502425305</v>
      </c>
      <c r="AA699">
        <v>697</v>
      </c>
    </row>
    <row r="700" spans="10:27">
      <c r="J700">
        <v>308</v>
      </c>
      <c r="K700">
        <f t="shared" si="44"/>
        <v>31176653.414622571</v>
      </c>
      <c r="L700" s="30">
        <f t="shared" si="45"/>
        <v>311.76653414622569</v>
      </c>
      <c r="Y700">
        <v>419</v>
      </c>
      <c r="Z700" s="30">
        <f t="shared" si="43"/>
        <v>368.5728260172848</v>
      </c>
      <c r="AA700">
        <v>698</v>
      </c>
    </row>
    <row r="701" spans="10:27">
      <c r="J701">
        <v>307</v>
      </c>
      <c r="K701">
        <f t="shared" si="44"/>
        <v>31075430.513925746</v>
      </c>
      <c r="L701" s="30">
        <f t="shared" si="45"/>
        <v>310.75430513925744</v>
      </c>
      <c r="Y701">
        <v>418</v>
      </c>
      <c r="Z701" s="30">
        <f t="shared" si="43"/>
        <v>367.56059701031649</v>
      </c>
      <c r="AA701">
        <v>699</v>
      </c>
    </row>
    <row r="702" spans="10:27">
      <c r="J702">
        <v>306</v>
      </c>
      <c r="K702">
        <f t="shared" si="44"/>
        <v>30974207.613228921</v>
      </c>
      <c r="L702" s="30">
        <f t="shared" si="45"/>
        <v>309.74207613228918</v>
      </c>
      <c r="Y702">
        <v>417</v>
      </c>
      <c r="Z702" s="30">
        <f t="shared" si="43"/>
        <v>366.54836800334817</v>
      </c>
      <c r="AA702">
        <v>700</v>
      </c>
    </row>
    <row r="703" spans="10:27">
      <c r="J703">
        <v>305</v>
      </c>
      <c r="K703">
        <f t="shared" si="44"/>
        <v>30872984.712532092</v>
      </c>
      <c r="L703" s="30">
        <f t="shared" si="45"/>
        <v>308.72984712532093</v>
      </c>
      <c r="Y703">
        <v>416</v>
      </c>
      <c r="Z703" s="30">
        <f t="shared" si="43"/>
        <v>365.53613899637998</v>
      </c>
      <c r="AA703">
        <v>701</v>
      </c>
    </row>
    <row r="704" spans="10:27">
      <c r="J704">
        <v>304</v>
      </c>
      <c r="K704">
        <f t="shared" si="44"/>
        <v>30771761.811835263</v>
      </c>
      <c r="L704" s="30">
        <f t="shared" si="45"/>
        <v>307.71761811835262</v>
      </c>
      <c r="Y704">
        <v>415</v>
      </c>
      <c r="Z704" s="30">
        <f t="shared" si="43"/>
        <v>364.52390998941172</v>
      </c>
      <c r="AA704">
        <v>702</v>
      </c>
    </row>
    <row r="705" spans="10:27">
      <c r="J705">
        <v>303</v>
      </c>
      <c r="K705">
        <f t="shared" si="44"/>
        <v>30670538.911138438</v>
      </c>
      <c r="L705" s="30">
        <f t="shared" si="45"/>
        <v>306.70538911138436</v>
      </c>
      <c r="Y705">
        <v>414</v>
      </c>
      <c r="Z705" s="30">
        <f t="shared" si="43"/>
        <v>363.51168098244341</v>
      </c>
      <c r="AA705">
        <v>703</v>
      </c>
    </row>
    <row r="706" spans="10:27">
      <c r="J706">
        <v>302</v>
      </c>
      <c r="K706">
        <f t="shared" si="44"/>
        <v>30569316.010441612</v>
      </c>
      <c r="L706" s="30">
        <f t="shared" si="45"/>
        <v>305.69316010441611</v>
      </c>
      <c r="Y706">
        <v>413</v>
      </c>
      <c r="Z706" s="30">
        <f t="shared" si="43"/>
        <v>362.49945197547521</v>
      </c>
      <c r="AA706">
        <v>704</v>
      </c>
    </row>
    <row r="707" spans="10:27">
      <c r="J707">
        <v>301</v>
      </c>
      <c r="K707">
        <f t="shared" si="44"/>
        <v>30468093.109744783</v>
      </c>
      <c r="L707" s="30">
        <f t="shared" si="45"/>
        <v>304.68093109744785</v>
      </c>
      <c r="Y707">
        <v>412</v>
      </c>
      <c r="Z707" s="30">
        <f t="shared" si="43"/>
        <v>361.48722296850684</v>
      </c>
      <c r="AA707">
        <v>705</v>
      </c>
    </row>
    <row r="708" spans="10:27">
      <c r="J708">
        <v>300</v>
      </c>
      <c r="K708">
        <f t="shared" si="44"/>
        <v>30366870.209047958</v>
      </c>
      <c r="L708" s="30">
        <f t="shared" si="45"/>
        <v>303.6687020904796</v>
      </c>
      <c r="Y708">
        <v>411</v>
      </c>
      <c r="Z708" s="30">
        <f t="shared" si="43"/>
        <v>360.47499396153864</v>
      </c>
      <c r="AA708">
        <v>706</v>
      </c>
    </row>
    <row r="709" spans="10:27">
      <c r="J709">
        <v>299</v>
      </c>
      <c r="K709">
        <f t="shared" si="44"/>
        <v>30265647.308351133</v>
      </c>
      <c r="L709" s="30">
        <f t="shared" si="45"/>
        <v>302.65647308351134</v>
      </c>
      <c r="Y709">
        <v>410</v>
      </c>
      <c r="Z709" s="30">
        <f t="shared" si="43"/>
        <v>359.46276495457033</v>
      </c>
      <c r="AA709">
        <v>707</v>
      </c>
    </row>
    <row r="710" spans="10:27">
      <c r="J710">
        <v>298</v>
      </c>
      <c r="K710">
        <f t="shared" si="44"/>
        <v>30164424.407654308</v>
      </c>
      <c r="L710" s="30">
        <f t="shared" si="45"/>
        <v>301.64424407654309</v>
      </c>
      <c r="Y710">
        <v>409</v>
      </c>
      <c r="Z710" s="30">
        <f t="shared" si="43"/>
        <v>358.45053594760208</v>
      </c>
      <c r="AA710">
        <v>708</v>
      </c>
    </row>
    <row r="711" spans="10:27">
      <c r="J711">
        <v>297</v>
      </c>
      <c r="K711">
        <f t="shared" si="44"/>
        <v>30063201.506957479</v>
      </c>
      <c r="L711" s="30">
        <f t="shared" si="45"/>
        <v>300.63201506957478</v>
      </c>
      <c r="Y711">
        <v>408</v>
      </c>
      <c r="Z711" s="30">
        <f t="shared" si="43"/>
        <v>357.43830694063382</v>
      </c>
      <c r="AA711">
        <v>709</v>
      </c>
    </row>
    <row r="712" spans="10:27">
      <c r="J712">
        <v>296</v>
      </c>
      <c r="K712">
        <f t="shared" si="44"/>
        <v>29961978.606260654</v>
      </c>
      <c r="L712" s="30">
        <f t="shared" si="45"/>
        <v>299.61978606260652</v>
      </c>
      <c r="Y712">
        <v>407</v>
      </c>
      <c r="Z712" s="30">
        <f t="shared" si="43"/>
        <v>356.42607793366557</v>
      </c>
      <c r="AA712">
        <v>710</v>
      </c>
    </row>
    <row r="713" spans="10:27">
      <c r="J713">
        <v>295</v>
      </c>
      <c r="K713">
        <f t="shared" si="44"/>
        <v>29860755.705563828</v>
      </c>
      <c r="L713" s="30">
        <f t="shared" si="45"/>
        <v>298.60755705563827</v>
      </c>
      <c r="Y713">
        <v>406</v>
      </c>
      <c r="Z713" s="30">
        <f t="shared" si="43"/>
        <v>355.41384892669731</v>
      </c>
      <c r="AA713">
        <v>711</v>
      </c>
    </row>
    <row r="714" spans="10:27">
      <c r="J714">
        <v>294</v>
      </c>
      <c r="K714">
        <f t="shared" si="44"/>
        <v>29759532.804867003</v>
      </c>
      <c r="L714" s="30">
        <f t="shared" si="45"/>
        <v>297.59532804867001</v>
      </c>
      <c r="Y714">
        <v>405</v>
      </c>
      <c r="Z714" s="30">
        <f t="shared" si="43"/>
        <v>354.40161991972906</v>
      </c>
      <c r="AA714">
        <v>712</v>
      </c>
    </row>
    <row r="715" spans="10:27">
      <c r="J715">
        <v>293</v>
      </c>
      <c r="K715">
        <f t="shared" si="44"/>
        <v>29658309.90417017</v>
      </c>
      <c r="L715" s="30">
        <f t="shared" si="45"/>
        <v>296.5830990417017</v>
      </c>
      <c r="Y715">
        <v>404</v>
      </c>
      <c r="Z715" s="30">
        <f t="shared" si="43"/>
        <v>353.38939091276075</v>
      </c>
      <c r="AA715">
        <v>713</v>
      </c>
    </row>
    <row r="716" spans="10:27">
      <c r="J716">
        <v>292</v>
      </c>
      <c r="K716">
        <f t="shared" si="44"/>
        <v>29557087.003473345</v>
      </c>
      <c r="L716" s="30">
        <f t="shared" si="45"/>
        <v>295.57087003473345</v>
      </c>
      <c r="Y716">
        <v>403</v>
      </c>
      <c r="Z716" s="30">
        <f t="shared" si="43"/>
        <v>352.37716190579249</v>
      </c>
      <c r="AA716">
        <v>714</v>
      </c>
    </row>
    <row r="717" spans="10:27">
      <c r="J717">
        <v>291</v>
      </c>
      <c r="K717">
        <f t="shared" si="44"/>
        <v>29455864.10277652</v>
      </c>
      <c r="L717" s="30">
        <f t="shared" si="45"/>
        <v>294.55864102776519</v>
      </c>
      <c r="Y717">
        <v>402</v>
      </c>
      <c r="Z717" s="30">
        <f t="shared" si="43"/>
        <v>351.36493289882424</v>
      </c>
      <c r="AA717">
        <v>715</v>
      </c>
    </row>
    <row r="718" spans="10:27">
      <c r="J718">
        <v>290</v>
      </c>
      <c r="K718">
        <f t="shared" si="44"/>
        <v>29354641.202079695</v>
      </c>
      <c r="L718" s="30">
        <f t="shared" si="45"/>
        <v>293.54641202079694</v>
      </c>
      <c r="Y718">
        <v>401</v>
      </c>
      <c r="Z718" s="30">
        <f t="shared" si="43"/>
        <v>350.35270389185604</v>
      </c>
      <c r="AA718">
        <v>716</v>
      </c>
    </row>
    <row r="719" spans="10:27">
      <c r="J719">
        <v>289</v>
      </c>
      <c r="K719">
        <f t="shared" si="44"/>
        <v>29253418.301382866</v>
      </c>
      <c r="L719" s="30">
        <f t="shared" si="45"/>
        <v>292.53418301382868</v>
      </c>
      <c r="Y719">
        <v>400</v>
      </c>
      <c r="Z719" s="30">
        <f t="shared" si="43"/>
        <v>349.34047488488773</v>
      </c>
      <c r="AA719">
        <v>717</v>
      </c>
    </row>
    <row r="720" spans="10:27">
      <c r="J720">
        <v>288</v>
      </c>
      <c r="K720">
        <f t="shared" si="44"/>
        <v>29152195.400686041</v>
      </c>
      <c r="L720" s="30">
        <f t="shared" si="45"/>
        <v>291.52195400686043</v>
      </c>
      <c r="Y720">
        <v>399</v>
      </c>
      <c r="Z720" s="30">
        <f t="shared" si="43"/>
        <v>348.32824587791947</v>
      </c>
      <c r="AA720">
        <v>718</v>
      </c>
    </row>
    <row r="721" spans="10:27">
      <c r="J721">
        <v>287</v>
      </c>
      <c r="K721">
        <f t="shared" si="44"/>
        <v>29050972.499989215</v>
      </c>
      <c r="L721" s="30">
        <f t="shared" si="45"/>
        <v>290.50972499989217</v>
      </c>
      <c r="Y721">
        <v>398</v>
      </c>
      <c r="Z721" s="30">
        <f t="shared" si="43"/>
        <v>347.31601687095116</v>
      </c>
      <c r="AA721">
        <v>719</v>
      </c>
    </row>
    <row r="722" spans="10:27">
      <c r="J722">
        <v>286</v>
      </c>
      <c r="K722">
        <f t="shared" si="44"/>
        <v>28949749.59929239</v>
      </c>
      <c r="L722" s="30">
        <f t="shared" si="45"/>
        <v>289.49749599292392</v>
      </c>
      <c r="Y722">
        <v>397</v>
      </c>
      <c r="Z722" s="30">
        <f t="shared" si="43"/>
        <v>346.3037878639829</v>
      </c>
      <c r="AA722">
        <v>720</v>
      </c>
    </row>
    <row r="723" spans="10:27">
      <c r="J723">
        <v>285</v>
      </c>
      <c r="K723">
        <f t="shared" si="44"/>
        <v>28848526.698595561</v>
      </c>
      <c r="L723" s="30">
        <f t="shared" si="45"/>
        <v>288.4852669859556</v>
      </c>
      <c r="Y723">
        <v>396</v>
      </c>
      <c r="Z723" s="30">
        <f t="shared" si="43"/>
        <v>345.29155885701465</v>
      </c>
      <c r="AA723">
        <v>721</v>
      </c>
    </row>
    <row r="724" spans="10:27">
      <c r="J724">
        <v>284</v>
      </c>
      <c r="K724">
        <f t="shared" si="44"/>
        <v>28747303.797898736</v>
      </c>
      <c r="L724" s="30">
        <f t="shared" si="45"/>
        <v>287.47303797898735</v>
      </c>
      <c r="Y724">
        <v>395</v>
      </c>
      <c r="Z724" s="30">
        <f t="shared" si="43"/>
        <v>344.27932985004639</v>
      </c>
      <c r="AA724">
        <v>722</v>
      </c>
    </row>
    <row r="725" spans="10:27">
      <c r="J725">
        <v>283</v>
      </c>
      <c r="K725">
        <f t="shared" si="44"/>
        <v>28646080.897201911</v>
      </c>
      <c r="L725" s="30">
        <f t="shared" si="45"/>
        <v>286.46080897201909</v>
      </c>
      <c r="Y725">
        <v>394</v>
      </c>
      <c r="Z725" s="30">
        <f t="shared" si="43"/>
        <v>343.26710084307814</v>
      </c>
      <c r="AA725">
        <v>723</v>
      </c>
    </row>
    <row r="726" spans="10:27">
      <c r="J726">
        <v>282</v>
      </c>
      <c r="K726">
        <f t="shared" si="44"/>
        <v>28544857.996505082</v>
      </c>
      <c r="L726" s="30">
        <f t="shared" si="45"/>
        <v>285.44857996505084</v>
      </c>
      <c r="Y726">
        <v>393</v>
      </c>
      <c r="Z726" s="30">
        <f t="shared" ref="Z726:Z789" si="46">L699+$H$68</f>
        <v>342.25487183610983</v>
      </c>
      <c r="AA726">
        <v>724</v>
      </c>
    </row>
    <row r="727" spans="10:27">
      <c r="J727">
        <v>281</v>
      </c>
      <c r="K727">
        <f t="shared" si="44"/>
        <v>28443635.095808253</v>
      </c>
      <c r="L727" s="30">
        <f t="shared" si="45"/>
        <v>284.43635095808253</v>
      </c>
      <c r="Y727">
        <v>392</v>
      </c>
      <c r="Z727" s="30">
        <f t="shared" si="46"/>
        <v>341.24264282914157</v>
      </c>
      <c r="AA727">
        <v>725</v>
      </c>
    </row>
    <row r="728" spans="10:27">
      <c r="J728">
        <v>280</v>
      </c>
      <c r="K728">
        <f t="shared" si="44"/>
        <v>28342412.195111427</v>
      </c>
      <c r="L728" s="30">
        <f t="shared" si="45"/>
        <v>283.42412195111427</v>
      </c>
      <c r="Y728">
        <v>391</v>
      </c>
      <c r="Z728" s="30">
        <f t="shared" si="46"/>
        <v>340.23041382217332</v>
      </c>
      <c r="AA728">
        <v>726</v>
      </c>
    </row>
    <row r="729" spans="10:27">
      <c r="J729">
        <v>279</v>
      </c>
      <c r="K729">
        <f t="shared" si="44"/>
        <v>28241189.294414602</v>
      </c>
      <c r="L729" s="30">
        <f t="shared" si="45"/>
        <v>282.41189294414602</v>
      </c>
      <c r="Y729">
        <v>390</v>
      </c>
      <c r="Z729" s="30">
        <f t="shared" si="46"/>
        <v>339.21818481520506</v>
      </c>
      <c r="AA729">
        <v>727</v>
      </c>
    </row>
    <row r="730" spans="10:27">
      <c r="J730">
        <v>278</v>
      </c>
      <c r="K730">
        <f t="shared" si="44"/>
        <v>28139966.393717777</v>
      </c>
      <c r="L730" s="30">
        <f t="shared" si="45"/>
        <v>281.39966393717776</v>
      </c>
      <c r="Y730">
        <v>389</v>
      </c>
      <c r="Z730" s="30">
        <f t="shared" si="46"/>
        <v>338.20595580823681</v>
      </c>
      <c r="AA730">
        <v>728</v>
      </c>
    </row>
    <row r="731" spans="10:27">
      <c r="J731">
        <v>277</v>
      </c>
      <c r="K731">
        <f t="shared" si="44"/>
        <v>28038743.493020948</v>
      </c>
      <c r="L731" s="30">
        <f t="shared" si="45"/>
        <v>280.38743493020951</v>
      </c>
      <c r="Y731">
        <v>388</v>
      </c>
      <c r="Z731" s="30">
        <f t="shared" si="46"/>
        <v>337.1937268012685</v>
      </c>
      <c r="AA731">
        <v>729</v>
      </c>
    </row>
    <row r="732" spans="10:27">
      <c r="J732">
        <v>276</v>
      </c>
      <c r="K732">
        <f t="shared" si="44"/>
        <v>27937520.592324123</v>
      </c>
      <c r="L732" s="30">
        <f t="shared" si="45"/>
        <v>279.37520592324125</v>
      </c>
      <c r="Y732">
        <v>387</v>
      </c>
      <c r="Z732" s="30">
        <f t="shared" si="46"/>
        <v>336.18149779430024</v>
      </c>
      <c r="AA732">
        <v>730</v>
      </c>
    </row>
    <row r="733" spans="10:27">
      <c r="J733">
        <v>275</v>
      </c>
      <c r="K733">
        <f t="shared" si="44"/>
        <v>27836297.691627298</v>
      </c>
      <c r="L733" s="30">
        <f t="shared" si="45"/>
        <v>278.362976916273</v>
      </c>
      <c r="Y733">
        <v>386</v>
      </c>
      <c r="Z733" s="30">
        <f t="shared" si="46"/>
        <v>335.16926878733199</v>
      </c>
      <c r="AA733">
        <v>731</v>
      </c>
    </row>
    <row r="734" spans="10:27">
      <c r="J734">
        <v>274</v>
      </c>
      <c r="K734">
        <f t="shared" si="44"/>
        <v>27735074.790930472</v>
      </c>
      <c r="L734" s="30">
        <f t="shared" si="45"/>
        <v>277.35074790930474</v>
      </c>
      <c r="Y734">
        <v>385</v>
      </c>
      <c r="Z734" s="30">
        <f t="shared" si="46"/>
        <v>334.15703978036373</v>
      </c>
      <c r="AA734">
        <v>732</v>
      </c>
    </row>
    <row r="735" spans="10:27">
      <c r="J735">
        <v>273</v>
      </c>
      <c r="K735">
        <f t="shared" si="44"/>
        <v>27633851.890233643</v>
      </c>
      <c r="L735" s="30">
        <f t="shared" si="45"/>
        <v>276.33851890233643</v>
      </c>
      <c r="Y735">
        <v>384</v>
      </c>
      <c r="Z735" s="30">
        <f t="shared" si="46"/>
        <v>333.14481077339548</v>
      </c>
      <c r="AA735">
        <v>733</v>
      </c>
    </row>
    <row r="736" spans="10:27">
      <c r="J736">
        <v>272</v>
      </c>
      <c r="K736">
        <f t="shared" si="44"/>
        <v>27532628.989536818</v>
      </c>
      <c r="L736" s="30">
        <f t="shared" si="45"/>
        <v>275.32628989536818</v>
      </c>
      <c r="Y736">
        <v>383</v>
      </c>
      <c r="Z736" s="30">
        <f t="shared" si="46"/>
        <v>332.13258176642722</v>
      </c>
      <c r="AA736">
        <v>734</v>
      </c>
    </row>
    <row r="737" spans="10:27">
      <c r="J737">
        <v>271</v>
      </c>
      <c r="K737">
        <f t="shared" si="44"/>
        <v>27431406.088839989</v>
      </c>
      <c r="L737" s="30">
        <f t="shared" si="45"/>
        <v>274.31406088839987</v>
      </c>
      <c r="Y737">
        <v>382</v>
      </c>
      <c r="Z737" s="30">
        <f t="shared" si="46"/>
        <v>331.12035275945897</v>
      </c>
      <c r="AA737">
        <v>735</v>
      </c>
    </row>
    <row r="738" spans="10:27">
      <c r="J738">
        <v>270</v>
      </c>
      <c r="K738">
        <f t="shared" si="44"/>
        <v>27330183.188143164</v>
      </c>
      <c r="L738" s="30">
        <f t="shared" si="45"/>
        <v>273.30183188143167</v>
      </c>
      <c r="Y738">
        <v>381</v>
      </c>
      <c r="Z738" s="30">
        <f t="shared" si="46"/>
        <v>330.10812375249066</v>
      </c>
      <c r="AA738">
        <v>736</v>
      </c>
    </row>
    <row r="739" spans="10:27">
      <c r="J739">
        <v>269</v>
      </c>
      <c r="K739">
        <f t="shared" si="44"/>
        <v>27228960.287446335</v>
      </c>
      <c r="L739" s="30">
        <f t="shared" si="45"/>
        <v>272.28960287446336</v>
      </c>
      <c r="Y739">
        <v>380</v>
      </c>
      <c r="Z739" s="30">
        <f t="shared" si="46"/>
        <v>329.0958947455224</v>
      </c>
      <c r="AA739">
        <v>737</v>
      </c>
    </row>
    <row r="740" spans="10:27">
      <c r="J740">
        <v>268</v>
      </c>
      <c r="K740">
        <f t="shared" si="44"/>
        <v>27127737.38674951</v>
      </c>
      <c r="L740" s="30">
        <f t="shared" si="45"/>
        <v>271.2773738674951</v>
      </c>
      <c r="Y740">
        <v>379</v>
      </c>
      <c r="Z740" s="30">
        <f t="shared" si="46"/>
        <v>328.08366573855415</v>
      </c>
      <c r="AA740">
        <v>738</v>
      </c>
    </row>
    <row r="741" spans="10:27">
      <c r="J741">
        <v>267</v>
      </c>
      <c r="K741">
        <f t="shared" si="44"/>
        <v>27026514.486052684</v>
      </c>
      <c r="L741" s="30">
        <f t="shared" si="45"/>
        <v>270.26514486052685</v>
      </c>
      <c r="Y741">
        <v>378</v>
      </c>
      <c r="Z741" s="30">
        <f t="shared" si="46"/>
        <v>327.07143673158589</v>
      </c>
      <c r="AA741">
        <v>739</v>
      </c>
    </row>
    <row r="742" spans="10:27">
      <c r="J742">
        <v>266</v>
      </c>
      <c r="K742">
        <f t="shared" si="44"/>
        <v>26925291.585355859</v>
      </c>
      <c r="L742" s="30">
        <f t="shared" si="45"/>
        <v>269.25291585355859</v>
      </c>
      <c r="Y742">
        <v>377</v>
      </c>
      <c r="Z742" s="30">
        <f t="shared" si="46"/>
        <v>326.05920772461758</v>
      </c>
      <c r="AA742">
        <v>740</v>
      </c>
    </row>
    <row r="743" spans="10:27">
      <c r="J743">
        <v>265</v>
      </c>
      <c r="K743">
        <f t="shared" si="44"/>
        <v>26824068.68465903</v>
      </c>
      <c r="L743" s="30">
        <f t="shared" si="45"/>
        <v>268.24068684659028</v>
      </c>
      <c r="Y743">
        <v>376</v>
      </c>
      <c r="Z743" s="30">
        <f t="shared" si="46"/>
        <v>325.04697871764932</v>
      </c>
      <c r="AA743">
        <v>741</v>
      </c>
    </row>
    <row r="744" spans="10:27">
      <c r="J744">
        <v>264</v>
      </c>
      <c r="K744">
        <f t="shared" si="44"/>
        <v>26722845.783962205</v>
      </c>
      <c r="L744" s="30">
        <f t="shared" si="45"/>
        <v>267.22845783962202</v>
      </c>
      <c r="Y744">
        <v>375</v>
      </c>
      <c r="Z744" s="30">
        <f t="shared" si="46"/>
        <v>324.03474971068107</v>
      </c>
      <c r="AA744">
        <v>742</v>
      </c>
    </row>
    <row r="745" spans="10:27">
      <c r="J745">
        <v>263</v>
      </c>
      <c r="K745">
        <f t="shared" si="44"/>
        <v>26621622.88326538</v>
      </c>
      <c r="L745" s="30">
        <f t="shared" si="45"/>
        <v>266.21622883265383</v>
      </c>
      <c r="Y745">
        <v>374</v>
      </c>
      <c r="Z745" s="30">
        <f t="shared" si="46"/>
        <v>323.02252070371281</v>
      </c>
      <c r="AA745">
        <v>743</v>
      </c>
    </row>
    <row r="746" spans="10:27">
      <c r="J746">
        <v>262</v>
      </c>
      <c r="K746">
        <f t="shared" si="44"/>
        <v>26520399.982568555</v>
      </c>
      <c r="L746" s="30">
        <f t="shared" si="45"/>
        <v>265.20399982568557</v>
      </c>
      <c r="Y746">
        <v>373</v>
      </c>
      <c r="Z746" s="30">
        <f t="shared" si="46"/>
        <v>322.01029169674456</v>
      </c>
      <c r="AA746">
        <v>744</v>
      </c>
    </row>
    <row r="747" spans="10:27">
      <c r="J747">
        <v>261</v>
      </c>
      <c r="K747">
        <f t="shared" si="44"/>
        <v>26419177.081871722</v>
      </c>
      <c r="L747" s="30">
        <f t="shared" si="45"/>
        <v>264.1917708187172</v>
      </c>
      <c r="Y747">
        <v>372</v>
      </c>
      <c r="Z747" s="30">
        <f t="shared" si="46"/>
        <v>320.9980626897763</v>
      </c>
      <c r="AA747">
        <v>745</v>
      </c>
    </row>
    <row r="748" spans="10:27">
      <c r="J748">
        <v>260</v>
      </c>
      <c r="K748">
        <f t="shared" si="44"/>
        <v>26317954.181174897</v>
      </c>
      <c r="L748" s="30">
        <f t="shared" si="45"/>
        <v>263.17954181174895</v>
      </c>
      <c r="Y748">
        <v>371</v>
      </c>
      <c r="Z748" s="30">
        <f t="shared" si="46"/>
        <v>319.98583368280805</v>
      </c>
      <c r="AA748">
        <v>746</v>
      </c>
    </row>
    <row r="749" spans="10:27">
      <c r="J749">
        <v>259</v>
      </c>
      <c r="K749">
        <f t="shared" si="44"/>
        <v>26216731.280478071</v>
      </c>
      <c r="L749" s="30">
        <f t="shared" si="45"/>
        <v>262.16731280478069</v>
      </c>
      <c r="Y749">
        <v>370</v>
      </c>
      <c r="Z749" s="30">
        <f t="shared" si="46"/>
        <v>318.97360467583979</v>
      </c>
      <c r="AA749">
        <v>747</v>
      </c>
    </row>
    <row r="750" spans="10:27">
      <c r="J750">
        <v>258</v>
      </c>
      <c r="K750">
        <f t="shared" si="44"/>
        <v>26115508.379781246</v>
      </c>
      <c r="L750" s="30">
        <f t="shared" si="45"/>
        <v>261.15508379781244</v>
      </c>
      <c r="Y750">
        <v>369</v>
      </c>
      <c r="Z750" s="30">
        <f t="shared" si="46"/>
        <v>317.96137566887148</v>
      </c>
      <c r="AA750">
        <v>748</v>
      </c>
    </row>
    <row r="751" spans="10:27">
      <c r="J751">
        <v>257</v>
      </c>
      <c r="K751">
        <f t="shared" si="44"/>
        <v>26014285.479084417</v>
      </c>
      <c r="L751" s="30">
        <f t="shared" si="45"/>
        <v>260.14285479084418</v>
      </c>
      <c r="Y751">
        <v>368</v>
      </c>
      <c r="Z751" s="30">
        <f t="shared" si="46"/>
        <v>316.94914666190323</v>
      </c>
      <c r="AA751">
        <v>749</v>
      </c>
    </row>
    <row r="752" spans="10:27">
      <c r="J752">
        <v>256</v>
      </c>
      <c r="K752">
        <f t="shared" si="44"/>
        <v>25913062.578387592</v>
      </c>
      <c r="L752" s="30">
        <f t="shared" si="45"/>
        <v>259.13062578387593</v>
      </c>
      <c r="Y752">
        <v>367</v>
      </c>
      <c r="Z752" s="30">
        <f t="shared" si="46"/>
        <v>315.93691765493497</v>
      </c>
      <c r="AA752">
        <v>750</v>
      </c>
    </row>
    <row r="753" spans="10:27">
      <c r="J753">
        <v>255</v>
      </c>
      <c r="K753">
        <f t="shared" si="44"/>
        <v>25811839.677690767</v>
      </c>
      <c r="L753" s="30">
        <f t="shared" si="45"/>
        <v>258.11839677690767</v>
      </c>
      <c r="Y753">
        <v>366</v>
      </c>
      <c r="Z753" s="30">
        <f t="shared" si="46"/>
        <v>314.92468864796672</v>
      </c>
      <c r="AA753">
        <v>751</v>
      </c>
    </row>
    <row r="754" spans="10:27">
      <c r="J754">
        <v>254</v>
      </c>
      <c r="K754">
        <f t="shared" si="44"/>
        <v>25710616.776993942</v>
      </c>
      <c r="L754" s="30">
        <f t="shared" si="45"/>
        <v>257.10616776993942</v>
      </c>
      <c r="Y754">
        <v>365</v>
      </c>
      <c r="Z754" s="30">
        <f t="shared" si="46"/>
        <v>313.91245964099841</v>
      </c>
      <c r="AA754">
        <v>752</v>
      </c>
    </row>
    <row r="755" spans="10:27">
      <c r="J755">
        <v>253</v>
      </c>
      <c r="K755">
        <f t="shared" si="44"/>
        <v>25609393.876297113</v>
      </c>
      <c r="L755" s="30">
        <f t="shared" si="45"/>
        <v>256.09393876297111</v>
      </c>
      <c r="Y755">
        <v>364</v>
      </c>
      <c r="Z755" s="30">
        <f t="shared" si="46"/>
        <v>312.90023063403015</v>
      </c>
      <c r="AA755">
        <v>753</v>
      </c>
    </row>
    <row r="756" spans="10:27">
      <c r="J756">
        <v>252</v>
      </c>
      <c r="K756">
        <f t="shared" si="44"/>
        <v>25508170.975600287</v>
      </c>
      <c r="L756" s="30">
        <f t="shared" si="45"/>
        <v>255.08170975600288</v>
      </c>
      <c r="Y756">
        <v>363</v>
      </c>
      <c r="Z756" s="30">
        <f t="shared" si="46"/>
        <v>311.8880016270619</v>
      </c>
      <c r="AA756">
        <v>754</v>
      </c>
    </row>
    <row r="757" spans="10:27">
      <c r="J757">
        <v>251</v>
      </c>
      <c r="K757">
        <f t="shared" si="44"/>
        <v>25406948.074903462</v>
      </c>
      <c r="L757" s="30">
        <f t="shared" si="45"/>
        <v>254.06948074903462</v>
      </c>
      <c r="Y757">
        <v>362</v>
      </c>
      <c r="Z757" s="30">
        <f t="shared" si="46"/>
        <v>310.87577262009364</v>
      </c>
      <c r="AA757">
        <v>755</v>
      </c>
    </row>
    <row r="758" spans="10:27">
      <c r="J758">
        <v>250</v>
      </c>
      <c r="K758">
        <f t="shared" si="44"/>
        <v>25305725.174206633</v>
      </c>
      <c r="L758" s="30">
        <f t="shared" si="45"/>
        <v>253.05725174206634</v>
      </c>
      <c r="Y758">
        <v>361</v>
      </c>
      <c r="Z758" s="30">
        <f t="shared" si="46"/>
        <v>309.86354361312539</v>
      </c>
      <c r="AA758">
        <v>756</v>
      </c>
    </row>
    <row r="759" spans="10:27">
      <c r="J759">
        <v>249</v>
      </c>
      <c r="K759">
        <f t="shared" si="44"/>
        <v>25204502.273509804</v>
      </c>
      <c r="L759" s="30">
        <f t="shared" si="45"/>
        <v>252.04502273509803</v>
      </c>
      <c r="Y759">
        <v>360</v>
      </c>
      <c r="Z759" s="30">
        <f t="shared" si="46"/>
        <v>308.85131460615713</v>
      </c>
      <c r="AA759">
        <v>757</v>
      </c>
    </row>
    <row r="760" spans="10:27">
      <c r="J760">
        <v>248</v>
      </c>
      <c r="K760">
        <f t="shared" si="44"/>
        <v>25103279.372812979</v>
      </c>
      <c r="L760" s="30">
        <f t="shared" si="45"/>
        <v>251.0327937281298</v>
      </c>
      <c r="Y760">
        <v>359</v>
      </c>
      <c r="Z760" s="30">
        <f t="shared" si="46"/>
        <v>307.83908559918888</v>
      </c>
      <c r="AA760">
        <v>758</v>
      </c>
    </row>
    <row r="761" spans="10:27">
      <c r="J761">
        <v>247</v>
      </c>
      <c r="K761">
        <f t="shared" si="44"/>
        <v>25002056.472116154</v>
      </c>
      <c r="L761" s="30">
        <f t="shared" si="45"/>
        <v>250.02056472116155</v>
      </c>
      <c r="Y761">
        <v>358</v>
      </c>
      <c r="Z761" s="30">
        <f t="shared" si="46"/>
        <v>306.82685659222062</v>
      </c>
      <c r="AA761">
        <v>759</v>
      </c>
    </row>
    <row r="762" spans="10:27">
      <c r="J762">
        <v>246</v>
      </c>
      <c r="K762">
        <f t="shared" ref="K762:K825" si="47">$A$1*J762*$B$52^2</f>
        <v>24900833.571419325</v>
      </c>
      <c r="L762" s="30">
        <f t="shared" si="45"/>
        <v>249.00833571419324</v>
      </c>
      <c r="Y762">
        <v>357</v>
      </c>
      <c r="Z762" s="30">
        <f t="shared" si="46"/>
        <v>305.81462758525231</v>
      </c>
      <c r="AA762">
        <v>760</v>
      </c>
    </row>
    <row r="763" spans="10:27">
      <c r="J763">
        <v>245</v>
      </c>
      <c r="K763">
        <f t="shared" si="47"/>
        <v>24799610.670722499</v>
      </c>
      <c r="L763" s="30">
        <f t="shared" ref="L763:L826" si="48">K763/100000</f>
        <v>247.99610670722498</v>
      </c>
      <c r="Y763">
        <v>356</v>
      </c>
      <c r="Z763" s="30">
        <f t="shared" si="46"/>
        <v>304.80239857828406</v>
      </c>
      <c r="AA763">
        <v>761</v>
      </c>
    </row>
    <row r="764" spans="10:27">
      <c r="J764">
        <v>244</v>
      </c>
      <c r="K764">
        <f t="shared" si="47"/>
        <v>24698387.770025674</v>
      </c>
      <c r="L764" s="30">
        <f t="shared" si="48"/>
        <v>246.98387770025676</v>
      </c>
      <c r="Y764">
        <v>355</v>
      </c>
      <c r="Z764" s="30">
        <f t="shared" si="46"/>
        <v>303.79016957131574</v>
      </c>
      <c r="AA764">
        <v>762</v>
      </c>
    </row>
    <row r="765" spans="10:27">
      <c r="J765">
        <v>243</v>
      </c>
      <c r="K765">
        <f t="shared" si="47"/>
        <v>24597164.869328849</v>
      </c>
      <c r="L765" s="30">
        <f t="shared" si="48"/>
        <v>245.9716486932885</v>
      </c>
      <c r="Y765">
        <v>354</v>
      </c>
      <c r="Z765" s="30">
        <f t="shared" si="46"/>
        <v>302.77794056434755</v>
      </c>
      <c r="AA765">
        <v>763</v>
      </c>
    </row>
    <row r="766" spans="10:27">
      <c r="J766">
        <v>242</v>
      </c>
      <c r="K766">
        <f t="shared" si="47"/>
        <v>24495941.96863202</v>
      </c>
      <c r="L766" s="30">
        <f t="shared" si="48"/>
        <v>244.95941968632019</v>
      </c>
      <c r="Y766">
        <v>353</v>
      </c>
      <c r="Z766" s="30">
        <f t="shared" si="46"/>
        <v>301.76571155737923</v>
      </c>
      <c r="AA766">
        <v>764</v>
      </c>
    </row>
    <row r="767" spans="10:27">
      <c r="J767">
        <v>241</v>
      </c>
      <c r="K767">
        <f t="shared" si="47"/>
        <v>24394719.067935195</v>
      </c>
      <c r="L767" s="30">
        <f t="shared" si="48"/>
        <v>243.94719067935196</v>
      </c>
      <c r="Y767">
        <v>352</v>
      </c>
      <c r="Z767" s="30">
        <f t="shared" si="46"/>
        <v>300.75348255041098</v>
      </c>
      <c r="AA767">
        <v>765</v>
      </c>
    </row>
    <row r="768" spans="10:27">
      <c r="J768">
        <v>240</v>
      </c>
      <c r="K768">
        <f t="shared" si="47"/>
        <v>24293496.167238366</v>
      </c>
      <c r="L768" s="30">
        <f t="shared" si="48"/>
        <v>242.93496167238365</v>
      </c>
      <c r="Y768">
        <v>351</v>
      </c>
      <c r="Z768" s="30">
        <f t="shared" si="46"/>
        <v>299.74125354344272</v>
      </c>
      <c r="AA768">
        <v>766</v>
      </c>
    </row>
    <row r="769" spans="10:27">
      <c r="J769">
        <v>239</v>
      </c>
      <c r="K769">
        <f t="shared" si="47"/>
        <v>24192273.266541541</v>
      </c>
      <c r="L769" s="30">
        <f t="shared" si="48"/>
        <v>241.9227326654154</v>
      </c>
      <c r="Y769">
        <v>350</v>
      </c>
      <c r="Z769" s="30">
        <f t="shared" si="46"/>
        <v>298.72902453647447</v>
      </c>
      <c r="AA769">
        <v>767</v>
      </c>
    </row>
    <row r="770" spans="10:27">
      <c r="J770">
        <v>238</v>
      </c>
      <c r="K770">
        <f t="shared" si="47"/>
        <v>24091050.365844712</v>
      </c>
      <c r="L770" s="30">
        <f t="shared" si="48"/>
        <v>240.91050365844711</v>
      </c>
      <c r="Y770">
        <v>349</v>
      </c>
      <c r="Z770" s="30">
        <f t="shared" si="46"/>
        <v>297.71679552950616</v>
      </c>
      <c r="AA770">
        <v>768</v>
      </c>
    </row>
    <row r="771" spans="10:27">
      <c r="J771">
        <v>237</v>
      </c>
      <c r="K771">
        <f t="shared" si="47"/>
        <v>23989827.465147886</v>
      </c>
      <c r="L771" s="30">
        <f t="shared" si="48"/>
        <v>239.89827465147886</v>
      </c>
      <c r="Y771">
        <v>348</v>
      </c>
      <c r="Z771" s="30">
        <f t="shared" si="46"/>
        <v>296.7045665225379</v>
      </c>
      <c r="AA771">
        <v>769</v>
      </c>
    </row>
    <row r="772" spans="10:27">
      <c r="J772">
        <v>236</v>
      </c>
      <c r="K772">
        <f t="shared" si="47"/>
        <v>23888604.564451061</v>
      </c>
      <c r="L772" s="30">
        <f t="shared" si="48"/>
        <v>238.8860456445106</v>
      </c>
      <c r="Y772">
        <v>347</v>
      </c>
      <c r="Z772" s="30">
        <f t="shared" si="46"/>
        <v>295.6923375155697</v>
      </c>
      <c r="AA772">
        <v>770</v>
      </c>
    </row>
    <row r="773" spans="10:27">
      <c r="J773">
        <v>235</v>
      </c>
      <c r="K773">
        <f t="shared" si="47"/>
        <v>23787381.663754236</v>
      </c>
      <c r="L773" s="30">
        <f t="shared" si="48"/>
        <v>237.87381663754235</v>
      </c>
      <c r="Y773">
        <v>346</v>
      </c>
      <c r="Z773" s="30">
        <f t="shared" si="46"/>
        <v>294.68010850860145</v>
      </c>
      <c r="AA773">
        <v>771</v>
      </c>
    </row>
    <row r="774" spans="10:27">
      <c r="J774">
        <v>234</v>
      </c>
      <c r="K774">
        <f t="shared" si="47"/>
        <v>23686158.763057407</v>
      </c>
      <c r="L774" s="30">
        <f t="shared" si="48"/>
        <v>236.86158763057406</v>
      </c>
      <c r="Y774">
        <v>345</v>
      </c>
      <c r="Z774" s="30">
        <f t="shared" si="46"/>
        <v>293.66787950163308</v>
      </c>
      <c r="AA774">
        <v>772</v>
      </c>
    </row>
    <row r="775" spans="10:27">
      <c r="J775">
        <v>233</v>
      </c>
      <c r="K775">
        <f t="shared" si="47"/>
        <v>23584935.862360582</v>
      </c>
      <c r="L775" s="30">
        <f t="shared" si="48"/>
        <v>235.84935862360581</v>
      </c>
      <c r="Y775">
        <v>344</v>
      </c>
      <c r="Z775" s="30">
        <f t="shared" si="46"/>
        <v>292.65565049466483</v>
      </c>
      <c r="AA775">
        <v>773</v>
      </c>
    </row>
    <row r="776" spans="10:27">
      <c r="J776">
        <v>232</v>
      </c>
      <c r="K776">
        <f t="shared" si="47"/>
        <v>23483712.961663757</v>
      </c>
      <c r="L776" s="30">
        <f t="shared" si="48"/>
        <v>234.83712961663755</v>
      </c>
      <c r="Y776">
        <v>343</v>
      </c>
      <c r="Z776" s="30">
        <f t="shared" si="46"/>
        <v>291.64342148769657</v>
      </c>
      <c r="AA776">
        <v>774</v>
      </c>
    </row>
    <row r="777" spans="10:27">
      <c r="J777">
        <v>231</v>
      </c>
      <c r="K777">
        <f t="shared" si="47"/>
        <v>23382490.060966931</v>
      </c>
      <c r="L777" s="30">
        <f t="shared" si="48"/>
        <v>233.8249006096693</v>
      </c>
      <c r="Y777">
        <v>342</v>
      </c>
      <c r="Z777" s="30">
        <f t="shared" si="46"/>
        <v>290.63119248072832</v>
      </c>
      <c r="AA777">
        <v>775</v>
      </c>
    </row>
    <row r="778" spans="10:27">
      <c r="J778">
        <v>230</v>
      </c>
      <c r="K778">
        <f t="shared" si="47"/>
        <v>23281267.160270102</v>
      </c>
      <c r="L778" s="30">
        <f t="shared" si="48"/>
        <v>232.81267160270102</v>
      </c>
      <c r="Y778">
        <v>341</v>
      </c>
      <c r="Z778" s="30">
        <f t="shared" si="46"/>
        <v>289.61896347376006</v>
      </c>
      <c r="AA778">
        <v>776</v>
      </c>
    </row>
    <row r="779" spans="10:27">
      <c r="J779">
        <v>229</v>
      </c>
      <c r="K779">
        <f t="shared" si="47"/>
        <v>23180044.259573273</v>
      </c>
      <c r="L779" s="30">
        <f t="shared" si="48"/>
        <v>231.80044259573273</v>
      </c>
      <c r="Y779">
        <v>340</v>
      </c>
      <c r="Z779" s="30">
        <f t="shared" si="46"/>
        <v>288.60673446679181</v>
      </c>
      <c r="AA779">
        <v>777</v>
      </c>
    </row>
    <row r="780" spans="10:27">
      <c r="J780">
        <v>228</v>
      </c>
      <c r="K780">
        <f t="shared" si="47"/>
        <v>23078821.358876448</v>
      </c>
      <c r="L780" s="30">
        <f t="shared" si="48"/>
        <v>230.78821358876448</v>
      </c>
      <c r="Y780">
        <v>339</v>
      </c>
      <c r="Z780" s="30">
        <f t="shared" si="46"/>
        <v>287.59450545982355</v>
      </c>
      <c r="AA780">
        <v>778</v>
      </c>
    </row>
    <row r="781" spans="10:27">
      <c r="J781">
        <v>227</v>
      </c>
      <c r="K781">
        <f t="shared" si="47"/>
        <v>22977598.458179623</v>
      </c>
      <c r="L781" s="30">
        <f t="shared" si="48"/>
        <v>229.77598458179622</v>
      </c>
      <c r="Y781">
        <v>338</v>
      </c>
      <c r="Z781" s="30">
        <f t="shared" si="46"/>
        <v>286.5822764528553</v>
      </c>
      <c r="AA781">
        <v>779</v>
      </c>
    </row>
    <row r="782" spans="10:27">
      <c r="J782">
        <v>226</v>
      </c>
      <c r="K782">
        <f t="shared" si="47"/>
        <v>22876375.557482794</v>
      </c>
      <c r="L782" s="30">
        <f t="shared" si="48"/>
        <v>228.76375557482794</v>
      </c>
      <c r="Y782">
        <v>337</v>
      </c>
      <c r="Z782" s="30">
        <f t="shared" si="46"/>
        <v>285.57004744588698</v>
      </c>
      <c r="AA782">
        <v>780</v>
      </c>
    </row>
    <row r="783" spans="10:27">
      <c r="J783">
        <v>225</v>
      </c>
      <c r="K783">
        <f t="shared" si="47"/>
        <v>22775152.656785969</v>
      </c>
      <c r="L783" s="30">
        <f t="shared" si="48"/>
        <v>227.75152656785968</v>
      </c>
      <c r="Y783">
        <v>336</v>
      </c>
      <c r="Z783" s="30">
        <f t="shared" si="46"/>
        <v>284.55781843891879</v>
      </c>
      <c r="AA783">
        <v>781</v>
      </c>
    </row>
    <row r="784" spans="10:27">
      <c r="J784">
        <v>224</v>
      </c>
      <c r="K784">
        <f t="shared" si="47"/>
        <v>22673929.756089143</v>
      </c>
      <c r="L784" s="30">
        <f t="shared" si="48"/>
        <v>226.73929756089143</v>
      </c>
      <c r="Y784">
        <v>335</v>
      </c>
      <c r="Z784" s="30">
        <f t="shared" si="46"/>
        <v>283.54558943195053</v>
      </c>
      <c r="AA784">
        <v>782</v>
      </c>
    </row>
    <row r="785" spans="10:27">
      <c r="J785">
        <v>223</v>
      </c>
      <c r="K785">
        <f t="shared" si="47"/>
        <v>22572706.855392318</v>
      </c>
      <c r="L785" s="30">
        <f t="shared" si="48"/>
        <v>225.72706855392317</v>
      </c>
      <c r="Y785">
        <v>334</v>
      </c>
      <c r="Z785" s="30">
        <f t="shared" si="46"/>
        <v>282.53336042498222</v>
      </c>
      <c r="AA785">
        <v>783</v>
      </c>
    </row>
    <row r="786" spans="10:27">
      <c r="J786">
        <v>222</v>
      </c>
      <c r="K786">
        <f t="shared" si="47"/>
        <v>22471483.954695489</v>
      </c>
      <c r="L786" s="30">
        <f t="shared" si="48"/>
        <v>224.71483954695489</v>
      </c>
      <c r="Y786">
        <v>333</v>
      </c>
      <c r="Z786" s="30">
        <f t="shared" si="46"/>
        <v>281.52113141801391</v>
      </c>
      <c r="AA786">
        <v>784</v>
      </c>
    </row>
    <row r="787" spans="10:27">
      <c r="J787">
        <v>221</v>
      </c>
      <c r="K787">
        <f t="shared" si="47"/>
        <v>22370261.053998664</v>
      </c>
      <c r="L787" s="30">
        <f t="shared" si="48"/>
        <v>223.70261053998664</v>
      </c>
      <c r="Y787">
        <v>332</v>
      </c>
      <c r="Z787" s="30">
        <f t="shared" si="46"/>
        <v>280.50890241104571</v>
      </c>
      <c r="AA787">
        <v>785</v>
      </c>
    </row>
    <row r="788" spans="10:27">
      <c r="J788">
        <v>220</v>
      </c>
      <c r="K788">
        <f t="shared" si="47"/>
        <v>22269038.153301839</v>
      </c>
      <c r="L788" s="30">
        <f t="shared" si="48"/>
        <v>222.69038153301838</v>
      </c>
      <c r="Y788">
        <v>331</v>
      </c>
      <c r="Z788" s="30">
        <f t="shared" si="46"/>
        <v>279.49667340407746</v>
      </c>
      <c r="AA788">
        <v>786</v>
      </c>
    </row>
    <row r="789" spans="10:27">
      <c r="J789">
        <v>219</v>
      </c>
      <c r="K789">
        <f t="shared" si="47"/>
        <v>22167815.252605014</v>
      </c>
      <c r="L789" s="30">
        <f t="shared" si="48"/>
        <v>221.67815252605013</v>
      </c>
      <c r="Y789">
        <v>330</v>
      </c>
      <c r="Z789" s="30">
        <f t="shared" si="46"/>
        <v>278.48444439710914</v>
      </c>
      <c r="AA789">
        <v>787</v>
      </c>
    </row>
    <row r="790" spans="10:27">
      <c r="J790">
        <v>218</v>
      </c>
      <c r="K790">
        <f t="shared" si="47"/>
        <v>22066592.351908181</v>
      </c>
      <c r="L790" s="30">
        <f t="shared" si="48"/>
        <v>220.66592351908182</v>
      </c>
      <c r="Y790">
        <v>329</v>
      </c>
      <c r="Z790" s="30">
        <f t="shared" ref="Z790:Z853" si="49">L763+$H$68</f>
        <v>277.47221539014089</v>
      </c>
      <c r="AA790">
        <v>788</v>
      </c>
    </row>
    <row r="791" spans="10:27">
      <c r="J791">
        <v>217</v>
      </c>
      <c r="K791">
        <f t="shared" si="47"/>
        <v>21965369.451211356</v>
      </c>
      <c r="L791" s="30">
        <f t="shared" si="48"/>
        <v>219.65369451211356</v>
      </c>
      <c r="Y791">
        <v>328</v>
      </c>
      <c r="Z791" s="30">
        <f t="shared" si="49"/>
        <v>276.45998638317263</v>
      </c>
      <c r="AA791">
        <v>789</v>
      </c>
    </row>
    <row r="792" spans="10:27">
      <c r="J792">
        <v>216</v>
      </c>
      <c r="K792">
        <f t="shared" si="47"/>
        <v>21864146.55051453</v>
      </c>
      <c r="L792" s="30">
        <f t="shared" si="48"/>
        <v>218.64146550514531</v>
      </c>
      <c r="Y792">
        <v>327</v>
      </c>
      <c r="Z792" s="30">
        <f t="shared" si="49"/>
        <v>275.44775737620438</v>
      </c>
      <c r="AA792">
        <v>790</v>
      </c>
    </row>
    <row r="793" spans="10:27">
      <c r="J793">
        <v>215</v>
      </c>
      <c r="K793">
        <f t="shared" si="47"/>
        <v>21762923.649817705</v>
      </c>
      <c r="L793" s="30">
        <f t="shared" si="48"/>
        <v>217.62923649817705</v>
      </c>
      <c r="Y793">
        <v>326</v>
      </c>
      <c r="Z793" s="30">
        <f t="shared" si="49"/>
        <v>274.43552836923607</v>
      </c>
      <c r="AA793">
        <v>791</v>
      </c>
    </row>
    <row r="794" spans="10:27">
      <c r="J794">
        <v>214</v>
      </c>
      <c r="K794">
        <f t="shared" si="47"/>
        <v>21661700.749120876</v>
      </c>
      <c r="L794" s="30">
        <f t="shared" si="48"/>
        <v>216.61700749120877</v>
      </c>
      <c r="Y794">
        <v>325</v>
      </c>
      <c r="Z794" s="30">
        <f t="shared" si="49"/>
        <v>273.42329936226787</v>
      </c>
      <c r="AA794">
        <v>792</v>
      </c>
    </row>
    <row r="795" spans="10:27">
      <c r="J795">
        <v>213</v>
      </c>
      <c r="K795">
        <f t="shared" si="47"/>
        <v>21560477.848424051</v>
      </c>
      <c r="L795" s="30">
        <f t="shared" si="48"/>
        <v>215.60477848424051</v>
      </c>
      <c r="Y795">
        <v>324</v>
      </c>
      <c r="Z795" s="30">
        <f t="shared" si="49"/>
        <v>272.41107035529956</v>
      </c>
      <c r="AA795">
        <v>793</v>
      </c>
    </row>
    <row r="796" spans="10:27">
      <c r="J796">
        <v>212</v>
      </c>
      <c r="K796">
        <f t="shared" si="47"/>
        <v>21459254.947727226</v>
      </c>
      <c r="L796" s="30">
        <f t="shared" si="48"/>
        <v>214.59254947727226</v>
      </c>
      <c r="Y796">
        <v>323</v>
      </c>
      <c r="Z796" s="30">
        <f t="shared" si="49"/>
        <v>271.3988413483313</v>
      </c>
      <c r="AA796">
        <v>794</v>
      </c>
    </row>
    <row r="797" spans="10:27">
      <c r="J797">
        <v>211</v>
      </c>
      <c r="K797">
        <f t="shared" si="47"/>
        <v>21358032.0470304</v>
      </c>
      <c r="L797" s="30">
        <f t="shared" si="48"/>
        <v>213.580320470304</v>
      </c>
      <c r="Y797">
        <v>322</v>
      </c>
      <c r="Z797" s="30">
        <f t="shared" si="49"/>
        <v>270.38661234136299</v>
      </c>
      <c r="AA797">
        <v>795</v>
      </c>
    </row>
    <row r="798" spans="10:27">
      <c r="J798">
        <v>210</v>
      </c>
      <c r="K798">
        <f t="shared" si="47"/>
        <v>21256809.146333572</v>
      </c>
      <c r="L798" s="30">
        <f t="shared" si="48"/>
        <v>212.56809146333572</v>
      </c>
      <c r="Y798">
        <v>321</v>
      </c>
      <c r="Z798" s="30">
        <f t="shared" si="49"/>
        <v>269.37438333439474</v>
      </c>
      <c r="AA798">
        <v>796</v>
      </c>
    </row>
    <row r="799" spans="10:27">
      <c r="J799">
        <v>209</v>
      </c>
      <c r="K799">
        <f t="shared" si="47"/>
        <v>21155586.245636746</v>
      </c>
      <c r="L799" s="30">
        <f t="shared" si="48"/>
        <v>211.55586245636746</v>
      </c>
      <c r="Y799">
        <v>320</v>
      </c>
      <c r="Z799" s="30">
        <f t="shared" si="49"/>
        <v>268.36215432742648</v>
      </c>
      <c r="AA799">
        <v>797</v>
      </c>
    </row>
    <row r="800" spans="10:27">
      <c r="J800">
        <v>208</v>
      </c>
      <c r="K800">
        <f t="shared" si="47"/>
        <v>21054363.344939921</v>
      </c>
      <c r="L800" s="30">
        <f t="shared" si="48"/>
        <v>210.54363344939921</v>
      </c>
      <c r="Y800">
        <v>319</v>
      </c>
      <c r="Z800" s="30">
        <f t="shared" si="49"/>
        <v>267.34992532045823</v>
      </c>
      <c r="AA800">
        <v>798</v>
      </c>
    </row>
    <row r="801" spans="10:27">
      <c r="J801">
        <v>207</v>
      </c>
      <c r="K801">
        <f t="shared" si="47"/>
        <v>20953140.444243092</v>
      </c>
      <c r="L801" s="30">
        <f t="shared" si="48"/>
        <v>209.53140444243093</v>
      </c>
      <c r="Y801">
        <v>318</v>
      </c>
      <c r="Z801" s="30">
        <f t="shared" si="49"/>
        <v>266.33769631348997</v>
      </c>
      <c r="AA801">
        <v>799</v>
      </c>
    </row>
    <row r="802" spans="10:27">
      <c r="J802">
        <v>206</v>
      </c>
      <c r="K802">
        <f t="shared" si="47"/>
        <v>20851917.543546263</v>
      </c>
      <c r="L802" s="30">
        <f t="shared" si="48"/>
        <v>208.51917543546264</v>
      </c>
      <c r="Y802">
        <v>317</v>
      </c>
      <c r="Z802" s="30">
        <f t="shared" si="49"/>
        <v>265.32546730652172</v>
      </c>
      <c r="AA802">
        <v>800</v>
      </c>
    </row>
    <row r="803" spans="10:27">
      <c r="J803">
        <v>205</v>
      </c>
      <c r="K803">
        <f t="shared" si="47"/>
        <v>20750694.642849438</v>
      </c>
      <c r="L803" s="30">
        <f t="shared" si="48"/>
        <v>207.50694642849439</v>
      </c>
      <c r="Y803">
        <v>316</v>
      </c>
      <c r="Z803" s="30">
        <f t="shared" si="49"/>
        <v>264.31323829955346</v>
      </c>
      <c r="AA803">
        <v>801</v>
      </c>
    </row>
    <row r="804" spans="10:27">
      <c r="J804">
        <v>204</v>
      </c>
      <c r="K804">
        <f t="shared" si="47"/>
        <v>20649471.742152613</v>
      </c>
      <c r="L804" s="30">
        <f t="shared" si="48"/>
        <v>206.49471742152613</v>
      </c>
      <c r="Y804">
        <v>315</v>
      </c>
      <c r="Z804" s="30">
        <f t="shared" si="49"/>
        <v>263.30100929258521</v>
      </c>
      <c r="AA804">
        <v>802</v>
      </c>
    </row>
    <row r="805" spans="10:27">
      <c r="J805">
        <v>203</v>
      </c>
      <c r="K805">
        <f t="shared" si="47"/>
        <v>20548248.841455787</v>
      </c>
      <c r="L805" s="30">
        <f t="shared" si="48"/>
        <v>205.48248841455788</v>
      </c>
      <c r="Y805">
        <v>314</v>
      </c>
      <c r="Z805" s="30">
        <f t="shared" si="49"/>
        <v>262.28878028561689</v>
      </c>
      <c r="AA805">
        <v>803</v>
      </c>
    </row>
    <row r="806" spans="10:27">
      <c r="J806">
        <v>202</v>
      </c>
      <c r="K806">
        <f t="shared" si="47"/>
        <v>20447025.940758958</v>
      </c>
      <c r="L806" s="30">
        <f t="shared" si="48"/>
        <v>204.47025940758959</v>
      </c>
      <c r="Y806">
        <v>313</v>
      </c>
      <c r="Z806" s="30">
        <f t="shared" si="49"/>
        <v>261.27655127864864</v>
      </c>
      <c r="AA806">
        <v>804</v>
      </c>
    </row>
    <row r="807" spans="10:27">
      <c r="J807">
        <v>201</v>
      </c>
      <c r="K807">
        <f t="shared" si="47"/>
        <v>20345803.040062133</v>
      </c>
      <c r="L807" s="30">
        <f t="shared" si="48"/>
        <v>203.45803040062134</v>
      </c>
      <c r="Y807">
        <v>312</v>
      </c>
      <c r="Z807" s="30">
        <f t="shared" si="49"/>
        <v>260.26432227168038</v>
      </c>
      <c r="AA807">
        <v>805</v>
      </c>
    </row>
    <row r="808" spans="10:27">
      <c r="J808">
        <v>200</v>
      </c>
      <c r="K808">
        <f t="shared" si="47"/>
        <v>20244580.139365308</v>
      </c>
      <c r="L808" s="30">
        <f t="shared" si="48"/>
        <v>202.44580139365308</v>
      </c>
      <c r="Y808">
        <v>311</v>
      </c>
      <c r="Z808" s="30">
        <f t="shared" si="49"/>
        <v>259.25209326471213</v>
      </c>
      <c r="AA808">
        <v>806</v>
      </c>
    </row>
    <row r="809" spans="10:27">
      <c r="J809">
        <v>199</v>
      </c>
      <c r="K809">
        <f t="shared" si="47"/>
        <v>20143357.238668483</v>
      </c>
      <c r="L809" s="30">
        <f t="shared" si="48"/>
        <v>201.43357238668483</v>
      </c>
      <c r="Y809">
        <v>310</v>
      </c>
      <c r="Z809" s="30">
        <f t="shared" si="49"/>
        <v>258.23986425774382</v>
      </c>
      <c r="AA809">
        <v>807</v>
      </c>
    </row>
    <row r="810" spans="10:27">
      <c r="J810">
        <v>198</v>
      </c>
      <c r="K810">
        <f t="shared" si="47"/>
        <v>20042134.337971654</v>
      </c>
      <c r="L810" s="30">
        <f t="shared" si="48"/>
        <v>200.42134337971655</v>
      </c>
      <c r="Y810">
        <v>309</v>
      </c>
      <c r="Z810" s="30">
        <f t="shared" si="49"/>
        <v>257.22763525077556</v>
      </c>
      <c r="AA810">
        <v>808</v>
      </c>
    </row>
    <row r="811" spans="10:27">
      <c r="J811">
        <v>197</v>
      </c>
      <c r="K811">
        <f t="shared" si="47"/>
        <v>19940911.437274825</v>
      </c>
      <c r="L811" s="30">
        <f t="shared" si="48"/>
        <v>199.40911437274823</v>
      </c>
      <c r="Y811">
        <v>308</v>
      </c>
      <c r="Z811" s="30">
        <f t="shared" si="49"/>
        <v>256.21540624380731</v>
      </c>
      <c r="AA811">
        <v>809</v>
      </c>
    </row>
    <row r="812" spans="10:27">
      <c r="J812">
        <v>196</v>
      </c>
      <c r="K812">
        <f t="shared" si="47"/>
        <v>19839688.536578</v>
      </c>
      <c r="L812" s="30">
        <f t="shared" si="48"/>
        <v>198.39688536578001</v>
      </c>
      <c r="Y812">
        <v>307</v>
      </c>
      <c r="Z812" s="30">
        <f t="shared" si="49"/>
        <v>255.20317723683905</v>
      </c>
      <c r="AA812">
        <v>810</v>
      </c>
    </row>
    <row r="813" spans="10:27">
      <c r="J813">
        <v>195</v>
      </c>
      <c r="K813">
        <f t="shared" si="47"/>
        <v>19738465.635881174</v>
      </c>
      <c r="L813" s="30">
        <f t="shared" si="48"/>
        <v>197.38465635881175</v>
      </c>
      <c r="Y813">
        <v>306</v>
      </c>
      <c r="Z813" s="30">
        <f t="shared" si="49"/>
        <v>254.19094822987077</v>
      </c>
      <c r="AA813">
        <v>811</v>
      </c>
    </row>
    <row r="814" spans="10:27">
      <c r="J814">
        <v>194</v>
      </c>
      <c r="K814">
        <f t="shared" si="47"/>
        <v>19637242.735184345</v>
      </c>
      <c r="L814" s="30">
        <f t="shared" si="48"/>
        <v>196.37242735184344</v>
      </c>
      <c r="Y814">
        <v>305</v>
      </c>
      <c r="Z814" s="30">
        <f t="shared" si="49"/>
        <v>253.17871922290252</v>
      </c>
      <c r="AA814">
        <v>812</v>
      </c>
    </row>
    <row r="815" spans="10:27">
      <c r="J815">
        <v>193</v>
      </c>
      <c r="K815">
        <f t="shared" si="47"/>
        <v>19536019.83448752</v>
      </c>
      <c r="L815" s="30">
        <f t="shared" si="48"/>
        <v>195.36019834487522</v>
      </c>
      <c r="Y815">
        <v>304</v>
      </c>
      <c r="Z815" s="30">
        <f t="shared" si="49"/>
        <v>252.16649021593426</v>
      </c>
      <c r="AA815">
        <v>813</v>
      </c>
    </row>
    <row r="816" spans="10:27">
      <c r="J816">
        <v>192</v>
      </c>
      <c r="K816">
        <f t="shared" si="47"/>
        <v>19434796.933790695</v>
      </c>
      <c r="L816" s="30">
        <f t="shared" si="48"/>
        <v>194.34796933790696</v>
      </c>
      <c r="Y816">
        <v>303</v>
      </c>
      <c r="Z816" s="30">
        <f t="shared" si="49"/>
        <v>251.15426120896601</v>
      </c>
      <c r="AA816">
        <v>814</v>
      </c>
    </row>
    <row r="817" spans="10:27">
      <c r="J817">
        <v>191</v>
      </c>
      <c r="K817">
        <f t="shared" si="47"/>
        <v>19333574.03309387</v>
      </c>
      <c r="L817" s="30">
        <f t="shared" si="48"/>
        <v>193.33574033093871</v>
      </c>
      <c r="Y817">
        <v>302</v>
      </c>
      <c r="Z817" s="30">
        <f t="shared" si="49"/>
        <v>250.14203220199769</v>
      </c>
      <c r="AA817">
        <v>815</v>
      </c>
    </row>
    <row r="818" spans="10:27">
      <c r="J818">
        <v>190</v>
      </c>
      <c r="K818">
        <f t="shared" si="47"/>
        <v>19232351.132397041</v>
      </c>
      <c r="L818" s="30">
        <f t="shared" si="48"/>
        <v>192.32351132397039</v>
      </c>
      <c r="Y818">
        <v>301</v>
      </c>
      <c r="Z818" s="30">
        <f t="shared" si="49"/>
        <v>249.12980319502944</v>
      </c>
      <c r="AA818">
        <v>816</v>
      </c>
    </row>
    <row r="819" spans="10:27">
      <c r="J819">
        <v>189</v>
      </c>
      <c r="K819">
        <f t="shared" si="47"/>
        <v>19131128.231700215</v>
      </c>
      <c r="L819" s="30">
        <f t="shared" si="48"/>
        <v>191.31128231700217</v>
      </c>
      <c r="Y819">
        <v>300</v>
      </c>
      <c r="Z819" s="30">
        <f t="shared" si="49"/>
        <v>248.11757418806118</v>
      </c>
      <c r="AA819">
        <v>817</v>
      </c>
    </row>
    <row r="820" spans="10:27">
      <c r="J820">
        <v>188</v>
      </c>
      <c r="K820">
        <f t="shared" si="47"/>
        <v>19029905.33100339</v>
      </c>
      <c r="L820" s="30">
        <f t="shared" si="48"/>
        <v>190.29905331003391</v>
      </c>
      <c r="Y820">
        <v>299</v>
      </c>
      <c r="Z820" s="30">
        <f t="shared" si="49"/>
        <v>247.10534518109293</v>
      </c>
      <c r="AA820">
        <v>818</v>
      </c>
    </row>
    <row r="821" spans="10:27">
      <c r="J821">
        <v>187</v>
      </c>
      <c r="K821">
        <f t="shared" si="47"/>
        <v>18928682.430306561</v>
      </c>
      <c r="L821" s="30">
        <f t="shared" si="48"/>
        <v>189.2868243030656</v>
      </c>
      <c r="Y821">
        <v>298</v>
      </c>
      <c r="Z821" s="30">
        <f t="shared" si="49"/>
        <v>246.09311617412465</v>
      </c>
      <c r="AA821">
        <v>819</v>
      </c>
    </row>
    <row r="822" spans="10:27">
      <c r="J822">
        <v>186</v>
      </c>
      <c r="K822">
        <f t="shared" si="47"/>
        <v>18827459.529609732</v>
      </c>
      <c r="L822" s="30">
        <f t="shared" si="48"/>
        <v>188.27459529609732</v>
      </c>
      <c r="Y822">
        <v>297</v>
      </c>
      <c r="Z822" s="30">
        <f t="shared" si="49"/>
        <v>245.08088716715639</v>
      </c>
      <c r="AA822">
        <v>820</v>
      </c>
    </row>
    <row r="823" spans="10:27">
      <c r="J823">
        <v>185</v>
      </c>
      <c r="K823">
        <f t="shared" si="47"/>
        <v>18726236.628912907</v>
      </c>
      <c r="L823" s="30">
        <f t="shared" si="48"/>
        <v>187.26236628912906</v>
      </c>
      <c r="Y823">
        <v>296</v>
      </c>
      <c r="Z823" s="30">
        <f t="shared" si="49"/>
        <v>244.06865816018814</v>
      </c>
      <c r="AA823">
        <v>821</v>
      </c>
    </row>
    <row r="824" spans="10:27">
      <c r="J824">
        <v>184</v>
      </c>
      <c r="K824">
        <f t="shared" si="47"/>
        <v>18625013.728216082</v>
      </c>
      <c r="L824" s="30">
        <f t="shared" si="48"/>
        <v>186.25013728216081</v>
      </c>
      <c r="Y824">
        <v>295</v>
      </c>
      <c r="Z824" s="30">
        <f t="shared" si="49"/>
        <v>243.05642915321988</v>
      </c>
      <c r="AA824">
        <v>822</v>
      </c>
    </row>
    <row r="825" spans="10:27">
      <c r="J825">
        <v>183</v>
      </c>
      <c r="K825">
        <f t="shared" si="47"/>
        <v>18523790.827519253</v>
      </c>
      <c r="L825" s="30">
        <f t="shared" si="48"/>
        <v>185.23790827519252</v>
      </c>
      <c r="Y825">
        <v>294</v>
      </c>
      <c r="Z825" s="30">
        <f t="shared" si="49"/>
        <v>242.0442001462516</v>
      </c>
      <c r="AA825">
        <v>823</v>
      </c>
    </row>
    <row r="826" spans="10:27">
      <c r="J826">
        <v>182</v>
      </c>
      <c r="K826">
        <f t="shared" ref="K826:K889" si="50">$A$1*J826*$B$52^2</f>
        <v>18422567.926822428</v>
      </c>
      <c r="L826" s="30">
        <f t="shared" si="48"/>
        <v>184.22567926822427</v>
      </c>
      <c r="Y826">
        <v>293</v>
      </c>
      <c r="Z826" s="30">
        <f t="shared" si="49"/>
        <v>241.03197113928334</v>
      </c>
      <c r="AA826">
        <v>824</v>
      </c>
    </row>
    <row r="827" spans="10:27">
      <c r="J827">
        <v>181</v>
      </c>
      <c r="K827">
        <f t="shared" si="50"/>
        <v>18321345.026125602</v>
      </c>
      <c r="L827" s="30">
        <f t="shared" ref="L827:L890" si="51">K827/100000</f>
        <v>183.21345026125601</v>
      </c>
      <c r="Y827">
        <v>292</v>
      </c>
      <c r="Z827" s="30">
        <f t="shared" si="49"/>
        <v>240.01974213231509</v>
      </c>
      <c r="AA827">
        <v>825</v>
      </c>
    </row>
    <row r="828" spans="10:27">
      <c r="J828">
        <v>180</v>
      </c>
      <c r="K828">
        <f t="shared" si="50"/>
        <v>18220122.125428777</v>
      </c>
      <c r="L828" s="30">
        <f t="shared" si="51"/>
        <v>182.20122125428776</v>
      </c>
      <c r="Y828">
        <v>291</v>
      </c>
      <c r="Z828" s="30">
        <f t="shared" si="49"/>
        <v>239.0075131253468</v>
      </c>
      <c r="AA828">
        <v>826</v>
      </c>
    </row>
    <row r="829" spans="10:27">
      <c r="J829">
        <v>179</v>
      </c>
      <c r="K829">
        <f t="shared" si="50"/>
        <v>18118899.224731948</v>
      </c>
      <c r="L829" s="30">
        <f t="shared" si="51"/>
        <v>181.18899224731948</v>
      </c>
      <c r="Y829">
        <v>290</v>
      </c>
      <c r="Z829" s="30">
        <f t="shared" si="49"/>
        <v>237.99528411837852</v>
      </c>
      <c r="AA829">
        <v>827</v>
      </c>
    </row>
    <row r="830" spans="10:27">
      <c r="J830">
        <v>178</v>
      </c>
      <c r="K830">
        <f t="shared" si="50"/>
        <v>18017676.324035123</v>
      </c>
      <c r="L830" s="30">
        <f t="shared" si="51"/>
        <v>180.17676324035122</v>
      </c>
      <c r="Y830">
        <v>289</v>
      </c>
      <c r="Z830" s="30">
        <f t="shared" si="49"/>
        <v>236.98305511141027</v>
      </c>
      <c r="AA830">
        <v>828</v>
      </c>
    </row>
    <row r="831" spans="10:27">
      <c r="J831">
        <v>177</v>
      </c>
      <c r="K831">
        <f t="shared" si="50"/>
        <v>17916453.423338298</v>
      </c>
      <c r="L831" s="30">
        <f t="shared" si="51"/>
        <v>179.16453423338297</v>
      </c>
      <c r="Y831">
        <v>288</v>
      </c>
      <c r="Z831" s="30">
        <f t="shared" si="49"/>
        <v>235.97082610444201</v>
      </c>
      <c r="AA831">
        <v>829</v>
      </c>
    </row>
    <row r="832" spans="10:27">
      <c r="J832">
        <v>176</v>
      </c>
      <c r="K832">
        <f t="shared" si="50"/>
        <v>17815230.522641469</v>
      </c>
      <c r="L832" s="30">
        <f t="shared" si="51"/>
        <v>178.15230522641468</v>
      </c>
      <c r="Y832">
        <v>287</v>
      </c>
      <c r="Z832" s="30">
        <f t="shared" si="49"/>
        <v>234.95859709747376</v>
      </c>
      <c r="AA832">
        <v>830</v>
      </c>
    </row>
    <row r="833" spans="10:27">
      <c r="J833">
        <v>175</v>
      </c>
      <c r="K833">
        <f t="shared" si="50"/>
        <v>17714007.62194464</v>
      </c>
      <c r="L833" s="30">
        <f t="shared" si="51"/>
        <v>177.1400762194464</v>
      </c>
      <c r="Y833">
        <v>286</v>
      </c>
      <c r="Z833" s="30">
        <f t="shared" si="49"/>
        <v>233.94636809050547</v>
      </c>
      <c r="AA833">
        <v>831</v>
      </c>
    </row>
    <row r="834" spans="10:27">
      <c r="J834">
        <v>174</v>
      </c>
      <c r="K834">
        <f t="shared" si="50"/>
        <v>17612784.721247815</v>
      </c>
      <c r="L834" s="30">
        <f t="shared" si="51"/>
        <v>176.12784721247814</v>
      </c>
      <c r="Y834">
        <v>285</v>
      </c>
      <c r="Z834" s="30">
        <f t="shared" si="49"/>
        <v>232.93413908353722</v>
      </c>
      <c r="AA834">
        <v>832</v>
      </c>
    </row>
    <row r="835" spans="10:27">
      <c r="J835">
        <v>173</v>
      </c>
      <c r="K835">
        <f t="shared" si="50"/>
        <v>17511561.820550989</v>
      </c>
      <c r="L835" s="30">
        <f t="shared" si="51"/>
        <v>175.11561820550989</v>
      </c>
      <c r="Y835">
        <v>284</v>
      </c>
      <c r="Z835" s="30">
        <f t="shared" si="49"/>
        <v>231.92191007656896</v>
      </c>
      <c r="AA835">
        <v>833</v>
      </c>
    </row>
    <row r="836" spans="10:27">
      <c r="J836">
        <v>172</v>
      </c>
      <c r="K836">
        <f t="shared" si="50"/>
        <v>17410338.919854164</v>
      </c>
      <c r="L836" s="30">
        <f t="shared" si="51"/>
        <v>174.10338919854163</v>
      </c>
      <c r="Y836">
        <v>283</v>
      </c>
      <c r="Z836" s="30">
        <f t="shared" si="49"/>
        <v>230.90968106960071</v>
      </c>
      <c r="AA836">
        <v>834</v>
      </c>
    </row>
    <row r="837" spans="10:27">
      <c r="J837">
        <v>171</v>
      </c>
      <c r="K837">
        <f t="shared" si="50"/>
        <v>17309116.019157335</v>
      </c>
      <c r="L837" s="30">
        <f t="shared" si="51"/>
        <v>173.09116019157335</v>
      </c>
      <c r="Y837">
        <v>282</v>
      </c>
      <c r="Z837" s="30">
        <f t="shared" si="49"/>
        <v>229.89745206263242</v>
      </c>
      <c r="AA837">
        <v>835</v>
      </c>
    </row>
    <row r="838" spans="10:27">
      <c r="J838">
        <v>170</v>
      </c>
      <c r="K838">
        <f t="shared" si="50"/>
        <v>17207893.11846051</v>
      </c>
      <c r="L838" s="30">
        <f t="shared" si="51"/>
        <v>172.0789311846051</v>
      </c>
      <c r="Y838">
        <v>281</v>
      </c>
      <c r="Z838" s="30">
        <f t="shared" si="49"/>
        <v>228.88522305566411</v>
      </c>
      <c r="AA838">
        <v>836</v>
      </c>
    </row>
    <row r="839" spans="10:27">
      <c r="J839">
        <v>169</v>
      </c>
      <c r="K839">
        <f t="shared" si="50"/>
        <v>17106670.217763685</v>
      </c>
      <c r="L839" s="30">
        <f t="shared" si="51"/>
        <v>171.06670217763684</v>
      </c>
      <c r="Y839">
        <v>280</v>
      </c>
      <c r="Z839" s="30">
        <f t="shared" si="49"/>
        <v>227.87299404869589</v>
      </c>
      <c r="AA839">
        <v>837</v>
      </c>
    </row>
    <row r="840" spans="10:27">
      <c r="J840">
        <v>168</v>
      </c>
      <c r="K840">
        <f t="shared" si="50"/>
        <v>17005447.317066859</v>
      </c>
      <c r="L840" s="30">
        <f t="shared" si="51"/>
        <v>170.05447317066859</v>
      </c>
      <c r="Y840">
        <v>279</v>
      </c>
      <c r="Z840" s="30">
        <f t="shared" si="49"/>
        <v>226.86076504172763</v>
      </c>
      <c r="AA840">
        <v>838</v>
      </c>
    </row>
    <row r="841" spans="10:27">
      <c r="J841">
        <v>167</v>
      </c>
      <c r="K841">
        <f t="shared" si="50"/>
        <v>16904224.41637003</v>
      </c>
      <c r="L841" s="30">
        <f t="shared" si="51"/>
        <v>169.0422441637003</v>
      </c>
      <c r="Y841">
        <v>278</v>
      </c>
      <c r="Z841" s="30">
        <f t="shared" si="49"/>
        <v>225.84853603475932</v>
      </c>
      <c r="AA841">
        <v>839</v>
      </c>
    </row>
    <row r="842" spans="10:27">
      <c r="J842">
        <v>166</v>
      </c>
      <c r="K842">
        <f t="shared" si="50"/>
        <v>16803001.515673205</v>
      </c>
      <c r="L842" s="30">
        <f t="shared" si="51"/>
        <v>168.03001515673205</v>
      </c>
      <c r="Y842">
        <v>277</v>
      </c>
      <c r="Z842" s="30">
        <f t="shared" si="49"/>
        <v>224.83630702779109</v>
      </c>
      <c r="AA842">
        <v>840</v>
      </c>
    </row>
    <row r="843" spans="10:27">
      <c r="J843">
        <v>165</v>
      </c>
      <c r="K843">
        <f t="shared" si="50"/>
        <v>16701778.614976376</v>
      </c>
      <c r="L843" s="30">
        <f t="shared" si="51"/>
        <v>167.01778614976377</v>
      </c>
      <c r="Y843">
        <v>276</v>
      </c>
      <c r="Z843" s="30">
        <f t="shared" si="49"/>
        <v>223.82407802082284</v>
      </c>
      <c r="AA843">
        <v>841</v>
      </c>
    </row>
    <row r="844" spans="10:27">
      <c r="J844">
        <v>164</v>
      </c>
      <c r="K844">
        <f t="shared" si="50"/>
        <v>16600555.714279549</v>
      </c>
      <c r="L844" s="30">
        <f t="shared" si="51"/>
        <v>166.00555714279548</v>
      </c>
      <c r="Y844">
        <v>275</v>
      </c>
      <c r="Z844" s="30">
        <f t="shared" si="49"/>
        <v>222.81184901385458</v>
      </c>
      <c r="AA844">
        <v>842</v>
      </c>
    </row>
    <row r="845" spans="10:27">
      <c r="J845">
        <v>163</v>
      </c>
      <c r="K845">
        <f t="shared" si="50"/>
        <v>16499332.813582724</v>
      </c>
      <c r="L845" s="30">
        <f t="shared" si="51"/>
        <v>164.99332813582723</v>
      </c>
      <c r="Y845">
        <v>274</v>
      </c>
      <c r="Z845" s="30">
        <f t="shared" si="49"/>
        <v>221.79962000688627</v>
      </c>
      <c r="AA845">
        <v>843</v>
      </c>
    </row>
    <row r="846" spans="10:27">
      <c r="J846">
        <v>162</v>
      </c>
      <c r="K846">
        <f t="shared" si="50"/>
        <v>16398109.912885897</v>
      </c>
      <c r="L846" s="30">
        <f t="shared" si="51"/>
        <v>163.98109912885897</v>
      </c>
      <c r="Y846">
        <v>273</v>
      </c>
      <c r="Z846" s="30">
        <f t="shared" si="49"/>
        <v>220.78739099991805</v>
      </c>
      <c r="AA846">
        <v>844</v>
      </c>
    </row>
    <row r="847" spans="10:27">
      <c r="J847">
        <v>161</v>
      </c>
      <c r="K847">
        <f t="shared" si="50"/>
        <v>16296887.012189072</v>
      </c>
      <c r="L847" s="30">
        <f t="shared" si="51"/>
        <v>162.96887012189072</v>
      </c>
      <c r="Y847">
        <v>272</v>
      </c>
      <c r="Z847" s="30">
        <f t="shared" si="49"/>
        <v>219.77516199294979</v>
      </c>
      <c r="AA847">
        <v>845</v>
      </c>
    </row>
    <row r="848" spans="10:27">
      <c r="J848">
        <v>160</v>
      </c>
      <c r="K848">
        <f t="shared" si="50"/>
        <v>16195664.111492245</v>
      </c>
      <c r="L848" s="30">
        <f t="shared" si="51"/>
        <v>161.95664111492243</v>
      </c>
      <c r="Y848">
        <v>271</v>
      </c>
      <c r="Z848" s="30">
        <f t="shared" si="49"/>
        <v>218.76293298598148</v>
      </c>
      <c r="AA848">
        <v>846</v>
      </c>
    </row>
    <row r="849" spans="10:27">
      <c r="J849">
        <v>159</v>
      </c>
      <c r="K849">
        <f t="shared" si="50"/>
        <v>16094441.210795419</v>
      </c>
      <c r="L849" s="30">
        <f t="shared" si="51"/>
        <v>160.94441210795418</v>
      </c>
      <c r="Y849">
        <v>270</v>
      </c>
      <c r="Z849" s="30">
        <f t="shared" si="49"/>
        <v>217.7507039790132</v>
      </c>
      <c r="AA849">
        <v>847</v>
      </c>
    </row>
    <row r="850" spans="10:27">
      <c r="J850">
        <v>158</v>
      </c>
      <c r="K850">
        <f t="shared" si="50"/>
        <v>15993218.310098592</v>
      </c>
      <c r="L850" s="30">
        <f t="shared" si="51"/>
        <v>159.93218310098592</v>
      </c>
      <c r="Y850">
        <v>269</v>
      </c>
      <c r="Z850" s="30">
        <f t="shared" si="49"/>
        <v>216.73847497204494</v>
      </c>
      <c r="AA850">
        <v>848</v>
      </c>
    </row>
    <row r="851" spans="10:27">
      <c r="J851">
        <v>157</v>
      </c>
      <c r="K851">
        <f t="shared" si="50"/>
        <v>15891995.409401765</v>
      </c>
      <c r="L851" s="30">
        <f t="shared" si="51"/>
        <v>158.91995409401764</v>
      </c>
      <c r="Y851">
        <v>268</v>
      </c>
      <c r="Z851" s="30">
        <f t="shared" si="49"/>
        <v>215.72624596507669</v>
      </c>
      <c r="AA851">
        <v>849</v>
      </c>
    </row>
    <row r="852" spans="10:27">
      <c r="J852">
        <v>156</v>
      </c>
      <c r="K852">
        <f t="shared" si="50"/>
        <v>15790772.508704938</v>
      </c>
      <c r="L852" s="30">
        <f t="shared" si="51"/>
        <v>157.90772508704939</v>
      </c>
      <c r="Y852">
        <v>267</v>
      </c>
      <c r="Z852" s="30">
        <f t="shared" si="49"/>
        <v>214.7140169581084</v>
      </c>
      <c r="AA852">
        <v>850</v>
      </c>
    </row>
    <row r="853" spans="10:27">
      <c r="J853">
        <v>155</v>
      </c>
      <c r="K853">
        <f t="shared" si="50"/>
        <v>15689549.608008113</v>
      </c>
      <c r="L853" s="30">
        <f t="shared" si="51"/>
        <v>156.89549608008113</v>
      </c>
      <c r="Y853">
        <v>266</v>
      </c>
      <c r="Z853" s="30">
        <f t="shared" si="49"/>
        <v>213.70178795114015</v>
      </c>
      <c r="AA853">
        <v>851</v>
      </c>
    </row>
    <row r="854" spans="10:27">
      <c r="J854">
        <v>154</v>
      </c>
      <c r="K854">
        <f t="shared" si="50"/>
        <v>15588326.707311286</v>
      </c>
      <c r="L854" s="30">
        <f t="shared" si="51"/>
        <v>155.88326707311285</v>
      </c>
      <c r="Y854">
        <v>265</v>
      </c>
      <c r="Z854" s="30">
        <f t="shared" ref="Z854:Z917" si="52">L827+$H$68</f>
        <v>212.68955894417189</v>
      </c>
      <c r="AA854">
        <v>852</v>
      </c>
    </row>
    <row r="855" spans="10:27">
      <c r="J855">
        <v>153</v>
      </c>
      <c r="K855">
        <f t="shared" si="50"/>
        <v>15487103.80661446</v>
      </c>
      <c r="L855" s="30">
        <f t="shared" si="51"/>
        <v>154.87103806614459</v>
      </c>
      <c r="Y855">
        <v>264</v>
      </c>
      <c r="Z855" s="30">
        <f t="shared" si="52"/>
        <v>211.67732993720364</v>
      </c>
      <c r="AA855">
        <v>853</v>
      </c>
    </row>
    <row r="856" spans="10:27">
      <c r="J856">
        <v>152</v>
      </c>
      <c r="K856">
        <f t="shared" si="50"/>
        <v>15385880.905917631</v>
      </c>
      <c r="L856" s="30">
        <f t="shared" si="51"/>
        <v>153.85880905917631</v>
      </c>
      <c r="Y856">
        <v>263</v>
      </c>
      <c r="Z856" s="30">
        <f t="shared" si="52"/>
        <v>210.66510093023535</v>
      </c>
      <c r="AA856">
        <v>854</v>
      </c>
    </row>
    <row r="857" spans="10:27">
      <c r="J857">
        <v>151</v>
      </c>
      <c r="K857">
        <f t="shared" si="50"/>
        <v>15284658.005220806</v>
      </c>
      <c r="L857" s="30">
        <f t="shared" si="51"/>
        <v>152.84658005220805</v>
      </c>
      <c r="Y857">
        <v>262</v>
      </c>
      <c r="Z857" s="30">
        <f t="shared" si="52"/>
        <v>209.6528719232671</v>
      </c>
      <c r="AA857">
        <v>855</v>
      </c>
    </row>
    <row r="858" spans="10:27">
      <c r="J858">
        <v>150</v>
      </c>
      <c r="K858">
        <f t="shared" si="50"/>
        <v>15183435.104523979</v>
      </c>
      <c r="L858" s="30">
        <f t="shared" si="51"/>
        <v>151.8343510452398</v>
      </c>
      <c r="Y858">
        <v>261</v>
      </c>
      <c r="Z858" s="30">
        <f t="shared" si="52"/>
        <v>208.64064291629884</v>
      </c>
      <c r="AA858">
        <v>856</v>
      </c>
    </row>
    <row r="859" spans="10:27">
      <c r="J859">
        <v>149</v>
      </c>
      <c r="K859">
        <f t="shared" si="50"/>
        <v>15082212.203827154</v>
      </c>
      <c r="L859" s="30">
        <f t="shared" si="51"/>
        <v>150.82212203827154</v>
      </c>
      <c r="Y859">
        <v>260</v>
      </c>
      <c r="Z859" s="30">
        <f t="shared" si="52"/>
        <v>207.62841390933056</v>
      </c>
      <c r="AA859">
        <v>857</v>
      </c>
    </row>
    <row r="860" spans="10:27">
      <c r="J860">
        <v>148</v>
      </c>
      <c r="K860">
        <f t="shared" si="50"/>
        <v>14980989.303130327</v>
      </c>
      <c r="L860" s="30">
        <f t="shared" si="51"/>
        <v>149.80989303130326</v>
      </c>
      <c r="Y860">
        <v>259</v>
      </c>
      <c r="Z860" s="30">
        <f t="shared" si="52"/>
        <v>206.61618490236228</v>
      </c>
      <c r="AA860">
        <v>858</v>
      </c>
    </row>
    <row r="861" spans="10:27">
      <c r="J861">
        <v>147</v>
      </c>
      <c r="K861">
        <f t="shared" si="50"/>
        <v>14879766.402433502</v>
      </c>
      <c r="L861" s="30">
        <f t="shared" si="51"/>
        <v>148.79766402433501</v>
      </c>
      <c r="Y861">
        <v>258</v>
      </c>
      <c r="Z861" s="30">
        <f t="shared" si="52"/>
        <v>205.60395589539402</v>
      </c>
      <c r="AA861">
        <v>859</v>
      </c>
    </row>
    <row r="862" spans="10:27">
      <c r="J862">
        <v>146</v>
      </c>
      <c r="K862">
        <f t="shared" si="50"/>
        <v>14778543.501736673</v>
      </c>
      <c r="L862" s="30">
        <f t="shared" si="51"/>
        <v>147.78543501736672</v>
      </c>
      <c r="Y862">
        <v>257</v>
      </c>
      <c r="Z862" s="30">
        <f t="shared" si="52"/>
        <v>204.59172688842577</v>
      </c>
      <c r="AA862">
        <v>860</v>
      </c>
    </row>
    <row r="863" spans="10:27">
      <c r="J863">
        <v>145</v>
      </c>
      <c r="K863">
        <f t="shared" si="50"/>
        <v>14677320.601039847</v>
      </c>
      <c r="L863" s="30">
        <f t="shared" si="51"/>
        <v>146.77320601039847</v>
      </c>
      <c r="Y863">
        <v>256</v>
      </c>
      <c r="Z863" s="30">
        <f t="shared" si="52"/>
        <v>203.57949788145751</v>
      </c>
      <c r="AA863">
        <v>861</v>
      </c>
    </row>
    <row r="864" spans="10:27">
      <c r="J864">
        <v>144</v>
      </c>
      <c r="K864">
        <f t="shared" si="50"/>
        <v>14576097.70034302</v>
      </c>
      <c r="L864" s="30">
        <f t="shared" si="51"/>
        <v>145.76097700343021</v>
      </c>
      <c r="Y864">
        <v>255</v>
      </c>
      <c r="Z864" s="30">
        <f t="shared" si="52"/>
        <v>202.56726887448923</v>
      </c>
      <c r="AA864">
        <v>862</v>
      </c>
    </row>
    <row r="865" spans="10:27">
      <c r="J865">
        <v>143</v>
      </c>
      <c r="K865">
        <f t="shared" si="50"/>
        <v>14474874.799646195</v>
      </c>
      <c r="L865" s="30">
        <f t="shared" si="51"/>
        <v>144.74874799646196</v>
      </c>
      <c r="Y865">
        <v>254</v>
      </c>
      <c r="Z865" s="30">
        <f t="shared" si="52"/>
        <v>201.55503986752097</v>
      </c>
      <c r="AA865">
        <v>863</v>
      </c>
    </row>
    <row r="866" spans="10:27">
      <c r="J866">
        <v>142</v>
      </c>
      <c r="K866">
        <f t="shared" si="50"/>
        <v>14373651.898949368</v>
      </c>
      <c r="L866" s="30">
        <f t="shared" si="51"/>
        <v>143.73651898949367</v>
      </c>
      <c r="Y866">
        <v>253</v>
      </c>
      <c r="Z866" s="30">
        <f t="shared" si="52"/>
        <v>200.54281086055272</v>
      </c>
      <c r="AA866">
        <v>864</v>
      </c>
    </row>
    <row r="867" spans="10:27">
      <c r="J867">
        <v>141</v>
      </c>
      <c r="K867">
        <f t="shared" si="50"/>
        <v>14272428.998252541</v>
      </c>
      <c r="L867" s="30">
        <f t="shared" si="51"/>
        <v>142.72428998252542</v>
      </c>
      <c r="Y867">
        <v>252</v>
      </c>
      <c r="Z867" s="30">
        <f t="shared" si="52"/>
        <v>199.53058185358447</v>
      </c>
      <c r="AA867">
        <v>865</v>
      </c>
    </row>
    <row r="868" spans="10:27">
      <c r="J868">
        <v>140</v>
      </c>
      <c r="K868">
        <f t="shared" si="50"/>
        <v>14171206.097555714</v>
      </c>
      <c r="L868" s="30">
        <f t="shared" si="51"/>
        <v>141.71206097555714</v>
      </c>
      <c r="Y868">
        <v>251</v>
      </c>
      <c r="Z868" s="30">
        <f t="shared" si="52"/>
        <v>198.51835284661618</v>
      </c>
      <c r="AA868">
        <v>866</v>
      </c>
    </row>
    <row r="869" spans="10:27">
      <c r="J869">
        <v>139</v>
      </c>
      <c r="K869">
        <f t="shared" si="50"/>
        <v>14069983.196858888</v>
      </c>
      <c r="L869" s="30">
        <f t="shared" si="51"/>
        <v>140.69983196858888</v>
      </c>
      <c r="Y869">
        <v>250</v>
      </c>
      <c r="Z869" s="30">
        <f t="shared" si="52"/>
        <v>197.50612383964793</v>
      </c>
      <c r="AA869">
        <v>867</v>
      </c>
    </row>
    <row r="870" spans="10:27">
      <c r="J870">
        <v>138</v>
      </c>
      <c r="K870">
        <f t="shared" si="50"/>
        <v>13968760.296162061</v>
      </c>
      <c r="L870" s="30">
        <f t="shared" si="51"/>
        <v>139.68760296162063</v>
      </c>
      <c r="Y870">
        <v>249</v>
      </c>
      <c r="Z870" s="30">
        <f t="shared" si="52"/>
        <v>196.49389483267964</v>
      </c>
      <c r="AA870">
        <v>868</v>
      </c>
    </row>
    <row r="871" spans="10:27">
      <c r="J871">
        <v>137</v>
      </c>
      <c r="K871">
        <f t="shared" si="50"/>
        <v>13867537.395465236</v>
      </c>
      <c r="L871" s="30">
        <f t="shared" si="51"/>
        <v>138.67537395465237</v>
      </c>
      <c r="Y871">
        <v>248</v>
      </c>
      <c r="Z871" s="30">
        <f t="shared" si="52"/>
        <v>195.48166582571136</v>
      </c>
      <c r="AA871">
        <v>869</v>
      </c>
    </row>
    <row r="872" spans="10:27">
      <c r="J872">
        <v>136</v>
      </c>
      <c r="K872">
        <f t="shared" si="50"/>
        <v>13766314.494768409</v>
      </c>
      <c r="L872" s="30">
        <f t="shared" si="51"/>
        <v>137.66314494768409</v>
      </c>
      <c r="Y872">
        <v>247</v>
      </c>
      <c r="Z872" s="30">
        <f t="shared" si="52"/>
        <v>194.46943681874311</v>
      </c>
      <c r="AA872">
        <v>870</v>
      </c>
    </row>
    <row r="873" spans="10:27">
      <c r="J873">
        <v>135</v>
      </c>
      <c r="K873">
        <f t="shared" si="50"/>
        <v>13665091.594071582</v>
      </c>
      <c r="L873" s="30">
        <f t="shared" si="51"/>
        <v>136.65091594071583</v>
      </c>
      <c r="Y873">
        <v>246</v>
      </c>
      <c r="Z873" s="30">
        <f t="shared" si="52"/>
        <v>193.45720781177485</v>
      </c>
      <c r="AA873">
        <v>871</v>
      </c>
    </row>
    <row r="874" spans="10:27">
      <c r="J874">
        <v>134</v>
      </c>
      <c r="K874">
        <f t="shared" si="50"/>
        <v>13563868.693374755</v>
      </c>
      <c r="L874" s="30">
        <f t="shared" si="51"/>
        <v>135.63868693374755</v>
      </c>
      <c r="Y874">
        <v>245</v>
      </c>
      <c r="Z874" s="30">
        <f t="shared" si="52"/>
        <v>192.4449788048066</v>
      </c>
      <c r="AA874">
        <v>872</v>
      </c>
    </row>
    <row r="875" spans="10:27">
      <c r="J875">
        <v>133</v>
      </c>
      <c r="K875">
        <f t="shared" si="50"/>
        <v>13462645.79267793</v>
      </c>
      <c r="L875" s="30">
        <f t="shared" si="51"/>
        <v>134.6264579267793</v>
      </c>
      <c r="Y875">
        <v>244</v>
      </c>
      <c r="Z875" s="30">
        <f t="shared" si="52"/>
        <v>191.43274979783831</v>
      </c>
      <c r="AA875">
        <v>873</v>
      </c>
    </row>
    <row r="876" spans="10:27">
      <c r="J876">
        <v>132</v>
      </c>
      <c r="K876">
        <f t="shared" si="50"/>
        <v>13361422.891981103</v>
      </c>
      <c r="L876" s="30">
        <f t="shared" si="51"/>
        <v>133.61422891981101</v>
      </c>
      <c r="Y876">
        <v>243</v>
      </c>
      <c r="Z876" s="30">
        <f t="shared" si="52"/>
        <v>190.42052079087006</v>
      </c>
      <c r="AA876">
        <v>874</v>
      </c>
    </row>
    <row r="877" spans="10:27">
      <c r="J877">
        <v>131</v>
      </c>
      <c r="K877">
        <f t="shared" si="50"/>
        <v>13260199.991284277</v>
      </c>
      <c r="L877" s="30">
        <f t="shared" si="51"/>
        <v>132.60199991284279</v>
      </c>
      <c r="Y877">
        <v>242</v>
      </c>
      <c r="Z877" s="30">
        <f t="shared" si="52"/>
        <v>189.4082917839018</v>
      </c>
      <c r="AA877">
        <v>875</v>
      </c>
    </row>
    <row r="878" spans="10:27">
      <c r="J878">
        <v>130</v>
      </c>
      <c r="K878">
        <f t="shared" si="50"/>
        <v>13158977.090587448</v>
      </c>
      <c r="L878" s="30">
        <f t="shared" si="51"/>
        <v>131.58977090587447</v>
      </c>
      <c r="Y878">
        <v>241</v>
      </c>
      <c r="Z878" s="30">
        <f t="shared" si="52"/>
        <v>188.39606277693352</v>
      </c>
      <c r="AA878">
        <v>876</v>
      </c>
    </row>
    <row r="879" spans="10:27">
      <c r="J879">
        <v>129</v>
      </c>
      <c r="K879">
        <f t="shared" si="50"/>
        <v>13057754.189890623</v>
      </c>
      <c r="L879" s="30">
        <f t="shared" si="51"/>
        <v>130.57754189890622</v>
      </c>
      <c r="Y879">
        <v>240</v>
      </c>
      <c r="Z879" s="30">
        <f t="shared" si="52"/>
        <v>187.38383376996526</v>
      </c>
      <c r="AA879">
        <v>877</v>
      </c>
    </row>
    <row r="880" spans="10:27">
      <c r="J880">
        <v>128</v>
      </c>
      <c r="K880">
        <f t="shared" si="50"/>
        <v>12956531.289193796</v>
      </c>
      <c r="L880" s="30">
        <f t="shared" si="51"/>
        <v>129.56531289193796</v>
      </c>
      <c r="Y880">
        <v>239</v>
      </c>
      <c r="Z880" s="30">
        <f t="shared" si="52"/>
        <v>186.37160476299701</v>
      </c>
      <c r="AA880">
        <v>878</v>
      </c>
    </row>
    <row r="881" spans="10:27">
      <c r="J881">
        <v>127</v>
      </c>
      <c r="K881">
        <f t="shared" si="50"/>
        <v>12855308.388496971</v>
      </c>
      <c r="L881" s="30">
        <f t="shared" si="51"/>
        <v>128.55308388496971</v>
      </c>
      <c r="Y881">
        <v>238</v>
      </c>
      <c r="Z881" s="30">
        <f t="shared" si="52"/>
        <v>185.35937575602873</v>
      </c>
      <c r="AA881">
        <v>879</v>
      </c>
    </row>
    <row r="882" spans="10:27">
      <c r="J882">
        <v>126</v>
      </c>
      <c r="K882">
        <f t="shared" si="50"/>
        <v>12754085.487800144</v>
      </c>
      <c r="L882" s="30">
        <f t="shared" si="51"/>
        <v>127.54085487800144</v>
      </c>
      <c r="Y882">
        <v>237</v>
      </c>
      <c r="Z882" s="30">
        <f t="shared" si="52"/>
        <v>184.34714674906047</v>
      </c>
      <c r="AA882">
        <v>880</v>
      </c>
    </row>
    <row r="883" spans="10:27">
      <c r="J883">
        <v>125</v>
      </c>
      <c r="K883">
        <f t="shared" si="50"/>
        <v>12652862.587103317</v>
      </c>
      <c r="L883" s="30">
        <f t="shared" si="51"/>
        <v>126.52862587103317</v>
      </c>
      <c r="Y883">
        <v>236</v>
      </c>
      <c r="Z883" s="30">
        <f t="shared" si="52"/>
        <v>183.33491774209219</v>
      </c>
      <c r="AA883">
        <v>881</v>
      </c>
    </row>
    <row r="884" spans="10:27">
      <c r="J884">
        <v>124</v>
      </c>
      <c r="K884">
        <f t="shared" si="50"/>
        <v>12551639.686406489</v>
      </c>
      <c r="L884" s="30">
        <f t="shared" si="51"/>
        <v>125.5163968640649</v>
      </c>
      <c r="Y884">
        <v>235</v>
      </c>
      <c r="Z884" s="30">
        <f t="shared" si="52"/>
        <v>182.32268873512393</v>
      </c>
      <c r="AA884">
        <v>882</v>
      </c>
    </row>
    <row r="885" spans="10:27">
      <c r="J885">
        <v>123</v>
      </c>
      <c r="K885">
        <f t="shared" si="50"/>
        <v>12450416.785709662</v>
      </c>
      <c r="L885" s="30">
        <f t="shared" si="51"/>
        <v>124.50416785709662</v>
      </c>
      <c r="Y885">
        <v>234</v>
      </c>
      <c r="Z885" s="30">
        <f t="shared" si="52"/>
        <v>181.31045972815568</v>
      </c>
      <c r="AA885">
        <v>883</v>
      </c>
    </row>
    <row r="886" spans="10:27">
      <c r="J886">
        <v>122</v>
      </c>
      <c r="K886">
        <f t="shared" si="50"/>
        <v>12349193.885012837</v>
      </c>
      <c r="L886" s="30">
        <f t="shared" si="51"/>
        <v>123.49193885012838</v>
      </c>
      <c r="Y886">
        <v>233</v>
      </c>
      <c r="Z886" s="30">
        <f t="shared" si="52"/>
        <v>180.29823072118742</v>
      </c>
      <c r="AA886">
        <v>884</v>
      </c>
    </row>
    <row r="887" spans="10:27">
      <c r="J887">
        <v>121</v>
      </c>
      <c r="K887">
        <f t="shared" si="50"/>
        <v>12247970.98431601</v>
      </c>
      <c r="L887" s="30">
        <f t="shared" si="51"/>
        <v>122.47970984316009</v>
      </c>
      <c r="Y887">
        <v>232</v>
      </c>
      <c r="Z887" s="30">
        <f t="shared" si="52"/>
        <v>179.28600171421914</v>
      </c>
      <c r="AA887">
        <v>885</v>
      </c>
    </row>
    <row r="888" spans="10:27">
      <c r="J888">
        <v>120</v>
      </c>
      <c r="K888">
        <f t="shared" si="50"/>
        <v>12146748.083619183</v>
      </c>
      <c r="L888" s="30">
        <f t="shared" si="51"/>
        <v>121.46748083619183</v>
      </c>
      <c r="Y888">
        <v>231</v>
      </c>
      <c r="Z888" s="30">
        <f t="shared" si="52"/>
        <v>178.27377270725088</v>
      </c>
      <c r="AA888">
        <v>886</v>
      </c>
    </row>
    <row r="889" spans="10:27">
      <c r="J889">
        <v>119</v>
      </c>
      <c r="K889">
        <f t="shared" si="50"/>
        <v>12045525.182922356</v>
      </c>
      <c r="L889" s="30">
        <f t="shared" si="51"/>
        <v>120.45525182922356</v>
      </c>
      <c r="Y889">
        <v>230</v>
      </c>
      <c r="Z889" s="30">
        <f t="shared" si="52"/>
        <v>177.2615437002826</v>
      </c>
      <c r="AA889">
        <v>887</v>
      </c>
    </row>
    <row r="890" spans="10:27">
      <c r="J890">
        <v>118</v>
      </c>
      <c r="K890">
        <f t="shared" ref="K890:K953" si="53">$A$1*J890*$B$52^2</f>
        <v>11944302.282225531</v>
      </c>
      <c r="L890" s="30">
        <f t="shared" si="51"/>
        <v>119.4430228222553</v>
      </c>
      <c r="Y890">
        <v>229</v>
      </c>
      <c r="Z890" s="30">
        <f t="shared" si="52"/>
        <v>176.24931469331435</v>
      </c>
      <c r="AA890">
        <v>888</v>
      </c>
    </row>
    <row r="891" spans="10:27">
      <c r="J891">
        <v>117</v>
      </c>
      <c r="K891">
        <f t="shared" si="53"/>
        <v>11843079.381528703</v>
      </c>
      <c r="L891" s="30">
        <f t="shared" ref="L891:L954" si="54">K891/100000</f>
        <v>118.43079381528703</v>
      </c>
      <c r="Y891">
        <v>228</v>
      </c>
      <c r="Z891" s="30">
        <f t="shared" si="52"/>
        <v>175.23708568634609</v>
      </c>
      <c r="AA891">
        <v>889</v>
      </c>
    </row>
    <row r="892" spans="10:27">
      <c r="J892">
        <v>116</v>
      </c>
      <c r="K892">
        <f t="shared" si="53"/>
        <v>11741856.480831878</v>
      </c>
      <c r="L892" s="30">
        <f t="shared" si="54"/>
        <v>117.41856480831878</v>
      </c>
      <c r="Y892">
        <v>227</v>
      </c>
      <c r="Z892" s="30">
        <f t="shared" si="52"/>
        <v>174.22485667937784</v>
      </c>
      <c r="AA892">
        <v>890</v>
      </c>
    </row>
    <row r="893" spans="10:27">
      <c r="J893">
        <v>115</v>
      </c>
      <c r="K893">
        <f t="shared" si="53"/>
        <v>11640633.580135051</v>
      </c>
      <c r="L893" s="30">
        <f t="shared" si="54"/>
        <v>116.40633580135051</v>
      </c>
      <c r="Y893">
        <v>226</v>
      </c>
      <c r="Z893" s="30">
        <f t="shared" si="52"/>
        <v>173.21262767240955</v>
      </c>
      <c r="AA893">
        <v>891</v>
      </c>
    </row>
    <row r="894" spans="10:27">
      <c r="J894">
        <v>114</v>
      </c>
      <c r="K894">
        <f t="shared" si="53"/>
        <v>11539410.679438224</v>
      </c>
      <c r="L894" s="30">
        <f t="shared" si="54"/>
        <v>115.39410679438224</v>
      </c>
      <c r="Y894">
        <v>225</v>
      </c>
      <c r="Z894" s="30">
        <f t="shared" si="52"/>
        <v>172.2003986654413</v>
      </c>
      <c r="AA894">
        <v>892</v>
      </c>
    </row>
    <row r="895" spans="10:27">
      <c r="J895">
        <v>113</v>
      </c>
      <c r="K895">
        <f t="shared" si="53"/>
        <v>11438187.778741397</v>
      </c>
      <c r="L895" s="30">
        <f t="shared" si="54"/>
        <v>114.38187778741397</v>
      </c>
      <c r="Y895">
        <v>224</v>
      </c>
      <c r="Z895" s="30">
        <f t="shared" si="52"/>
        <v>171.18816965847302</v>
      </c>
      <c r="AA895">
        <v>893</v>
      </c>
    </row>
    <row r="896" spans="10:27">
      <c r="J896">
        <v>112</v>
      </c>
      <c r="K896">
        <f t="shared" si="53"/>
        <v>11336964.878044572</v>
      </c>
      <c r="L896" s="30">
        <f t="shared" si="54"/>
        <v>113.36964878044571</v>
      </c>
      <c r="Y896">
        <v>223</v>
      </c>
      <c r="Z896" s="30">
        <f t="shared" si="52"/>
        <v>170.17594065150476</v>
      </c>
      <c r="AA896">
        <v>894</v>
      </c>
    </row>
    <row r="897" spans="10:27">
      <c r="J897">
        <v>111</v>
      </c>
      <c r="K897">
        <f t="shared" si="53"/>
        <v>11235741.977347745</v>
      </c>
      <c r="L897" s="30">
        <f t="shared" si="54"/>
        <v>112.35741977347745</v>
      </c>
      <c r="Y897">
        <v>222</v>
      </c>
      <c r="Z897" s="30">
        <f t="shared" si="52"/>
        <v>169.16371164453651</v>
      </c>
      <c r="AA897">
        <v>895</v>
      </c>
    </row>
    <row r="898" spans="10:27">
      <c r="J898">
        <v>110</v>
      </c>
      <c r="K898">
        <f t="shared" si="53"/>
        <v>11134519.076650919</v>
      </c>
      <c r="L898" s="30">
        <f t="shared" si="54"/>
        <v>111.34519076650919</v>
      </c>
      <c r="Y898">
        <v>221</v>
      </c>
      <c r="Z898" s="30">
        <f t="shared" si="52"/>
        <v>168.15148263756825</v>
      </c>
      <c r="AA898">
        <v>896</v>
      </c>
    </row>
    <row r="899" spans="10:27">
      <c r="J899">
        <v>109</v>
      </c>
      <c r="K899">
        <f t="shared" si="53"/>
        <v>11033296.17595409</v>
      </c>
      <c r="L899" s="30">
        <f t="shared" si="54"/>
        <v>110.33296175954091</v>
      </c>
      <c r="Y899">
        <v>220</v>
      </c>
      <c r="Z899" s="30">
        <f t="shared" si="52"/>
        <v>167.13925363059997</v>
      </c>
      <c r="AA899">
        <v>897</v>
      </c>
    </row>
    <row r="900" spans="10:27">
      <c r="J900">
        <v>108</v>
      </c>
      <c r="K900">
        <f t="shared" si="53"/>
        <v>10932073.275257265</v>
      </c>
      <c r="L900" s="30">
        <f t="shared" si="54"/>
        <v>109.32073275257265</v>
      </c>
      <c r="Y900">
        <v>219</v>
      </c>
      <c r="Z900" s="30">
        <f t="shared" si="52"/>
        <v>166.12702462363171</v>
      </c>
      <c r="AA900">
        <v>898</v>
      </c>
    </row>
    <row r="901" spans="10:27">
      <c r="J901">
        <v>107</v>
      </c>
      <c r="K901">
        <f t="shared" si="53"/>
        <v>10830850.374560438</v>
      </c>
      <c r="L901" s="30">
        <f t="shared" si="54"/>
        <v>108.30850374560438</v>
      </c>
      <c r="Y901">
        <v>218</v>
      </c>
      <c r="Z901" s="30">
        <f t="shared" si="52"/>
        <v>165.11479561666343</v>
      </c>
      <c r="AA901">
        <v>899</v>
      </c>
    </row>
    <row r="902" spans="10:27">
      <c r="J902">
        <v>106</v>
      </c>
      <c r="K902">
        <f t="shared" si="53"/>
        <v>10729627.473863613</v>
      </c>
      <c r="L902" s="30">
        <f t="shared" si="54"/>
        <v>107.29627473863613</v>
      </c>
      <c r="Y902">
        <v>217</v>
      </c>
      <c r="Z902" s="30">
        <f t="shared" si="52"/>
        <v>164.10256660969517</v>
      </c>
      <c r="AA902">
        <v>900</v>
      </c>
    </row>
    <row r="903" spans="10:27">
      <c r="J903">
        <v>105</v>
      </c>
      <c r="K903">
        <f t="shared" si="53"/>
        <v>10628404.573166786</v>
      </c>
      <c r="L903" s="30">
        <f t="shared" si="54"/>
        <v>106.28404573166786</v>
      </c>
      <c r="Y903">
        <v>216</v>
      </c>
      <c r="Z903" s="30">
        <f t="shared" si="52"/>
        <v>163.09033760272689</v>
      </c>
      <c r="AA903">
        <v>901</v>
      </c>
    </row>
    <row r="904" spans="10:27">
      <c r="J904">
        <v>104</v>
      </c>
      <c r="K904">
        <f t="shared" si="53"/>
        <v>10527181.672469961</v>
      </c>
      <c r="L904" s="30">
        <f t="shared" si="54"/>
        <v>105.2718167246996</v>
      </c>
      <c r="Y904">
        <v>215</v>
      </c>
      <c r="Z904" s="30">
        <f t="shared" si="52"/>
        <v>162.07810859575866</v>
      </c>
      <c r="AA904">
        <v>902</v>
      </c>
    </row>
    <row r="905" spans="10:27">
      <c r="J905">
        <v>103</v>
      </c>
      <c r="K905">
        <f t="shared" si="53"/>
        <v>10425958.771773132</v>
      </c>
      <c r="L905" s="30">
        <f t="shared" si="54"/>
        <v>104.25958771773132</v>
      </c>
      <c r="Y905">
        <v>214</v>
      </c>
      <c r="Z905" s="30">
        <f t="shared" si="52"/>
        <v>161.06587958879035</v>
      </c>
      <c r="AA905">
        <v>903</v>
      </c>
    </row>
    <row r="906" spans="10:27">
      <c r="J906">
        <v>102</v>
      </c>
      <c r="K906">
        <f t="shared" si="53"/>
        <v>10324735.871076306</v>
      </c>
      <c r="L906" s="30">
        <f t="shared" si="54"/>
        <v>103.24735871076307</v>
      </c>
      <c r="Y906">
        <v>213</v>
      </c>
      <c r="Z906" s="30">
        <f t="shared" si="52"/>
        <v>160.0536505818221</v>
      </c>
      <c r="AA906">
        <v>904</v>
      </c>
    </row>
    <row r="907" spans="10:27">
      <c r="J907">
        <v>101</v>
      </c>
      <c r="K907">
        <f t="shared" si="53"/>
        <v>10223512.970379479</v>
      </c>
      <c r="L907" s="30">
        <f t="shared" si="54"/>
        <v>102.2351297037948</v>
      </c>
      <c r="Y907">
        <v>212</v>
      </c>
      <c r="Z907" s="30">
        <f t="shared" si="52"/>
        <v>159.04142157485384</v>
      </c>
      <c r="AA907">
        <v>905</v>
      </c>
    </row>
    <row r="908" spans="10:27">
      <c r="J908">
        <v>100</v>
      </c>
      <c r="K908">
        <f t="shared" si="53"/>
        <v>10122290.069682654</v>
      </c>
      <c r="L908" s="30">
        <f t="shared" si="54"/>
        <v>101.22290069682654</v>
      </c>
      <c r="Y908">
        <v>211</v>
      </c>
      <c r="Z908" s="30">
        <f t="shared" si="52"/>
        <v>158.02919256788559</v>
      </c>
      <c r="AA908">
        <v>906</v>
      </c>
    </row>
    <row r="909" spans="10:27">
      <c r="J909">
        <v>99</v>
      </c>
      <c r="K909">
        <f t="shared" si="53"/>
        <v>10021067.168985827</v>
      </c>
      <c r="L909" s="30">
        <f t="shared" si="54"/>
        <v>100.21067168985827</v>
      </c>
      <c r="Y909">
        <v>210</v>
      </c>
      <c r="Z909" s="30">
        <f t="shared" si="52"/>
        <v>157.01696356091733</v>
      </c>
      <c r="AA909">
        <v>907</v>
      </c>
    </row>
    <row r="910" spans="10:27">
      <c r="J910">
        <v>98</v>
      </c>
      <c r="K910">
        <f t="shared" si="53"/>
        <v>9919844.2682889998</v>
      </c>
      <c r="L910" s="30">
        <f t="shared" si="54"/>
        <v>99.198442682890004</v>
      </c>
      <c r="Y910">
        <v>209</v>
      </c>
      <c r="Z910" s="30">
        <f t="shared" si="52"/>
        <v>156.00473455394905</v>
      </c>
      <c r="AA910">
        <v>908</v>
      </c>
    </row>
    <row r="911" spans="10:27">
      <c r="J911">
        <v>97</v>
      </c>
      <c r="K911">
        <f t="shared" si="53"/>
        <v>9818621.3675921727</v>
      </c>
      <c r="L911" s="30">
        <f t="shared" si="54"/>
        <v>98.186213675921721</v>
      </c>
      <c r="Y911">
        <v>208</v>
      </c>
      <c r="Z911" s="30">
        <f t="shared" si="52"/>
        <v>154.99250554698079</v>
      </c>
      <c r="AA911">
        <v>909</v>
      </c>
    </row>
    <row r="912" spans="10:27">
      <c r="J912">
        <v>96</v>
      </c>
      <c r="K912">
        <f t="shared" si="53"/>
        <v>9717398.4668953475</v>
      </c>
      <c r="L912" s="30">
        <f t="shared" si="54"/>
        <v>97.17398466895348</v>
      </c>
      <c r="Y912">
        <v>207</v>
      </c>
      <c r="Z912" s="30">
        <f t="shared" si="52"/>
        <v>153.98027654001251</v>
      </c>
      <c r="AA912">
        <v>910</v>
      </c>
    </row>
    <row r="913" spans="10:27">
      <c r="J913">
        <v>95</v>
      </c>
      <c r="K913">
        <f t="shared" si="53"/>
        <v>9616175.5661985204</v>
      </c>
      <c r="L913" s="30">
        <f t="shared" si="54"/>
        <v>96.161755661985197</v>
      </c>
      <c r="Y913">
        <v>206</v>
      </c>
      <c r="Z913" s="30">
        <f t="shared" si="52"/>
        <v>152.96804753304426</v>
      </c>
      <c r="AA913">
        <v>911</v>
      </c>
    </row>
    <row r="914" spans="10:27">
      <c r="J914">
        <v>94</v>
      </c>
      <c r="K914">
        <f t="shared" si="53"/>
        <v>9514952.6655016951</v>
      </c>
      <c r="L914" s="30">
        <f t="shared" si="54"/>
        <v>95.149526655016956</v>
      </c>
      <c r="Y914">
        <v>205</v>
      </c>
      <c r="Z914" s="30">
        <f t="shared" si="52"/>
        <v>151.95581852607597</v>
      </c>
      <c r="AA914">
        <v>912</v>
      </c>
    </row>
    <row r="915" spans="10:27">
      <c r="J915">
        <v>93</v>
      </c>
      <c r="K915">
        <f t="shared" si="53"/>
        <v>9413729.7648048662</v>
      </c>
      <c r="L915" s="30">
        <f t="shared" si="54"/>
        <v>94.137297648048659</v>
      </c>
      <c r="Y915">
        <v>204</v>
      </c>
      <c r="Z915" s="30">
        <f t="shared" si="52"/>
        <v>150.94358951910772</v>
      </c>
      <c r="AA915">
        <v>913</v>
      </c>
    </row>
    <row r="916" spans="10:27">
      <c r="J916">
        <v>92</v>
      </c>
      <c r="K916">
        <f t="shared" si="53"/>
        <v>9312506.8641080409</v>
      </c>
      <c r="L916" s="30">
        <f t="shared" si="54"/>
        <v>93.125068641080404</v>
      </c>
      <c r="Y916">
        <v>203</v>
      </c>
      <c r="Z916" s="30">
        <f t="shared" si="52"/>
        <v>149.93136051213943</v>
      </c>
      <c r="AA916">
        <v>914</v>
      </c>
    </row>
    <row r="917" spans="10:27">
      <c r="J917">
        <v>91</v>
      </c>
      <c r="K917">
        <f t="shared" si="53"/>
        <v>9211283.9634112138</v>
      </c>
      <c r="L917" s="30">
        <f t="shared" si="54"/>
        <v>92.112839634112134</v>
      </c>
      <c r="Y917">
        <v>202</v>
      </c>
      <c r="Z917" s="30">
        <f t="shared" si="52"/>
        <v>148.91913150517118</v>
      </c>
      <c r="AA917">
        <v>915</v>
      </c>
    </row>
    <row r="918" spans="10:27">
      <c r="J918">
        <v>90</v>
      </c>
      <c r="K918">
        <f t="shared" si="53"/>
        <v>9110061.0627143886</v>
      </c>
      <c r="L918" s="30">
        <f t="shared" si="54"/>
        <v>91.10061062714388</v>
      </c>
      <c r="Y918">
        <v>201</v>
      </c>
      <c r="Z918" s="30">
        <f t="shared" ref="Z918:Z981" si="55">L891+$H$68</f>
        <v>147.90690249820292</v>
      </c>
      <c r="AA918">
        <v>916</v>
      </c>
    </row>
    <row r="919" spans="10:27">
      <c r="J919">
        <v>89</v>
      </c>
      <c r="K919">
        <f t="shared" si="53"/>
        <v>9008838.1620175615</v>
      </c>
      <c r="L919" s="30">
        <f t="shared" si="54"/>
        <v>90.08838162017561</v>
      </c>
      <c r="Y919">
        <v>200</v>
      </c>
      <c r="Z919" s="30">
        <f t="shared" si="55"/>
        <v>146.89467349123467</v>
      </c>
      <c r="AA919">
        <v>917</v>
      </c>
    </row>
    <row r="920" spans="10:27">
      <c r="J920">
        <v>88</v>
      </c>
      <c r="K920">
        <f t="shared" si="53"/>
        <v>8907615.2613207344</v>
      </c>
      <c r="L920" s="30">
        <f t="shared" si="54"/>
        <v>89.076152613207341</v>
      </c>
      <c r="Y920">
        <v>199</v>
      </c>
      <c r="Z920" s="30">
        <f t="shared" si="55"/>
        <v>145.88244448426639</v>
      </c>
      <c r="AA920">
        <v>918</v>
      </c>
    </row>
    <row r="921" spans="10:27">
      <c r="J921">
        <v>87</v>
      </c>
      <c r="K921">
        <f t="shared" si="53"/>
        <v>8806392.3606239073</v>
      </c>
      <c r="L921" s="30">
        <f t="shared" si="54"/>
        <v>88.063923606239072</v>
      </c>
      <c r="Y921">
        <v>198</v>
      </c>
      <c r="Z921" s="30">
        <f t="shared" si="55"/>
        <v>144.87021547729813</v>
      </c>
      <c r="AA921">
        <v>919</v>
      </c>
    </row>
    <row r="922" spans="10:27">
      <c r="J922">
        <v>86</v>
      </c>
      <c r="K922">
        <f t="shared" si="53"/>
        <v>8705169.4599270821</v>
      </c>
      <c r="L922" s="30">
        <f t="shared" si="54"/>
        <v>87.051694599270817</v>
      </c>
      <c r="Y922">
        <v>197</v>
      </c>
      <c r="Z922" s="30">
        <f t="shared" si="55"/>
        <v>143.85798647032985</v>
      </c>
      <c r="AA922">
        <v>920</v>
      </c>
    </row>
    <row r="923" spans="10:27">
      <c r="J923">
        <v>85</v>
      </c>
      <c r="K923">
        <f t="shared" si="53"/>
        <v>8603946.559230255</v>
      </c>
      <c r="L923" s="30">
        <f t="shared" si="54"/>
        <v>86.039465592302548</v>
      </c>
      <c r="Y923">
        <v>196</v>
      </c>
      <c r="Z923" s="30">
        <f t="shared" si="55"/>
        <v>142.84575746336159</v>
      </c>
      <c r="AA923">
        <v>921</v>
      </c>
    </row>
    <row r="924" spans="10:27">
      <c r="J924">
        <v>84</v>
      </c>
      <c r="K924">
        <f t="shared" si="53"/>
        <v>8502723.6585334297</v>
      </c>
      <c r="L924" s="30">
        <f t="shared" si="54"/>
        <v>85.027236585334293</v>
      </c>
      <c r="Y924">
        <v>195</v>
      </c>
      <c r="Z924" s="30">
        <f t="shared" si="55"/>
        <v>141.83352845639334</v>
      </c>
      <c r="AA924">
        <v>922</v>
      </c>
    </row>
    <row r="925" spans="10:27">
      <c r="J925">
        <v>83</v>
      </c>
      <c r="K925">
        <f t="shared" si="53"/>
        <v>8401500.7578366026</v>
      </c>
      <c r="L925" s="30">
        <f t="shared" si="54"/>
        <v>84.015007578366024</v>
      </c>
      <c r="Y925">
        <v>194</v>
      </c>
      <c r="Z925" s="30">
        <f t="shared" si="55"/>
        <v>140.82129944942508</v>
      </c>
      <c r="AA925">
        <v>923</v>
      </c>
    </row>
    <row r="926" spans="10:27">
      <c r="J926">
        <v>82</v>
      </c>
      <c r="K926">
        <f t="shared" si="53"/>
        <v>8300277.8571397746</v>
      </c>
      <c r="L926" s="30">
        <f t="shared" si="54"/>
        <v>83.002778571397741</v>
      </c>
      <c r="Y926">
        <v>193</v>
      </c>
      <c r="Z926" s="30">
        <f t="shared" si="55"/>
        <v>139.8090704424568</v>
      </c>
      <c r="AA926">
        <v>924</v>
      </c>
    </row>
    <row r="927" spans="10:27">
      <c r="J927">
        <v>81</v>
      </c>
      <c r="K927">
        <f t="shared" si="53"/>
        <v>8199054.9564429484</v>
      </c>
      <c r="L927" s="30">
        <f t="shared" si="54"/>
        <v>81.990549564429486</v>
      </c>
      <c r="Y927">
        <v>192</v>
      </c>
      <c r="Z927" s="30">
        <f t="shared" si="55"/>
        <v>138.79684143548855</v>
      </c>
      <c r="AA927">
        <v>925</v>
      </c>
    </row>
    <row r="928" spans="10:27">
      <c r="J928">
        <v>80</v>
      </c>
      <c r="K928">
        <f t="shared" si="53"/>
        <v>8097832.0557461223</v>
      </c>
      <c r="L928" s="30">
        <f t="shared" si="54"/>
        <v>80.978320557461217</v>
      </c>
      <c r="Y928">
        <v>191</v>
      </c>
      <c r="Z928" s="30">
        <f t="shared" si="55"/>
        <v>137.78461242852026</v>
      </c>
      <c r="AA928">
        <v>926</v>
      </c>
    </row>
    <row r="929" spans="10:27">
      <c r="J929">
        <v>79</v>
      </c>
      <c r="K929">
        <f t="shared" si="53"/>
        <v>7996609.1550492961</v>
      </c>
      <c r="L929" s="30">
        <f t="shared" si="54"/>
        <v>79.966091550492962</v>
      </c>
      <c r="Y929">
        <v>190</v>
      </c>
      <c r="Z929" s="30">
        <f t="shared" si="55"/>
        <v>136.77238342155201</v>
      </c>
      <c r="AA929">
        <v>927</v>
      </c>
    </row>
    <row r="930" spans="10:27">
      <c r="J930">
        <v>78</v>
      </c>
      <c r="K930">
        <f t="shared" si="53"/>
        <v>7895386.254352469</v>
      </c>
      <c r="L930" s="30">
        <f t="shared" si="54"/>
        <v>78.953862543524693</v>
      </c>
      <c r="Y930">
        <v>189</v>
      </c>
      <c r="Z930" s="30">
        <f t="shared" si="55"/>
        <v>135.76015441458375</v>
      </c>
      <c r="AA930">
        <v>928</v>
      </c>
    </row>
    <row r="931" spans="10:27">
      <c r="J931">
        <v>77</v>
      </c>
      <c r="K931">
        <f t="shared" si="53"/>
        <v>7794163.3536556428</v>
      </c>
      <c r="L931" s="30">
        <f t="shared" si="54"/>
        <v>77.941633536556424</v>
      </c>
      <c r="Y931">
        <v>188</v>
      </c>
      <c r="Z931" s="30">
        <f t="shared" si="55"/>
        <v>134.7479254076155</v>
      </c>
      <c r="AA931">
        <v>929</v>
      </c>
    </row>
    <row r="932" spans="10:27">
      <c r="J932">
        <v>76</v>
      </c>
      <c r="K932">
        <f t="shared" si="53"/>
        <v>7692940.4529588157</v>
      </c>
      <c r="L932" s="30">
        <f t="shared" si="54"/>
        <v>76.929404529588155</v>
      </c>
      <c r="Y932">
        <v>187</v>
      </c>
      <c r="Z932" s="30">
        <f t="shared" si="55"/>
        <v>133.73569640064721</v>
      </c>
      <c r="AA932">
        <v>930</v>
      </c>
    </row>
    <row r="933" spans="10:27">
      <c r="J933">
        <v>75</v>
      </c>
      <c r="K933">
        <f t="shared" si="53"/>
        <v>7591717.5522619896</v>
      </c>
      <c r="L933" s="30">
        <f t="shared" si="54"/>
        <v>75.9171755226199</v>
      </c>
      <c r="Y933">
        <v>186</v>
      </c>
      <c r="Z933" s="30">
        <f t="shared" si="55"/>
        <v>132.72346739367896</v>
      </c>
      <c r="AA933">
        <v>931</v>
      </c>
    </row>
    <row r="934" spans="10:27">
      <c r="J934">
        <v>74</v>
      </c>
      <c r="K934">
        <f t="shared" si="53"/>
        <v>7490494.6515651634</v>
      </c>
      <c r="L934" s="30">
        <f t="shared" si="54"/>
        <v>74.904946515651631</v>
      </c>
      <c r="Y934">
        <v>185</v>
      </c>
      <c r="Z934" s="30">
        <f t="shared" si="55"/>
        <v>131.71123838671068</v>
      </c>
      <c r="AA934">
        <v>932</v>
      </c>
    </row>
    <row r="935" spans="10:27">
      <c r="J935">
        <v>73</v>
      </c>
      <c r="K935">
        <f t="shared" si="53"/>
        <v>7389271.7508683363</v>
      </c>
      <c r="L935" s="30">
        <f t="shared" si="54"/>
        <v>73.892717508683361</v>
      </c>
      <c r="Y935">
        <v>184</v>
      </c>
      <c r="Z935" s="30">
        <f t="shared" si="55"/>
        <v>130.69900937974242</v>
      </c>
      <c r="AA935">
        <v>933</v>
      </c>
    </row>
    <row r="936" spans="10:27">
      <c r="J936">
        <v>72</v>
      </c>
      <c r="K936">
        <f t="shared" si="53"/>
        <v>7288048.8501715101</v>
      </c>
      <c r="L936" s="30">
        <f t="shared" si="54"/>
        <v>72.880488501715107</v>
      </c>
      <c r="Y936">
        <v>183</v>
      </c>
      <c r="Z936" s="30">
        <f t="shared" si="55"/>
        <v>129.68678037277417</v>
      </c>
      <c r="AA936">
        <v>934</v>
      </c>
    </row>
    <row r="937" spans="10:27">
      <c r="J937">
        <v>71</v>
      </c>
      <c r="K937">
        <f t="shared" si="53"/>
        <v>7186825.949474684</v>
      </c>
      <c r="L937" s="30">
        <f t="shared" si="54"/>
        <v>71.868259494746837</v>
      </c>
      <c r="Y937">
        <v>182</v>
      </c>
      <c r="Z937" s="30">
        <f t="shared" si="55"/>
        <v>128.67455136580588</v>
      </c>
      <c r="AA937">
        <v>935</v>
      </c>
    </row>
    <row r="938" spans="10:27">
      <c r="J938">
        <v>70</v>
      </c>
      <c r="K938">
        <f t="shared" si="53"/>
        <v>7085603.0487778569</v>
      </c>
      <c r="L938" s="30">
        <f t="shared" si="54"/>
        <v>70.856030487778568</v>
      </c>
      <c r="Y938">
        <v>181</v>
      </c>
      <c r="Z938" s="30">
        <f t="shared" si="55"/>
        <v>127.6623223588376</v>
      </c>
      <c r="AA938">
        <v>936</v>
      </c>
    </row>
    <row r="939" spans="10:27">
      <c r="J939">
        <v>69</v>
      </c>
      <c r="K939">
        <f t="shared" si="53"/>
        <v>6984380.1480810307</v>
      </c>
      <c r="L939" s="30">
        <f t="shared" si="54"/>
        <v>69.843801480810313</v>
      </c>
      <c r="Y939">
        <v>180</v>
      </c>
      <c r="Z939" s="30">
        <f t="shared" si="55"/>
        <v>126.65009335186936</v>
      </c>
      <c r="AA939">
        <v>937</v>
      </c>
    </row>
    <row r="940" spans="10:27">
      <c r="J940">
        <v>68</v>
      </c>
      <c r="K940">
        <f t="shared" si="53"/>
        <v>6883157.2473842045</v>
      </c>
      <c r="L940" s="30">
        <f t="shared" si="54"/>
        <v>68.831572473842044</v>
      </c>
      <c r="Y940">
        <v>179</v>
      </c>
      <c r="Z940" s="30">
        <f t="shared" si="55"/>
        <v>125.63786434490108</v>
      </c>
      <c r="AA940">
        <v>938</v>
      </c>
    </row>
    <row r="941" spans="10:27">
      <c r="J941">
        <v>67</v>
      </c>
      <c r="K941">
        <f t="shared" si="53"/>
        <v>6781934.3466873774</v>
      </c>
      <c r="L941" s="30">
        <f t="shared" si="54"/>
        <v>67.819343466873775</v>
      </c>
      <c r="Y941">
        <v>178</v>
      </c>
      <c r="Z941" s="30">
        <f t="shared" si="55"/>
        <v>124.62563533793283</v>
      </c>
      <c r="AA941">
        <v>939</v>
      </c>
    </row>
    <row r="942" spans="10:27">
      <c r="J942">
        <v>66</v>
      </c>
      <c r="K942">
        <f t="shared" si="53"/>
        <v>6680711.4459905513</v>
      </c>
      <c r="L942" s="30">
        <f t="shared" si="54"/>
        <v>66.807114459905506</v>
      </c>
      <c r="Y942">
        <v>177</v>
      </c>
      <c r="Z942" s="30">
        <f t="shared" si="55"/>
        <v>123.61340633096454</v>
      </c>
      <c r="AA942">
        <v>940</v>
      </c>
    </row>
    <row r="943" spans="10:27">
      <c r="J943">
        <v>65</v>
      </c>
      <c r="K943">
        <f t="shared" si="53"/>
        <v>6579488.5452937242</v>
      </c>
      <c r="L943" s="30">
        <f t="shared" si="54"/>
        <v>65.794885452937237</v>
      </c>
      <c r="Y943">
        <v>176</v>
      </c>
      <c r="Z943" s="30">
        <f t="shared" si="55"/>
        <v>122.60117732399628</v>
      </c>
      <c r="AA943">
        <v>941</v>
      </c>
    </row>
    <row r="944" spans="10:27">
      <c r="J944">
        <v>64</v>
      </c>
      <c r="K944">
        <f t="shared" si="53"/>
        <v>6478265.644596898</v>
      </c>
      <c r="L944" s="30">
        <f t="shared" si="54"/>
        <v>64.782656445968982</v>
      </c>
      <c r="Y944">
        <v>175</v>
      </c>
      <c r="Z944" s="30">
        <f t="shared" si="55"/>
        <v>121.58894831702801</v>
      </c>
      <c r="AA944">
        <v>942</v>
      </c>
    </row>
    <row r="945" spans="10:27">
      <c r="J945">
        <v>63</v>
      </c>
      <c r="K945">
        <f t="shared" si="53"/>
        <v>6377042.7439000718</v>
      </c>
      <c r="L945" s="30">
        <f t="shared" si="54"/>
        <v>63.77042743900072</v>
      </c>
      <c r="Y945">
        <v>174</v>
      </c>
      <c r="Z945" s="30">
        <f t="shared" si="55"/>
        <v>120.57671931005976</v>
      </c>
      <c r="AA945">
        <v>943</v>
      </c>
    </row>
    <row r="946" spans="10:27">
      <c r="J946">
        <v>62</v>
      </c>
      <c r="K946">
        <f t="shared" si="53"/>
        <v>6275819.8432032447</v>
      </c>
      <c r="L946" s="30">
        <f t="shared" si="54"/>
        <v>62.758198432032451</v>
      </c>
      <c r="Y946">
        <v>173</v>
      </c>
      <c r="Z946" s="30">
        <f t="shared" si="55"/>
        <v>119.56449030309149</v>
      </c>
      <c r="AA946">
        <v>944</v>
      </c>
    </row>
    <row r="947" spans="10:27">
      <c r="J947">
        <v>61</v>
      </c>
      <c r="K947">
        <f t="shared" si="53"/>
        <v>6174596.9425064186</v>
      </c>
      <c r="L947" s="30">
        <f t="shared" si="54"/>
        <v>61.745969425064189</v>
      </c>
      <c r="Y947">
        <v>172</v>
      </c>
      <c r="Z947" s="30">
        <f t="shared" si="55"/>
        <v>118.55226129612322</v>
      </c>
      <c r="AA947">
        <v>945</v>
      </c>
    </row>
    <row r="948" spans="10:27">
      <c r="J948">
        <v>60</v>
      </c>
      <c r="K948">
        <f t="shared" si="53"/>
        <v>6073374.0418095915</v>
      </c>
      <c r="L948" s="30">
        <f t="shared" si="54"/>
        <v>60.733740418095913</v>
      </c>
      <c r="Y948">
        <v>171</v>
      </c>
      <c r="Z948" s="30">
        <f t="shared" si="55"/>
        <v>117.54003228915495</v>
      </c>
      <c r="AA948">
        <v>946</v>
      </c>
    </row>
    <row r="949" spans="10:27">
      <c r="J949">
        <v>59</v>
      </c>
      <c r="K949">
        <f t="shared" si="53"/>
        <v>5972151.1411127653</v>
      </c>
      <c r="L949" s="30">
        <f t="shared" si="54"/>
        <v>59.721511411127651</v>
      </c>
      <c r="Y949">
        <v>170</v>
      </c>
      <c r="Z949" s="30">
        <f t="shared" si="55"/>
        <v>116.5278032821867</v>
      </c>
      <c r="AA949">
        <v>947</v>
      </c>
    </row>
    <row r="950" spans="10:27">
      <c r="J950">
        <v>58</v>
      </c>
      <c r="K950">
        <f t="shared" si="53"/>
        <v>5870928.2404159391</v>
      </c>
      <c r="L950" s="30">
        <f t="shared" si="54"/>
        <v>58.709282404159389</v>
      </c>
      <c r="Y950">
        <v>169</v>
      </c>
      <c r="Z950" s="30">
        <f t="shared" si="55"/>
        <v>115.51557427521843</v>
      </c>
      <c r="AA950">
        <v>948</v>
      </c>
    </row>
    <row r="951" spans="10:27">
      <c r="J951">
        <v>57</v>
      </c>
      <c r="K951">
        <f t="shared" si="53"/>
        <v>5769705.339719112</v>
      </c>
      <c r="L951" s="30">
        <f t="shared" si="54"/>
        <v>57.697053397191119</v>
      </c>
      <c r="Y951">
        <v>168</v>
      </c>
      <c r="Z951" s="30">
        <f t="shared" si="55"/>
        <v>114.50334526825017</v>
      </c>
      <c r="AA951">
        <v>949</v>
      </c>
    </row>
    <row r="952" spans="10:27">
      <c r="J952">
        <v>56</v>
      </c>
      <c r="K952">
        <f t="shared" si="53"/>
        <v>5668482.4390222859</v>
      </c>
      <c r="L952" s="30">
        <f t="shared" si="54"/>
        <v>56.684824390222857</v>
      </c>
      <c r="Y952">
        <v>167</v>
      </c>
      <c r="Z952" s="30">
        <f t="shared" si="55"/>
        <v>113.4911162612819</v>
      </c>
      <c r="AA952">
        <v>950</v>
      </c>
    </row>
    <row r="953" spans="10:27">
      <c r="J953">
        <v>55</v>
      </c>
      <c r="K953">
        <f t="shared" si="53"/>
        <v>5567259.5383254597</v>
      </c>
      <c r="L953" s="30">
        <f t="shared" si="54"/>
        <v>55.672595383254595</v>
      </c>
      <c r="Y953">
        <v>166</v>
      </c>
      <c r="Z953" s="30">
        <f t="shared" si="55"/>
        <v>112.47888725431362</v>
      </c>
      <c r="AA953">
        <v>951</v>
      </c>
    </row>
    <row r="954" spans="10:27">
      <c r="J954">
        <v>54</v>
      </c>
      <c r="K954">
        <f t="shared" ref="K954:K997" si="56">$A$1*J954*$B$52^2</f>
        <v>5466036.6376286326</v>
      </c>
      <c r="L954" s="30">
        <f t="shared" si="54"/>
        <v>54.660366376286326</v>
      </c>
      <c r="Y954">
        <v>165</v>
      </c>
      <c r="Z954" s="30">
        <f t="shared" si="55"/>
        <v>111.46665824734536</v>
      </c>
      <c r="AA954">
        <v>952</v>
      </c>
    </row>
    <row r="955" spans="10:27">
      <c r="J955">
        <v>53</v>
      </c>
      <c r="K955">
        <f t="shared" si="56"/>
        <v>5364813.7369318064</v>
      </c>
      <c r="L955" s="30">
        <f t="shared" ref="L955:L1007" si="57">K955/100000</f>
        <v>53.648137369318064</v>
      </c>
      <c r="Y955">
        <v>164</v>
      </c>
      <c r="Z955" s="30">
        <f t="shared" si="55"/>
        <v>110.4544292403771</v>
      </c>
      <c r="AA955">
        <v>953</v>
      </c>
    </row>
    <row r="956" spans="10:27">
      <c r="J956">
        <v>52</v>
      </c>
      <c r="K956">
        <f t="shared" si="56"/>
        <v>5263590.8362349803</v>
      </c>
      <c r="L956" s="30">
        <f t="shared" si="57"/>
        <v>52.635908362349802</v>
      </c>
      <c r="Y956">
        <v>163</v>
      </c>
      <c r="Z956" s="30">
        <f t="shared" si="55"/>
        <v>109.44220023340884</v>
      </c>
      <c r="AA956">
        <v>954</v>
      </c>
    </row>
    <row r="957" spans="10:27">
      <c r="J957">
        <v>51</v>
      </c>
      <c r="K957">
        <f t="shared" si="56"/>
        <v>5162367.9355381532</v>
      </c>
      <c r="L957" s="30">
        <f t="shared" si="57"/>
        <v>51.623679355381533</v>
      </c>
      <c r="Y957">
        <v>162</v>
      </c>
      <c r="Z957" s="30">
        <f t="shared" si="55"/>
        <v>108.42997122644057</v>
      </c>
      <c r="AA957">
        <v>955</v>
      </c>
    </row>
    <row r="958" spans="10:27">
      <c r="J958">
        <v>50</v>
      </c>
      <c r="K958">
        <f t="shared" si="56"/>
        <v>5061145.034841327</v>
      </c>
      <c r="L958" s="30">
        <f t="shared" si="57"/>
        <v>50.611450348413271</v>
      </c>
      <c r="Y958">
        <v>161</v>
      </c>
      <c r="Z958" s="30">
        <f t="shared" si="55"/>
        <v>107.4177422194723</v>
      </c>
      <c r="AA958">
        <v>956</v>
      </c>
    </row>
    <row r="959" spans="10:27">
      <c r="J959">
        <v>49</v>
      </c>
      <c r="K959">
        <f t="shared" si="56"/>
        <v>4959922.1341444999</v>
      </c>
      <c r="L959" s="30">
        <f t="shared" si="57"/>
        <v>49.599221341445002</v>
      </c>
      <c r="Y959">
        <v>160</v>
      </c>
      <c r="Z959" s="30">
        <f t="shared" si="55"/>
        <v>106.40551321250403</v>
      </c>
      <c r="AA959">
        <v>957</v>
      </c>
    </row>
    <row r="960" spans="10:27">
      <c r="J960">
        <v>48</v>
      </c>
      <c r="K960">
        <f t="shared" si="56"/>
        <v>4858699.2334476737</v>
      </c>
      <c r="L960" s="30">
        <f t="shared" si="57"/>
        <v>48.58699233447674</v>
      </c>
      <c r="Y960">
        <v>159</v>
      </c>
      <c r="Z960" s="30">
        <f t="shared" si="55"/>
        <v>105.39328420553578</v>
      </c>
      <c r="AA960">
        <v>958</v>
      </c>
    </row>
    <row r="961" spans="10:27">
      <c r="J961">
        <v>47</v>
      </c>
      <c r="K961">
        <f t="shared" si="56"/>
        <v>4757476.3327508476</v>
      </c>
      <c r="L961" s="30">
        <f t="shared" si="57"/>
        <v>47.574763327508478</v>
      </c>
      <c r="Y961">
        <v>158</v>
      </c>
      <c r="Z961" s="30">
        <f t="shared" si="55"/>
        <v>104.38105519856751</v>
      </c>
      <c r="AA961">
        <v>959</v>
      </c>
    </row>
    <row r="962" spans="10:27">
      <c r="J962">
        <v>46</v>
      </c>
      <c r="K962">
        <f t="shared" si="56"/>
        <v>4656253.4320540205</v>
      </c>
      <c r="L962" s="30">
        <f t="shared" si="57"/>
        <v>46.562534320540202</v>
      </c>
      <c r="Y962">
        <v>157</v>
      </c>
      <c r="Z962" s="30">
        <f t="shared" si="55"/>
        <v>103.36882619159924</v>
      </c>
      <c r="AA962">
        <v>960</v>
      </c>
    </row>
    <row r="963" spans="10:27">
      <c r="J963">
        <v>45</v>
      </c>
      <c r="K963">
        <f t="shared" si="56"/>
        <v>4555030.5313571943</v>
      </c>
      <c r="L963" s="30">
        <f t="shared" si="57"/>
        <v>45.55030531357194</v>
      </c>
      <c r="Y963">
        <v>156</v>
      </c>
      <c r="Z963" s="30">
        <f t="shared" si="55"/>
        <v>102.35659718463098</v>
      </c>
      <c r="AA963">
        <v>961</v>
      </c>
    </row>
    <row r="964" spans="10:27">
      <c r="J964">
        <v>44</v>
      </c>
      <c r="K964">
        <f t="shared" si="56"/>
        <v>4453807.6306603672</v>
      </c>
      <c r="L964" s="30">
        <f t="shared" si="57"/>
        <v>44.538076306603671</v>
      </c>
      <c r="Y964">
        <v>155</v>
      </c>
      <c r="Z964" s="30">
        <f t="shared" si="55"/>
        <v>101.34436817766272</v>
      </c>
      <c r="AA964">
        <v>962</v>
      </c>
    </row>
    <row r="965" spans="10:27">
      <c r="J965">
        <v>43</v>
      </c>
      <c r="K965">
        <f t="shared" si="56"/>
        <v>4352584.729963541</v>
      </c>
      <c r="L965" s="30">
        <f t="shared" si="57"/>
        <v>43.525847299635409</v>
      </c>
      <c r="Y965">
        <v>154</v>
      </c>
      <c r="Z965" s="30">
        <f t="shared" si="55"/>
        <v>100.33213917069445</v>
      </c>
      <c r="AA965">
        <v>963</v>
      </c>
    </row>
    <row r="966" spans="10:27">
      <c r="J966">
        <v>42</v>
      </c>
      <c r="K966">
        <f t="shared" si="56"/>
        <v>4251361.8292667149</v>
      </c>
      <c r="L966" s="30">
        <f t="shared" si="57"/>
        <v>42.513618292667147</v>
      </c>
      <c r="Y966">
        <v>153</v>
      </c>
      <c r="Z966" s="30">
        <f t="shared" si="55"/>
        <v>99.319910163726192</v>
      </c>
      <c r="AA966">
        <v>964</v>
      </c>
    </row>
    <row r="967" spans="10:27">
      <c r="J967">
        <v>41</v>
      </c>
      <c r="K967">
        <f t="shared" si="56"/>
        <v>4150138.9285698873</v>
      </c>
      <c r="L967" s="30">
        <f t="shared" si="57"/>
        <v>41.50138928569887</v>
      </c>
      <c r="Y967">
        <v>152</v>
      </c>
      <c r="Z967" s="30">
        <f t="shared" si="55"/>
        <v>98.307681156757923</v>
      </c>
      <c r="AA967">
        <v>965</v>
      </c>
    </row>
    <row r="968" spans="10:27">
      <c r="J968">
        <v>40</v>
      </c>
      <c r="K968">
        <f t="shared" si="56"/>
        <v>4048916.0278730611</v>
      </c>
      <c r="L968" s="30">
        <f t="shared" si="57"/>
        <v>40.489160278730608</v>
      </c>
      <c r="Y968">
        <v>151</v>
      </c>
      <c r="Z968" s="30">
        <f t="shared" si="55"/>
        <v>97.295452149789654</v>
      </c>
      <c r="AA968">
        <v>966</v>
      </c>
    </row>
    <row r="969" spans="10:27">
      <c r="J969">
        <v>39</v>
      </c>
      <c r="K969">
        <f t="shared" si="56"/>
        <v>3947693.1271762345</v>
      </c>
      <c r="L969" s="30">
        <f t="shared" si="57"/>
        <v>39.476931271762346</v>
      </c>
      <c r="Y969">
        <v>150</v>
      </c>
      <c r="Z969" s="30">
        <f t="shared" si="55"/>
        <v>96.283223142821384</v>
      </c>
      <c r="AA969">
        <v>967</v>
      </c>
    </row>
    <row r="970" spans="10:27">
      <c r="J970">
        <v>38</v>
      </c>
      <c r="K970">
        <f t="shared" si="56"/>
        <v>3846470.2264794079</v>
      </c>
      <c r="L970" s="30">
        <f t="shared" si="57"/>
        <v>38.464702264794077</v>
      </c>
      <c r="Y970">
        <v>149</v>
      </c>
      <c r="Z970" s="30">
        <f t="shared" si="55"/>
        <v>95.270994135853115</v>
      </c>
      <c r="AA970">
        <v>968</v>
      </c>
    </row>
    <row r="971" spans="10:27">
      <c r="J971">
        <v>37</v>
      </c>
      <c r="K971">
        <f t="shared" si="56"/>
        <v>3745247.3257825817</v>
      </c>
      <c r="L971" s="30">
        <f t="shared" si="57"/>
        <v>37.452473257825815</v>
      </c>
      <c r="Y971">
        <v>148</v>
      </c>
      <c r="Z971" s="30">
        <f t="shared" si="55"/>
        <v>94.25876512888486</v>
      </c>
      <c r="AA971">
        <v>969</v>
      </c>
    </row>
    <row r="972" spans="10:27">
      <c r="J972">
        <v>36</v>
      </c>
      <c r="K972">
        <f t="shared" si="56"/>
        <v>3644024.4250857551</v>
      </c>
      <c r="L972" s="30">
        <f t="shared" si="57"/>
        <v>36.440244250857553</v>
      </c>
      <c r="Y972">
        <v>147</v>
      </c>
      <c r="Z972" s="30">
        <f t="shared" si="55"/>
        <v>93.246536121916606</v>
      </c>
      <c r="AA972">
        <v>970</v>
      </c>
    </row>
    <row r="973" spans="10:27">
      <c r="J973">
        <v>35</v>
      </c>
      <c r="K973">
        <f t="shared" si="56"/>
        <v>3542801.5243889284</v>
      </c>
      <c r="L973" s="30">
        <f t="shared" si="57"/>
        <v>35.428015243889284</v>
      </c>
      <c r="Y973">
        <v>146</v>
      </c>
      <c r="Z973" s="30">
        <f t="shared" si="55"/>
        <v>92.234307114948336</v>
      </c>
      <c r="AA973">
        <v>971</v>
      </c>
    </row>
    <row r="974" spans="10:27">
      <c r="J974">
        <v>34</v>
      </c>
      <c r="K974">
        <f t="shared" si="56"/>
        <v>3441578.6236921023</v>
      </c>
      <c r="L974" s="30">
        <f t="shared" si="57"/>
        <v>34.415786236921022</v>
      </c>
      <c r="Y974">
        <v>145</v>
      </c>
      <c r="Z974" s="30">
        <f t="shared" si="55"/>
        <v>91.222078107980067</v>
      </c>
      <c r="AA974">
        <v>972</v>
      </c>
    </row>
    <row r="975" spans="10:27">
      <c r="J975">
        <v>33</v>
      </c>
      <c r="K975">
        <f t="shared" si="56"/>
        <v>3340355.7229952756</v>
      </c>
      <c r="L975" s="30">
        <f t="shared" si="57"/>
        <v>33.403557229952753</v>
      </c>
      <c r="Y975">
        <v>144</v>
      </c>
      <c r="Z975" s="30">
        <f t="shared" si="55"/>
        <v>90.209849101011798</v>
      </c>
      <c r="AA975">
        <v>973</v>
      </c>
    </row>
    <row r="976" spans="10:27">
      <c r="J976">
        <v>32</v>
      </c>
      <c r="K976">
        <f t="shared" si="56"/>
        <v>3239132.822298449</v>
      </c>
      <c r="L976" s="30">
        <f t="shared" si="57"/>
        <v>32.391328222984491</v>
      </c>
      <c r="Y976">
        <v>143</v>
      </c>
      <c r="Z976" s="30">
        <f t="shared" si="55"/>
        <v>89.197620094043529</v>
      </c>
      <c r="AA976">
        <v>974</v>
      </c>
    </row>
    <row r="977" spans="10:27">
      <c r="J977">
        <v>31</v>
      </c>
      <c r="K977">
        <f t="shared" si="56"/>
        <v>3137909.9216016224</v>
      </c>
      <c r="L977" s="30">
        <f t="shared" si="57"/>
        <v>31.379099216016225</v>
      </c>
      <c r="Y977">
        <v>142</v>
      </c>
      <c r="Z977" s="30">
        <f t="shared" si="55"/>
        <v>88.185391087075274</v>
      </c>
      <c r="AA977">
        <v>975</v>
      </c>
    </row>
    <row r="978" spans="10:27">
      <c r="J978">
        <v>30</v>
      </c>
      <c r="K978">
        <f t="shared" si="56"/>
        <v>3036687.0209047957</v>
      </c>
      <c r="L978" s="30">
        <f t="shared" si="57"/>
        <v>30.366870209047956</v>
      </c>
      <c r="Y978">
        <v>141</v>
      </c>
      <c r="Z978" s="30">
        <f t="shared" si="55"/>
        <v>87.173162080107005</v>
      </c>
      <c r="AA978">
        <v>976</v>
      </c>
    </row>
    <row r="979" spans="10:27">
      <c r="J979">
        <v>29</v>
      </c>
      <c r="K979">
        <f t="shared" si="56"/>
        <v>2935464.1202079696</v>
      </c>
      <c r="L979" s="30">
        <f t="shared" si="57"/>
        <v>29.354641202079694</v>
      </c>
      <c r="Y979">
        <v>140</v>
      </c>
      <c r="Z979" s="30">
        <f t="shared" si="55"/>
        <v>86.160933073138736</v>
      </c>
      <c r="AA979">
        <v>977</v>
      </c>
    </row>
    <row r="980" spans="10:27">
      <c r="J980">
        <v>28</v>
      </c>
      <c r="K980">
        <f t="shared" si="56"/>
        <v>2834241.2195111429</v>
      </c>
      <c r="L980" s="30">
        <f t="shared" si="57"/>
        <v>28.342412195111429</v>
      </c>
      <c r="Y980">
        <v>139</v>
      </c>
      <c r="Z980" s="30">
        <f t="shared" si="55"/>
        <v>85.148704066170481</v>
      </c>
      <c r="AA980">
        <v>978</v>
      </c>
    </row>
    <row r="981" spans="10:27">
      <c r="J981">
        <v>27</v>
      </c>
      <c r="K981">
        <f t="shared" si="56"/>
        <v>2733018.3188143163</v>
      </c>
      <c r="L981" s="30">
        <f t="shared" si="57"/>
        <v>27.330183188143163</v>
      </c>
      <c r="Y981">
        <v>138</v>
      </c>
      <c r="Z981" s="30">
        <f t="shared" si="55"/>
        <v>84.136475059202212</v>
      </c>
      <c r="AA981">
        <v>979</v>
      </c>
    </row>
    <row r="982" spans="10:27">
      <c r="J982">
        <v>26</v>
      </c>
      <c r="K982">
        <f t="shared" si="56"/>
        <v>2631795.4181174901</v>
      </c>
      <c r="L982" s="30">
        <f t="shared" si="57"/>
        <v>26.317954181174901</v>
      </c>
      <c r="Y982">
        <v>137</v>
      </c>
      <c r="Z982" s="30">
        <f t="shared" ref="Z982:Z1034" si="58">L955+$H$68</f>
        <v>83.124246052233943</v>
      </c>
      <c r="AA982">
        <v>980</v>
      </c>
    </row>
    <row r="983" spans="10:27">
      <c r="J983">
        <v>25</v>
      </c>
      <c r="K983">
        <f t="shared" si="56"/>
        <v>2530572.5174206635</v>
      </c>
      <c r="L983" s="30">
        <f t="shared" si="57"/>
        <v>25.305725174206636</v>
      </c>
      <c r="Y983">
        <v>136</v>
      </c>
      <c r="Z983" s="30">
        <f t="shared" si="58"/>
        <v>82.112017045265688</v>
      </c>
      <c r="AA983">
        <v>981</v>
      </c>
    </row>
    <row r="984" spans="10:27">
      <c r="J984">
        <v>24</v>
      </c>
      <c r="K984">
        <f t="shared" si="56"/>
        <v>2429349.6167238369</v>
      </c>
      <c r="L984" s="30">
        <f t="shared" si="57"/>
        <v>24.29349616723837</v>
      </c>
      <c r="Y984">
        <v>135</v>
      </c>
      <c r="Z984" s="30">
        <f t="shared" si="58"/>
        <v>81.099788038297419</v>
      </c>
      <c r="AA984">
        <v>982</v>
      </c>
    </row>
    <row r="985" spans="10:27">
      <c r="J985">
        <v>23</v>
      </c>
      <c r="K985">
        <f t="shared" si="56"/>
        <v>2328126.7160270102</v>
      </c>
      <c r="L985" s="30">
        <f t="shared" si="57"/>
        <v>23.281267160270101</v>
      </c>
      <c r="Y985">
        <v>134</v>
      </c>
      <c r="Z985" s="30">
        <f t="shared" si="58"/>
        <v>80.08755903132915</v>
      </c>
      <c r="AA985">
        <v>983</v>
      </c>
    </row>
    <row r="986" spans="10:27">
      <c r="J986">
        <v>22</v>
      </c>
      <c r="K986">
        <f t="shared" si="56"/>
        <v>2226903.8153301836</v>
      </c>
      <c r="L986" s="30">
        <f t="shared" si="57"/>
        <v>22.269038153301835</v>
      </c>
      <c r="Y986">
        <v>133</v>
      </c>
      <c r="Z986" s="30">
        <f t="shared" si="58"/>
        <v>79.075330024360881</v>
      </c>
      <c r="AA986">
        <v>984</v>
      </c>
    </row>
    <row r="987" spans="10:27">
      <c r="J987">
        <v>21</v>
      </c>
      <c r="K987">
        <f t="shared" si="56"/>
        <v>2125680.9146333574</v>
      </c>
      <c r="L987" s="30">
        <f t="shared" si="57"/>
        <v>21.256809146333573</v>
      </c>
      <c r="Y987">
        <v>132</v>
      </c>
      <c r="Z987" s="30">
        <f t="shared" si="58"/>
        <v>78.063101017392626</v>
      </c>
      <c r="AA987">
        <v>985</v>
      </c>
    </row>
    <row r="988" spans="10:27">
      <c r="J988">
        <v>20</v>
      </c>
      <c r="K988">
        <f t="shared" si="56"/>
        <v>2024458.0139365306</v>
      </c>
      <c r="L988" s="30">
        <f t="shared" si="57"/>
        <v>20.244580139365304</v>
      </c>
      <c r="Y988">
        <v>131</v>
      </c>
      <c r="Z988" s="30">
        <f t="shared" si="58"/>
        <v>77.050872010424357</v>
      </c>
      <c r="AA988">
        <v>986</v>
      </c>
    </row>
    <row r="989" spans="10:27">
      <c r="J989">
        <v>19</v>
      </c>
      <c r="K989">
        <f t="shared" si="56"/>
        <v>1923235.1132397039</v>
      </c>
      <c r="L989" s="30">
        <f t="shared" si="57"/>
        <v>19.232351132397039</v>
      </c>
      <c r="Y989">
        <v>130</v>
      </c>
      <c r="Z989" s="30">
        <f t="shared" si="58"/>
        <v>76.038643003456087</v>
      </c>
      <c r="AA989">
        <v>987</v>
      </c>
    </row>
    <row r="990" spans="10:27">
      <c r="J990">
        <v>18</v>
      </c>
      <c r="K990">
        <f t="shared" si="56"/>
        <v>1822012.2125428775</v>
      </c>
      <c r="L990" s="30">
        <f t="shared" si="57"/>
        <v>18.220122125428777</v>
      </c>
      <c r="Y990">
        <v>129</v>
      </c>
      <c r="Z990" s="30">
        <f t="shared" si="58"/>
        <v>75.026413996487818</v>
      </c>
      <c r="AA990">
        <v>988</v>
      </c>
    </row>
    <row r="991" spans="10:27">
      <c r="J991">
        <v>17</v>
      </c>
      <c r="K991">
        <f t="shared" si="56"/>
        <v>1720789.3118460511</v>
      </c>
      <c r="L991" s="30">
        <f t="shared" si="57"/>
        <v>17.207893118460511</v>
      </c>
      <c r="Y991">
        <v>128</v>
      </c>
      <c r="Z991" s="30">
        <f t="shared" si="58"/>
        <v>74.014184989519549</v>
      </c>
      <c r="AA991">
        <v>989</v>
      </c>
    </row>
    <row r="992" spans="10:27">
      <c r="J992">
        <v>16</v>
      </c>
      <c r="K992">
        <f t="shared" si="56"/>
        <v>1619566.4111492245</v>
      </c>
      <c r="L992" s="30">
        <f t="shared" si="57"/>
        <v>16.195664111492245</v>
      </c>
      <c r="Y992">
        <v>127</v>
      </c>
      <c r="Z992" s="30">
        <f t="shared" si="58"/>
        <v>73.001955982551294</v>
      </c>
      <c r="AA992">
        <v>990</v>
      </c>
    </row>
    <row r="993" spans="10:27">
      <c r="J993">
        <v>15</v>
      </c>
      <c r="K993">
        <f t="shared" si="56"/>
        <v>1518343.5104523979</v>
      </c>
      <c r="L993" s="30">
        <f t="shared" si="57"/>
        <v>15.183435104523978</v>
      </c>
      <c r="Y993">
        <v>126</v>
      </c>
      <c r="Z993" s="30">
        <f t="shared" si="58"/>
        <v>71.989726975583025</v>
      </c>
      <c r="AA993">
        <v>991</v>
      </c>
    </row>
    <row r="994" spans="10:27">
      <c r="J994">
        <v>14</v>
      </c>
      <c r="K994">
        <f t="shared" si="56"/>
        <v>1417120.6097555715</v>
      </c>
      <c r="L994" s="30">
        <f t="shared" si="57"/>
        <v>14.171206097555714</v>
      </c>
      <c r="Y994">
        <v>125</v>
      </c>
      <c r="Z994" s="30">
        <f t="shared" si="58"/>
        <v>70.977497968614756</v>
      </c>
      <c r="AA994">
        <v>992</v>
      </c>
    </row>
    <row r="995" spans="10:27">
      <c r="J995">
        <v>13</v>
      </c>
      <c r="K995">
        <f t="shared" si="56"/>
        <v>1315897.7090587451</v>
      </c>
      <c r="L995" s="30">
        <f t="shared" si="57"/>
        <v>13.158977090587451</v>
      </c>
      <c r="Y995">
        <v>124</v>
      </c>
      <c r="Z995" s="30">
        <f t="shared" si="58"/>
        <v>69.965268961646487</v>
      </c>
      <c r="AA995">
        <v>993</v>
      </c>
    </row>
    <row r="996" spans="10:27">
      <c r="J996">
        <v>12</v>
      </c>
      <c r="K996">
        <f t="shared" si="56"/>
        <v>1214674.8083619184</v>
      </c>
      <c r="L996" s="30">
        <f t="shared" si="57"/>
        <v>12.146748083619185</v>
      </c>
      <c r="Y996">
        <v>123</v>
      </c>
      <c r="Z996" s="30">
        <f t="shared" si="58"/>
        <v>68.953039954678232</v>
      </c>
      <c r="AA996">
        <v>994</v>
      </c>
    </row>
    <row r="997" spans="10:27">
      <c r="J997">
        <v>11</v>
      </c>
      <c r="K997">
        <f t="shared" si="56"/>
        <v>1113451.9076650918</v>
      </c>
      <c r="L997" s="30">
        <f t="shared" si="57"/>
        <v>11.134519076650918</v>
      </c>
      <c r="Y997">
        <v>122</v>
      </c>
      <c r="Z997" s="30">
        <f t="shared" si="58"/>
        <v>67.940810947709963</v>
      </c>
      <c r="AA997">
        <v>995</v>
      </c>
    </row>
    <row r="998" spans="10:27">
      <c r="J998">
        <v>10</v>
      </c>
      <c r="K998">
        <f t="shared" ref="K998:K1007" si="59">$A$1*J998*$B$52^2</f>
        <v>1012229.0069682653</v>
      </c>
      <c r="L998" s="30">
        <f t="shared" si="57"/>
        <v>10.122290069682652</v>
      </c>
      <c r="Y998">
        <v>121</v>
      </c>
      <c r="Z998" s="30">
        <f t="shared" si="58"/>
        <v>66.928581940741694</v>
      </c>
      <c r="AA998">
        <v>996</v>
      </c>
    </row>
    <row r="999" spans="10:27">
      <c r="J999">
        <v>9</v>
      </c>
      <c r="K999">
        <f t="shared" si="59"/>
        <v>911006.10627143877</v>
      </c>
      <c r="L999" s="30">
        <f t="shared" si="57"/>
        <v>9.1100610627143883</v>
      </c>
      <c r="Y999">
        <v>120</v>
      </c>
      <c r="Z999" s="30">
        <f t="shared" si="58"/>
        <v>65.916352933773439</v>
      </c>
      <c r="AA999">
        <v>997</v>
      </c>
    </row>
    <row r="1000" spans="10:27">
      <c r="J1000">
        <v>8</v>
      </c>
      <c r="K1000">
        <f t="shared" si="59"/>
        <v>809783.20557461225</v>
      </c>
      <c r="L1000" s="30">
        <f t="shared" si="57"/>
        <v>8.0978320557461227</v>
      </c>
      <c r="Y1000">
        <v>119</v>
      </c>
      <c r="Z1000" s="30">
        <f t="shared" si="58"/>
        <v>64.90412392680517</v>
      </c>
      <c r="AA1000">
        <v>998</v>
      </c>
    </row>
    <row r="1001" spans="10:27">
      <c r="J1001">
        <v>7</v>
      </c>
      <c r="K1001">
        <f t="shared" si="59"/>
        <v>708560.30487778573</v>
      </c>
      <c r="L1001" s="30">
        <f t="shared" si="57"/>
        <v>7.0856030487778572</v>
      </c>
      <c r="Y1001">
        <v>118</v>
      </c>
      <c r="Z1001" s="30">
        <f t="shared" si="58"/>
        <v>63.891894919836901</v>
      </c>
      <c r="AA1001">
        <v>999</v>
      </c>
    </row>
    <row r="1002" spans="10:27">
      <c r="J1002">
        <v>6</v>
      </c>
      <c r="K1002">
        <f t="shared" si="59"/>
        <v>607337.40418095922</v>
      </c>
      <c r="L1002" s="30">
        <f t="shared" si="57"/>
        <v>6.0733740418095925</v>
      </c>
      <c r="Y1002">
        <v>117</v>
      </c>
      <c r="Z1002" s="30">
        <f t="shared" si="58"/>
        <v>62.879665912868631</v>
      </c>
      <c r="AA1002">
        <v>1000</v>
      </c>
    </row>
    <row r="1003" spans="10:27">
      <c r="J1003">
        <v>5</v>
      </c>
      <c r="K1003">
        <f t="shared" si="59"/>
        <v>506114.50348413264</v>
      </c>
      <c r="L1003" s="30">
        <f t="shared" si="57"/>
        <v>5.0611450348413261</v>
      </c>
      <c r="Y1003">
        <v>116</v>
      </c>
      <c r="Z1003" s="30">
        <f t="shared" si="58"/>
        <v>61.867436905900377</v>
      </c>
      <c r="AA1003">
        <v>1001</v>
      </c>
    </row>
    <row r="1004" spans="10:27">
      <c r="J1004">
        <v>4</v>
      </c>
      <c r="K1004">
        <f t="shared" si="59"/>
        <v>404891.60278730612</v>
      </c>
      <c r="L1004" s="30">
        <f t="shared" si="57"/>
        <v>4.0489160278730614</v>
      </c>
      <c r="Y1004">
        <v>115</v>
      </c>
      <c r="Z1004" s="30">
        <f t="shared" si="58"/>
        <v>60.855207898932107</v>
      </c>
      <c r="AA1004">
        <v>1002</v>
      </c>
    </row>
    <row r="1005" spans="10:27">
      <c r="J1005">
        <v>3</v>
      </c>
      <c r="K1005">
        <f t="shared" si="59"/>
        <v>303668.70209047961</v>
      </c>
      <c r="L1005" s="30">
        <f t="shared" si="57"/>
        <v>3.0366870209047963</v>
      </c>
      <c r="Y1005">
        <v>114</v>
      </c>
      <c r="Z1005" s="30">
        <f t="shared" si="58"/>
        <v>59.842978891963838</v>
      </c>
      <c r="AA1005">
        <v>1003</v>
      </c>
    </row>
    <row r="1006" spans="10:27">
      <c r="J1006">
        <v>2</v>
      </c>
      <c r="K1006">
        <f t="shared" si="59"/>
        <v>202445.80139365306</v>
      </c>
      <c r="L1006" s="30">
        <f t="shared" si="57"/>
        <v>2.0244580139365307</v>
      </c>
      <c r="Y1006">
        <v>113</v>
      </c>
      <c r="Z1006" s="30">
        <f t="shared" si="58"/>
        <v>58.830749884995576</v>
      </c>
      <c r="AA1006">
        <v>1004</v>
      </c>
    </row>
    <row r="1007" spans="10:27">
      <c r="J1007">
        <v>1</v>
      </c>
      <c r="K1007">
        <f t="shared" si="59"/>
        <v>101222.90069682653</v>
      </c>
      <c r="L1007" s="30">
        <f t="shared" si="57"/>
        <v>1.0122290069682653</v>
      </c>
      <c r="Y1007">
        <v>112</v>
      </c>
      <c r="Z1007" s="30">
        <f t="shared" si="58"/>
        <v>57.818520878027314</v>
      </c>
      <c r="AA1007">
        <v>1005</v>
      </c>
    </row>
    <row r="1008" spans="10:27">
      <c r="Y1008">
        <v>111</v>
      </c>
      <c r="Z1008" s="30">
        <f t="shared" si="58"/>
        <v>56.806291871059045</v>
      </c>
      <c r="AA1008">
        <v>1006</v>
      </c>
    </row>
    <row r="1009" spans="25:27">
      <c r="Y1009">
        <v>110</v>
      </c>
      <c r="Z1009" s="30">
        <f t="shared" si="58"/>
        <v>55.794062864090783</v>
      </c>
      <c r="AA1009">
        <v>1007</v>
      </c>
    </row>
    <row r="1010" spans="25:27">
      <c r="Y1010">
        <v>109</v>
      </c>
      <c r="Z1010" s="30">
        <f t="shared" si="58"/>
        <v>54.781833857122521</v>
      </c>
      <c r="AA1010">
        <v>1008</v>
      </c>
    </row>
    <row r="1011" spans="25:27">
      <c r="Y1011">
        <v>108</v>
      </c>
      <c r="Z1011" s="30">
        <f t="shared" si="58"/>
        <v>53.769604850154252</v>
      </c>
      <c r="AA1011">
        <v>1009</v>
      </c>
    </row>
    <row r="1012" spans="25:27">
      <c r="Y1012">
        <v>107</v>
      </c>
      <c r="Z1012" s="30">
        <f t="shared" si="58"/>
        <v>52.757375843185983</v>
      </c>
      <c r="AA1012">
        <v>1010</v>
      </c>
    </row>
    <row r="1013" spans="25:27">
      <c r="Y1013">
        <v>106</v>
      </c>
      <c r="Z1013" s="30">
        <f t="shared" si="58"/>
        <v>51.745146836217714</v>
      </c>
      <c r="AA1013">
        <v>1011</v>
      </c>
    </row>
    <row r="1014" spans="25:27">
      <c r="Y1014">
        <v>105</v>
      </c>
      <c r="Z1014" s="30">
        <f t="shared" si="58"/>
        <v>50.732917829249459</v>
      </c>
      <c r="AA1014">
        <v>1012</v>
      </c>
    </row>
    <row r="1015" spans="25:27">
      <c r="Y1015">
        <v>104</v>
      </c>
      <c r="Z1015" s="30">
        <f t="shared" si="58"/>
        <v>49.72068882228119</v>
      </c>
      <c r="AA1015">
        <v>1013</v>
      </c>
    </row>
    <row r="1016" spans="25:27">
      <c r="Y1016">
        <v>103</v>
      </c>
      <c r="Z1016" s="30">
        <f t="shared" si="58"/>
        <v>48.708459815312921</v>
      </c>
      <c r="AA1016">
        <v>1014</v>
      </c>
    </row>
    <row r="1017" spans="25:27">
      <c r="Y1017">
        <v>102</v>
      </c>
      <c r="Z1017" s="30">
        <f t="shared" si="58"/>
        <v>47.696230808344659</v>
      </c>
      <c r="AA1017">
        <v>1015</v>
      </c>
    </row>
    <row r="1018" spans="25:27">
      <c r="Y1018">
        <v>101</v>
      </c>
      <c r="Z1018" s="30">
        <f t="shared" si="58"/>
        <v>46.684001801376397</v>
      </c>
      <c r="AA1018">
        <v>1016</v>
      </c>
    </row>
    <row r="1019" spans="25:27">
      <c r="Y1019">
        <v>100</v>
      </c>
      <c r="Z1019" s="30">
        <f t="shared" si="58"/>
        <v>45.671772794408128</v>
      </c>
      <c r="AA1019">
        <v>1017</v>
      </c>
    </row>
    <row r="1020" spans="25:27">
      <c r="Y1020">
        <v>99</v>
      </c>
      <c r="Z1020" s="30">
        <f t="shared" si="58"/>
        <v>44.659543787439858</v>
      </c>
      <c r="AA1020">
        <v>1018</v>
      </c>
    </row>
    <row r="1021" spans="25:27">
      <c r="Y1021">
        <v>98</v>
      </c>
      <c r="Z1021" s="30">
        <f t="shared" si="58"/>
        <v>43.647314780471596</v>
      </c>
      <c r="AA1021">
        <v>1019</v>
      </c>
    </row>
    <row r="1022" spans="25:27">
      <c r="Y1022">
        <v>97</v>
      </c>
      <c r="Z1022" s="30">
        <f t="shared" si="58"/>
        <v>42.635085773503334</v>
      </c>
      <c r="AA1022">
        <v>1020</v>
      </c>
    </row>
    <row r="1023" spans="25:27">
      <c r="Y1023">
        <v>96</v>
      </c>
      <c r="Z1023" s="30">
        <f t="shared" si="58"/>
        <v>41.622856766535065</v>
      </c>
      <c r="AA1023">
        <v>1021</v>
      </c>
    </row>
    <row r="1024" spans="25:27">
      <c r="Y1024">
        <v>95</v>
      </c>
      <c r="Z1024" s="30">
        <f t="shared" si="58"/>
        <v>40.610627759566796</v>
      </c>
      <c r="AA1024">
        <v>1022</v>
      </c>
    </row>
    <row r="1025" spans="25:27">
      <c r="Y1025">
        <v>94</v>
      </c>
      <c r="Z1025" s="30">
        <f t="shared" si="58"/>
        <v>39.598398752598534</v>
      </c>
      <c r="AA1025">
        <v>1023</v>
      </c>
    </row>
    <row r="1026" spans="25:27">
      <c r="Y1026">
        <v>93</v>
      </c>
      <c r="Z1026" s="30">
        <f t="shared" si="58"/>
        <v>38.586169745630272</v>
      </c>
      <c r="AA1026">
        <v>1024</v>
      </c>
    </row>
    <row r="1027" spans="25:27">
      <c r="Y1027">
        <v>92</v>
      </c>
      <c r="Z1027" s="30">
        <f t="shared" si="58"/>
        <v>37.573940738662003</v>
      </c>
      <c r="AA1027">
        <v>1025</v>
      </c>
    </row>
    <row r="1028" spans="25:27">
      <c r="Y1028">
        <v>91</v>
      </c>
      <c r="Z1028" s="30">
        <f t="shared" si="58"/>
        <v>36.561711731693741</v>
      </c>
      <c r="AA1028">
        <v>1026</v>
      </c>
    </row>
    <row r="1029" spans="25:27">
      <c r="Y1029">
        <v>90</v>
      </c>
      <c r="Z1029" s="30">
        <f t="shared" si="58"/>
        <v>35.549482724725472</v>
      </c>
      <c r="AA1029">
        <v>1027</v>
      </c>
    </row>
    <row r="1030" spans="25:27">
      <c r="Y1030">
        <v>89</v>
      </c>
      <c r="Z1030" s="30">
        <f t="shared" si="58"/>
        <v>34.53725371775721</v>
      </c>
      <c r="AA1030">
        <v>1028</v>
      </c>
    </row>
    <row r="1031" spans="25:27">
      <c r="Y1031">
        <v>88</v>
      </c>
      <c r="Z1031" s="30">
        <f t="shared" si="58"/>
        <v>33.525024710788941</v>
      </c>
      <c r="AA1031">
        <v>1029</v>
      </c>
    </row>
    <row r="1032" spans="25:27">
      <c r="Y1032">
        <v>87</v>
      </c>
      <c r="Z1032" s="30">
        <f t="shared" si="58"/>
        <v>32.512795703820679</v>
      </c>
      <c r="AA1032">
        <v>1030</v>
      </c>
    </row>
    <row r="1033" spans="25:27">
      <c r="Y1033">
        <v>86</v>
      </c>
      <c r="Z1033" s="30">
        <f t="shared" si="58"/>
        <v>31.500566696852413</v>
      </c>
      <c r="AA1033">
        <v>1031</v>
      </c>
    </row>
    <row r="1034" spans="25:27">
      <c r="Y1034">
        <v>85</v>
      </c>
      <c r="Z1034" s="30">
        <f t="shared" si="58"/>
        <v>30.488337689884148</v>
      </c>
      <c r="AA1034">
        <v>1032</v>
      </c>
    </row>
    <row r="1035" spans="25:27">
      <c r="Y1035">
        <v>84</v>
      </c>
      <c r="Z1035" s="30">
        <f>G68</f>
        <v>28.342412195111425</v>
      </c>
      <c r="AA1035">
        <v>1033</v>
      </c>
    </row>
    <row r="1036" spans="25:27">
      <c r="Y1036">
        <v>83</v>
      </c>
      <c r="Z1036" s="30">
        <f t="shared" ref="Z1036:Z1099" si="60">G69</f>
        <v>27.342185714633576</v>
      </c>
      <c r="AA1036">
        <v>1034</v>
      </c>
    </row>
    <row r="1037" spans="25:27">
      <c r="Y1037">
        <v>82</v>
      </c>
      <c r="Z1037" s="30">
        <f t="shared" si="60"/>
        <v>26.365773011813989</v>
      </c>
      <c r="AA1037">
        <v>1035</v>
      </c>
    </row>
    <row r="1038" spans="25:27">
      <c r="Y1038">
        <v>81</v>
      </c>
      <c r="Z1038" s="30">
        <f t="shared" si="60"/>
        <v>25.412887173668839</v>
      </c>
      <c r="AA1038">
        <v>1036</v>
      </c>
    </row>
    <row r="1039" spans="25:27">
      <c r="Y1039">
        <v>80</v>
      </c>
      <c r="Z1039" s="30">
        <f t="shared" si="60"/>
        <v>24.48324128721428</v>
      </c>
      <c r="AA1039">
        <v>1037</v>
      </c>
    </row>
    <row r="1040" spans="25:27">
      <c r="Y1040">
        <v>79</v>
      </c>
      <c r="Z1040" s="30">
        <f t="shared" si="60"/>
        <v>23.576548439466489</v>
      </c>
      <c r="AA1040">
        <v>1038</v>
      </c>
    </row>
    <row r="1041" spans="25:27">
      <c r="Y1041">
        <v>78</v>
      </c>
      <c r="Z1041" s="30">
        <f t="shared" si="60"/>
        <v>22.692521717441625</v>
      </c>
      <c r="AA1041">
        <v>1039</v>
      </c>
    </row>
    <row r="1042" spans="25:27">
      <c r="Y1042">
        <v>77</v>
      </c>
      <c r="Z1042" s="30">
        <f t="shared" si="60"/>
        <v>21.830874208155855</v>
      </c>
      <c r="AA1042">
        <v>1040</v>
      </c>
    </row>
    <row r="1043" spans="25:27">
      <c r="Y1043">
        <v>76</v>
      </c>
      <c r="Z1043" s="30">
        <f t="shared" si="60"/>
        <v>20.991318998625339</v>
      </c>
      <c r="AA1043">
        <v>1041</v>
      </c>
    </row>
    <row r="1044" spans="25:27">
      <c r="Y1044">
        <v>75</v>
      </c>
      <c r="Z1044" s="30">
        <f t="shared" si="60"/>
        <v>20.173569175866259</v>
      </c>
      <c r="AA1044">
        <v>1042</v>
      </c>
    </row>
    <row r="1045" spans="25:27">
      <c r="Y1045">
        <v>74</v>
      </c>
      <c r="Z1045" s="30">
        <f t="shared" si="60"/>
        <v>19.377337826894763</v>
      </c>
      <c r="AA1045">
        <v>1043</v>
      </c>
    </row>
    <row r="1046" spans="25:27">
      <c r="Y1046">
        <v>73</v>
      </c>
      <c r="Z1046" s="30">
        <f t="shared" si="60"/>
        <v>18.602338038727027</v>
      </c>
      <c r="AA1046">
        <v>1044</v>
      </c>
    </row>
    <row r="1047" spans="25:27">
      <c r="Y1047">
        <v>72</v>
      </c>
      <c r="Z1047" s="30">
        <f t="shared" si="60"/>
        <v>17.848282898379207</v>
      </c>
      <c r="AA1047">
        <v>1045</v>
      </c>
    </row>
    <row r="1048" spans="25:27">
      <c r="Y1048">
        <v>71</v>
      </c>
      <c r="Z1048" s="30">
        <f t="shared" si="60"/>
        <v>17.114885492867479</v>
      </c>
      <c r="AA1048">
        <v>1046</v>
      </c>
    </row>
    <row r="1049" spans="25:27">
      <c r="Y1049">
        <v>70</v>
      </c>
      <c r="Z1049" s="30">
        <f t="shared" si="60"/>
        <v>16.401858909208002</v>
      </c>
      <c r="AA1049">
        <v>1047</v>
      </c>
    </row>
    <row r="1050" spans="25:27">
      <c r="Y1050">
        <v>69</v>
      </c>
      <c r="Z1050" s="30">
        <f t="shared" si="60"/>
        <v>15.708916234416945</v>
      </c>
      <c r="AA1050">
        <v>1048</v>
      </c>
    </row>
    <row r="1051" spans="25:27">
      <c r="Y1051">
        <v>68</v>
      </c>
      <c r="Z1051" s="30">
        <f t="shared" si="60"/>
        <v>15.035770555510473</v>
      </c>
      <c r="AA1051">
        <v>1049</v>
      </c>
    </row>
    <row r="1052" spans="25:27">
      <c r="Y1052">
        <v>67</v>
      </c>
      <c r="Z1052" s="30">
        <f t="shared" si="60"/>
        <v>14.382134959504745</v>
      </c>
      <c r="AA1052">
        <v>1050</v>
      </c>
    </row>
    <row r="1053" spans="25:27">
      <c r="Y1053">
        <v>66</v>
      </c>
      <c r="Z1053" s="30">
        <f t="shared" si="60"/>
        <v>13.747722533415928</v>
      </c>
      <c r="AA1053">
        <v>1051</v>
      </c>
    </row>
    <row r="1054" spans="25:27">
      <c r="Y1054">
        <v>65</v>
      </c>
      <c r="Z1054" s="30">
        <f t="shared" si="60"/>
        <v>13.132246364260197</v>
      </c>
      <c r="AA1054">
        <v>1052</v>
      </c>
    </row>
    <row r="1055" spans="25:27">
      <c r="Y1055">
        <v>64</v>
      </c>
      <c r="Z1055" s="30">
        <f t="shared" si="60"/>
        <v>12.535419539053709</v>
      </c>
      <c r="AA1055">
        <v>1053</v>
      </c>
    </row>
    <row r="1056" spans="25:27">
      <c r="Y1056">
        <v>63</v>
      </c>
      <c r="Z1056" s="30">
        <f t="shared" si="60"/>
        <v>11.956955144812635</v>
      </c>
      <c r="AA1056">
        <v>1054</v>
      </c>
    </row>
    <row r="1057" spans="25:27">
      <c r="Y1057">
        <v>62</v>
      </c>
      <c r="Z1057" s="30">
        <f t="shared" si="60"/>
        <v>11.396566268553133</v>
      </c>
      <c r="AA1057">
        <v>1055</v>
      </c>
    </row>
    <row r="1058" spans="25:27">
      <c r="Y1058">
        <v>61</v>
      </c>
      <c r="Z1058" s="30">
        <f t="shared" si="60"/>
        <v>10.853965997291377</v>
      </c>
      <c r="AA1058">
        <v>1056</v>
      </c>
    </row>
    <row r="1059" spans="25:27">
      <c r="Y1059">
        <v>60</v>
      </c>
      <c r="Z1059" s="30">
        <f t="shared" si="60"/>
        <v>10.328867418043526</v>
      </c>
      <c r="AA1059">
        <v>1057</v>
      </c>
    </row>
    <row r="1060" spans="25:27">
      <c r="Y1060">
        <v>59</v>
      </c>
      <c r="Z1060" s="30">
        <f t="shared" si="60"/>
        <v>9.8209836178257461</v>
      </c>
      <c r="AA1060">
        <v>1058</v>
      </c>
    </row>
    <row r="1061" spans="25:27">
      <c r="Y1061">
        <v>58</v>
      </c>
      <c r="Z1061" s="30">
        <f t="shared" si="60"/>
        <v>9.3300276836542029</v>
      </c>
      <c r="AA1061">
        <v>1059</v>
      </c>
    </row>
    <row r="1062" spans="25:27">
      <c r="Y1062">
        <v>57</v>
      </c>
      <c r="Z1062" s="30">
        <f t="shared" si="60"/>
        <v>8.8557127025450662</v>
      </c>
      <c r="AA1062">
        <v>1060</v>
      </c>
    </row>
    <row r="1063" spans="25:27">
      <c r="Y1063">
        <v>56</v>
      </c>
      <c r="Z1063" s="30">
        <f t="shared" si="60"/>
        <v>8.3977517615144972</v>
      </c>
      <c r="AA1063">
        <v>1061</v>
      </c>
    </row>
    <row r="1064" spans="25:27">
      <c r="Y1064">
        <v>55</v>
      </c>
      <c r="Z1064" s="30">
        <f t="shared" si="60"/>
        <v>7.9558579475786644</v>
      </c>
      <c r="AA1064">
        <v>1062</v>
      </c>
    </row>
    <row r="1065" spans="25:27">
      <c r="Y1065">
        <v>54</v>
      </c>
      <c r="Z1065" s="30">
        <f t="shared" si="60"/>
        <v>7.5297443477537307</v>
      </c>
      <c r="AA1065">
        <v>1063</v>
      </c>
    </row>
    <row r="1066" spans="25:27">
      <c r="Y1066">
        <v>53</v>
      </c>
      <c r="Z1066" s="30">
        <f t="shared" si="60"/>
        <v>7.11912404905586</v>
      </c>
      <c r="AA1066">
        <v>1064</v>
      </c>
    </row>
    <row r="1067" spans="25:27">
      <c r="Y1067">
        <v>52</v>
      </c>
      <c r="Z1067" s="30">
        <f t="shared" si="60"/>
        <v>6.7237101385012208</v>
      </c>
      <c r="AA1067">
        <v>1065</v>
      </c>
    </row>
    <row r="1068" spans="25:27">
      <c r="Y1068">
        <v>51</v>
      </c>
      <c r="Z1068" s="30">
        <f t="shared" si="60"/>
        <v>6.3432157031059786</v>
      </c>
      <c r="AA1068">
        <v>1066</v>
      </c>
    </row>
    <row r="1069" spans="25:27">
      <c r="Y1069">
        <v>50</v>
      </c>
      <c r="Z1069" s="30">
        <f t="shared" si="60"/>
        <v>5.9773538298862983</v>
      </c>
      <c r="AA1069">
        <v>1067</v>
      </c>
    </row>
    <row r="1070" spans="25:27">
      <c r="Y1070">
        <v>49</v>
      </c>
      <c r="Z1070" s="30">
        <f t="shared" si="60"/>
        <v>5.6258376058583464</v>
      </c>
      <c r="AA1070">
        <v>1068</v>
      </c>
    </row>
    <row r="1071" spans="25:27">
      <c r="Y1071">
        <v>48</v>
      </c>
      <c r="Z1071" s="30">
        <f t="shared" si="60"/>
        <v>5.2883801180382832</v>
      </c>
      <c r="AA1071">
        <v>1069</v>
      </c>
    </row>
    <row r="1072" spans="25:27">
      <c r="Y1072">
        <v>47</v>
      </c>
      <c r="Z1072" s="30">
        <f t="shared" si="60"/>
        <v>4.9646944534422808</v>
      </c>
      <c r="AA1072">
        <v>1070</v>
      </c>
    </row>
    <row r="1073" spans="25:27">
      <c r="Y1073">
        <v>46</v>
      </c>
      <c r="Z1073" s="30">
        <f t="shared" si="60"/>
        <v>4.654493699086502</v>
      </c>
      <c r="AA1073">
        <v>1071</v>
      </c>
    </row>
    <row r="1074" spans="25:27">
      <c r="Y1074">
        <v>45</v>
      </c>
      <c r="Z1074" s="30">
        <f t="shared" si="60"/>
        <v>4.3574909419871117</v>
      </c>
      <c r="AA1074">
        <v>1072</v>
      </c>
    </row>
    <row r="1075" spans="25:27">
      <c r="Y1075">
        <v>44</v>
      </c>
      <c r="Z1075" s="30">
        <f t="shared" si="60"/>
        <v>4.0733992691602765</v>
      </c>
      <c r="AA1075">
        <v>1073</v>
      </c>
    </row>
    <row r="1076" spans="25:27">
      <c r="Y1076">
        <v>43</v>
      </c>
      <c r="Z1076" s="30">
        <f t="shared" si="60"/>
        <v>3.8019317676221598</v>
      </c>
      <c r="AA1076">
        <v>1074</v>
      </c>
    </row>
    <row r="1077" spans="25:27">
      <c r="Y1077">
        <v>42</v>
      </c>
      <c r="Z1077" s="30">
        <f t="shared" si="60"/>
        <v>3.5428015243889281</v>
      </c>
      <c r="AA1077">
        <v>1075</v>
      </c>
    </row>
    <row r="1078" spans="25:27">
      <c r="Y1078">
        <v>41</v>
      </c>
      <c r="Z1078" s="30">
        <f t="shared" si="60"/>
        <v>3.2957216264767486</v>
      </c>
      <c r="AA1078">
        <v>1076</v>
      </c>
    </row>
    <row r="1079" spans="25:27">
      <c r="Y1079">
        <v>40</v>
      </c>
      <c r="Z1079" s="30">
        <f t="shared" si="60"/>
        <v>3.060405160901785</v>
      </c>
      <c r="AA1079">
        <v>1077</v>
      </c>
    </row>
    <row r="1080" spans="25:27">
      <c r="Y1080">
        <v>39</v>
      </c>
      <c r="Z1080" s="30">
        <f t="shared" si="60"/>
        <v>2.8365652146802032</v>
      </c>
      <c r="AA1080">
        <v>1078</v>
      </c>
    </row>
    <row r="1081" spans="25:27">
      <c r="Y1081">
        <v>38</v>
      </c>
      <c r="Z1081" s="30">
        <f t="shared" si="60"/>
        <v>2.6239148748281673</v>
      </c>
      <c r="AA1081">
        <v>1079</v>
      </c>
    </row>
    <row r="1082" spans="25:27">
      <c r="Y1082">
        <v>37</v>
      </c>
      <c r="Z1082" s="30">
        <f t="shared" si="60"/>
        <v>2.4221672283618454</v>
      </c>
      <c r="AA1082">
        <v>1080</v>
      </c>
    </row>
    <row r="1083" spans="25:27">
      <c r="Y1083">
        <v>36</v>
      </c>
      <c r="Z1083" s="30">
        <f t="shared" si="60"/>
        <v>2.2310353622974008</v>
      </c>
      <c r="AA1083">
        <v>1081</v>
      </c>
    </row>
    <row r="1084" spans="25:27">
      <c r="Y1084">
        <v>35</v>
      </c>
      <c r="Z1084" s="30">
        <f t="shared" si="60"/>
        <v>2.0502323636510003</v>
      </c>
      <c r="AA1084">
        <v>1082</v>
      </c>
    </row>
    <row r="1085" spans="25:27">
      <c r="Y1085">
        <v>34</v>
      </c>
      <c r="Z1085" s="30">
        <f t="shared" si="60"/>
        <v>1.8794713194388091</v>
      </c>
      <c r="AA1085">
        <v>1083</v>
      </c>
    </row>
    <row r="1086" spans="25:27">
      <c r="Y1086">
        <v>33</v>
      </c>
      <c r="Z1086" s="30">
        <f t="shared" si="60"/>
        <v>1.718465316676991</v>
      </c>
      <c r="AA1086">
        <v>1084</v>
      </c>
    </row>
    <row r="1087" spans="25:27">
      <c r="Y1087">
        <v>32</v>
      </c>
      <c r="Z1087" s="30">
        <f t="shared" si="60"/>
        <v>1.5669274423817137</v>
      </c>
      <c r="AA1087">
        <v>1085</v>
      </c>
    </row>
    <row r="1088" spans="25:27">
      <c r="Y1088">
        <v>31</v>
      </c>
      <c r="Z1088" s="30">
        <f t="shared" si="60"/>
        <v>1.4245707835691417</v>
      </c>
      <c r="AA1088">
        <v>1086</v>
      </c>
    </row>
    <row r="1089" spans="25:27">
      <c r="Y1089">
        <v>30</v>
      </c>
      <c r="Z1089" s="30">
        <f t="shared" si="60"/>
        <v>1.2911084272554407</v>
      </c>
      <c r="AA1089">
        <v>1087</v>
      </c>
    </row>
    <row r="1090" spans="25:27">
      <c r="Y1090">
        <v>29</v>
      </c>
      <c r="Z1090" s="30">
        <f t="shared" si="60"/>
        <v>1.1662534604567754</v>
      </c>
      <c r="AA1090">
        <v>1088</v>
      </c>
    </row>
    <row r="1091" spans="25:27">
      <c r="Y1091">
        <v>28</v>
      </c>
      <c r="Z1091" s="30">
        <f t="shared" si="60"/>
        <v>1.0497189701893122</v>
      </c>
      <c r="AA1091">
        <v>1089</v>
      </c>
    </row>
    <row r="1092" spans="25:27">
      <c r="Y1092">
        <v>27</v>
      </c>
      <c r="Z1092" s="30">
        <f t="shared" si="60"/>
        <v>0.94121804346921634</v>
      </c>
      <c r="AA1092">
        <v>1090</v>
      </c>
    </row>
    <row r="1093" spans="25:27">
      <c r="Y1093">
        <v>26</v>
      </c>
      <c r="Z1093" s="30">
        <f t="shared" si="60"/>
        <v>0.8404637673126526</v>
      </c>
      <c r="AA1093">
        <v>1091</v>
      </c>
    </row>
    <row r="1094" spans="25:27">
      <c r="Y1094">
        <v>25</v>
      </c>
      <c r="Z1094" s="30">
        <f t="shared" si="60"/>
        <v>0.74716922873578728</v>
      </c>
      <c r="AA1094">
        <v>1092</v>
      </c>
    </row>
    <row r="1095" spans="25:27">
      <c r="Y1095">
        <v>24</v>
      </c>
      <c r="Z1095" s="30">
        <f t="shared" si="60"/>
        <v>0.6610475147547854</v>
      </c>
      <c r="AA1095">
        <v>1093</v>
      </c>
    </row>
    <row r="1096" spans="25:27">
      <c r="Y1096">
        <v>23</v>
      </c>
      <c r="Z1096" s="30">
        <f t="shared" si="60"/>
        <v>0.58181171238581275</v>
      </c>
      <c r="AA1096">
        <v>1094</v>
      </c>
    </row>
    <row r="1097" spans="25:27">
      <c r="Y1097">
        <v>22</v>
      </c>
      <c r="Z1097" s="30">
        <f t="shared" si="60"/>
        <v>0.50917490864503456</v>
      </c>
      <c r="AA1097">
        <v>1095</v>
      </c>
    </row>
    <row r="1098" spans="25:27">
      <c r="Y1098">
        <v>21</v>
      </c>
      <c r="Z1098" s="30">
        <f t="shared" si="60"/>
        <v>0.44285019054861602</v>
      </c>
      <c r="AA1098">
        <v>1096</v>
      </c>
    </row>
    <row r="1099" spans="25:27">
      <c r="Y1099">
        <v>20</v>
      </c>
      <c r="Z1099" s="30">
        <f t="shared" si="60"/>
        <v>0.38255064511272313</v>
      </c>
      <c r="AA1099">
        <v>1097</v>
      </c>
    </row>
    <row r="1100" spans="25:27">
      <c r="Y1100">
        <v>19</v>
      </c>
      <c r="Z1100" s="30">
        <f t="shared" ref="Z1100:Z1119" si="61">G133</f>
        <v>0.32798935935352092</v>
      </c>
      <c r="AA1100">
        <v>1098</v>
      </c>
    </row>
    <row r="1101" spans="25:27">
      <c r="Y1101">
        <v>18</v>
      </c>
      <c r="Z1101" s="30">
        <f t="shared" si="61"/>
        <v>0.27887942028717511</v>
      </c>
      <c r="AA1101">
        <v>1099</v>
      </c>
    </row>
    <row r="1102" spans="25:27">
      <c r="Y1102">
        <v>17</v>
      </c>
      <c r="Z1102" s="30">
        <f t="shared" si="61"/>
        <v>0.23493391492985113</v>
      </c>
      <c r="AA1102">
        <v>1100</v>
      </c>
    </row>
    <row r="1103" spans="25:27">
      <c r="Y1103">
        <v>16</v>
      </c>
      <c r="Z1103" s="30">
        <f t="shared" si="61"/>
        <v>0.19586593029771421</v>
      </c>
      <c r="AA1103">
        <v>1101</v>
      </c>
    </row>
    <row r="1104" spans="25:27">
      <c r="Y1104">
        <v>15</v>
      </c>
      <c r="Z1104" s="30">
        <f t="shared" si="61"/>
        <v>0.16138855340693009</v>
      </c>
      <c r="AA1104">
        <v>1102</v>
      </c>
    </row>
    <row r="1105" spans="25:27">
      <c r="Y1105">
        <v>14</v>
      </c>
      <c r="Z1105" s="30">
        <f t="shared" si="61"/>
        <v>0.13121487127366402</v>
      </c>
      <c r="AA1105">
        <v>1103</v>
      </c>
    </row>
    <row r="1106" spans="25:27">
      <c r="Y1106">
        <v>13</v>
      </c>
      <c r="Z1106" s="30">
        <f t="shared" si="61"/>
        <v>0.10505797091408157</v>
      </c>
      <c r="AA1106">
        <v>1104</v>
      </c>
    </row>
    <row r="1107" spans="25:27">
      <c r="Y1107">
        <v>12</v>
      </c>
      <c r="Z1107" s="30">
        <f t="shared" si="61"/>
        <v>8.2630939344348175E-2</v>
      </c>
      <c r="AA1107">
        <v>1105</v>
      </c>
    </row>
    <row r="1108" spans="25:27">
      <c r="Y1108">
        <v>11</v>
      </c>
      <c r="Z1108" s="30">
        <f t="shared" si="61"/>
        <v>6.364686358062932E-2</v>
      </c>
      <c r="AA1108">
        <v>1106</v>
      </c>
    </row>
    <row r="1109" spans="25:27">
      <c r="Y1109">
        <v>10</v>
      </c>
      <c r="Z1109" s="30">
        <f t="shared" si="61"/>
        <v>4.7818830639090391E-2</v>
      </c>
      <c r="AA1109">
        <v>1107</v>
      </c>
    </row>
    <row r="1110" spans="25:27">
      <c r="Y1110">
        <v>9</v>
      </c>
      <c r="Z1110" s="30">
        <f t="shared" si="61"/>
        <v>3.4859927535896888E-2</v>
      </c>
      <c r="AA1110">
        <v>1108</v>
      </c>
    </row>
    <row r="1111" spans="25:27">
      <c r="Y1111">
        <v>8</v>
      </c>
      <c r="Z1111" s="30">
        <f t="shared" si="61"/>
        <v>2.4483241287214276E-2</v>
      </c>
      <c r="AA1111">
        <v>1109</v>
      </c>
    </row>
    <row r="1112" spans="25:27">
      <c r="Y1112">
        <v>7</v>
      </c>
      <c r="Z1112" s="30">
        <f t="shared" si="61"/>
        <v>1.6401858909208002E-2</v>
      </c>
      <c r="AA1112">
        <v>1110</v>
      </c>
    </row>
    <row r="1113" spans="25:27">
      <c r="Y1113">
        <v>6</v>
      </c>
      <c r="Z1113" s="30">
        <f t="shared" si="61"/>
        <v>1.0328867418043522E-2</v>
      </c>
      <c r="AA1113">
        <v>1111</v>
      </c>
    </row>
    <row r="1114" spans="25:27">
      <c r="Y1114">
        <v>5</v>
      </c>
      <c r="Z1114" s="30">
        <f t="shared" si="61"/>
        <v>5.9773538298862989E-3</v>
      </c>
      <c r="AA1114">
        <v>1112</v>
      </c>
    </row>
    <row r="1115" spans="25:27">
      <c r="Y1115">
        <v>4</v>
      </c>
      <c r="Z1115" s="30">
        <f t="shared" si="61"/>
        <v>3.0604051609017845E-3</v>
      </c>
      <c r="AA1115">
        <v>1113</v>
      </c>
    </row>
    <row r="1116" spans="25:27">
      <c r="Y1116">
        <v>3</v>
      </c>
      <c r="Z1116" s="30">
        <f t="shared" si="61"/>
        <v>1.2911084272554402E-3</v>
      </c>
      <c r="AA1116">
        <v>1114</v>
      </c>
    </row>
    <row r="1117" spans="25:27">
      <c r="Y1117">
        <v>2</v>
      </c>
      <c r="Z1117" s="30">
        <f>G150</f>
        <v>3.8255064511272306E-4</v>
      </c>
      <c r="AA1117">
        <v>1115</v>
      </c>
    </row>
    <row r="1118" spans="25:27">
      <c r="Y1118">
        <v>1</v>
      </c>
      <c r="Z1118" s="30">
        <f t="shared" si="61"/>
        <v>4.7818830639090383E-5</v>
      </c>
      <c r="AA1118">
        <v>1116</v>
      </c>
    </row>
    <row r="1119" spans="25:27">
      <c r="Y1119">
        <v>0</v>
      </c>
      <c r="Z1119" s="30">
        <f t="shared" si="61"/>
        <v>0</v>
      </c>
      <c r="AA1119">
        <v>1117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3980-58bc-41fc-ab34-bfea8c645c38">
      <Terms xmlns="http://schemas.microsoft.com/office/infopath/2007/PartnerControls"/>
    </lcf76f155ced4ddcb4097134ff3c332f>
    <Comptes2023 xmlns="57103980-58bc-41fc-ab34-bfea8c645c38" xsi:nil="true"/>
    <TaxCatchAll xmlns="3442d270-ce26-4cc2-bab5-246b32e9abd7" xsi:nil="true"/>
    <Date xmlns="57103980-58bc-41fc-ab34-bfea8c645c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3880739407942A19988C413A3FD73" ma:contentTypeVersion="17" ma:contentTypeDescription="Crée un document." ma:contentTypeScope="" ma:versionID="9c38b52ce713aa9138483584735610c0">
  <xsd:schema xmlns:xsd="http://www.w3.org/2001/XMLSchema" xmlns:xs="http://www.w3.org/2001/XMLSchema" xmlns:p="http://schemas.microsoft.com/office/2006/metadata/properties" xmlns:ns2="57103980-58bc-41fc-ab34-bfea8c645c38" xmlns:ns3="3442d270-ce26-4cc2-bab5-246b32e9abd7" targetNamespace="http://schemas.microsoft.com/office/2006/metadata/properties" ma:root="true" ma:fieldsID="6cfdbe83a8af6013f9905cb4400b9180" ns2:_="" ns3:_="">
    <xsd:import namespace="57103980-58bc-41fc-ab34-bfea8c645c38"/>
    <xsd:import namespace="3442d270-ce26-4cc2-bab5-246b32e9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Comptes2023" minOccurs="0"/>
                <xsd:element ref="ns2:MediaLengthInSeconds" minOccurs="0"/>
                <xsd:element ref="ns2:MediaServiceLocation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3980-58bc-41fc-ab34-bfea8c645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c3c4b091-a339-4772-bb6d-c8eda0e946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ptes2023" ma:index="21" nillable="true" ma:displayName="Comptes 2023" ma:format="Dropdown" ma:internalName="Comptes2023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Date" ma:index="24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2d270-ce26-4cc2-bab5-246b32e9ab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d999754-1539-404c-a4e9-b9a6d7ad36e4}" ma:internalName="TaxCatchAll" ma:showField="CatchAllData" ma:web="3442d270-ce26-4cc2-bab5-246b32e9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9A6E8C-479D-4435-A0B7-6852C575B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80F825-C02F-4FE8-BC91-869B88479DBB}">
  <ds:schemaRefs>
    <ds:schemaRef ds:uri="http://schemas.microsoft.com/office/2006/metadata/properties"/>
    <ds:schemaRef ds:uri="http://www.w3.org/2000/xmlns/"/>
    <ds:schemaRef ds:uri="57103980-58bc-41fc-ab34-bfea8c645c38"/>
    <ds:schemaRef ds:uri="http://schemas.microsoft.com/office/infopath/2007/PartnerControls"/>
    <ds:schemaRef ds:uri="http://www.w3.org/2001/XMLSchema-instance"/>
    <ds:schemaRef ds:uri="3442d270-ce26-4cc2-bab5-246b32e9abd7"/>
  </ds:schemaRefs>
</ds:datastoreItem>
</file>

<file path=customXml/itemProps3.xml><?xml version="1.0" encoding="utf-8"?>
<ds:datastoreItem xmlns:ds="http://schemas.openxmlformats.org/officeDocument/2006/customXml" ds:itemID="{F9FB9DDB-DD31-40C9-9525-97A887718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103980-58bc-41fc-ab34-bfea8c645c38"/>
    <ds:schemaRef ds:uri="3442d270-ce26-4cc2-bab5-246b32e9a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275 ROUGE 1er ét.</vt:lpstr>
      <vt:lpstr>345 ROUGE 2nd ét.</vt:lpstr>
      <vt:lpstr>265 ROUGE 3ème ét.</vt:lpstr>
      <vt:lpstr>365 hl ROUGE 1er ét.</vt:lpstr>
      <vt:lpstr>450hL ROUGE 2nd ét.</vt:lpstr>
      <vt:lpstr>330 hl Rouge 3em ét.</vt:lpstr>
      <vt:lpstr>190 hL comp bas ROUGE</vt:lpstr>
      <vt:lpstr>240 hL comp ROUGE 2nd ét.</vt:lpstr>
      <vt:lpstr>190 hl Rouge 3em ét.</vt:lpstr>
      <vt:lpstr>625 hL comp bas</vt:lpstr>
      <vt:lpstr>335 hL comp haut</vt:lpstr>
      <vt:lpstr>300 hL comp haut</vt:lpstr>
      <vt:lpstr>300 hL comp bas</vt:lpstr>
      <vt:lpstr>455 hL comp haut</vt:lpstr>
      <vt:lpstr>465 hL comp bas</vt:lpstr>
      <vt:lpstr>500 hl sur pied</vt:lpstr>
      <vt:lpstr>1250 hL comp bas</vt:lpstr>
      <vt:lpstr>1250 hL comp bas ISOTHERMES</vt:lpstr>
      <vt:lpstr>625 hL comp bas ISOTHERMES</vt:lpstr>
      <vt:lpstr>625 hL comp haut</vt:lpstr>
      <vt:lpstr>2415 hL</vt:lpstr>
      <vt:lpstr>850 hL</vt:lpstr>
      <vt:lpstr>Grille</vt:lpstr>
      <vt:lpstr>Barriques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Stagiaire-PC</dc:creator>
  <cp:keywords/>
  <dc:description/>
  <cp:lastModifiedBy>Florian MASSON</cp:lastModifiedBy>
  <cp:revision/>
  <dcterms:created xsi:type="dcterms:W3CDTF">2020-09-25T16:00:35Z</dcterms:created>
  <dcterms:modified xsi:type="dcterms:W3CDTF">2026-05-30T14:15:46Z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0x010100A773880739407942A19988C413A3FD73</vt:lpwstr>
  </property>
  <property fmtid="{D5CDD505-2E9C-101B-9397-08002B2CF9AE}" pid="3" name="MediaServiceImageTags">
    <vt:lpwstr/>
  </property>
</Properties>
</file>